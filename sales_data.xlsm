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slicers/slicer4.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7.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8.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9.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C:\Users\elkha\Downloads\"/>
    </mc:Choice>
  </mc:AlternateContent>
  <xr:revisionPtr revIDLastSave="0" documentId="13_ncr:1_{ACDFFB86-9AF6-4391-86BA-71EBCDEE5D92}" xr6:coauthVersionLast="47" xr6:coauthVersionMax="47" xr10:uidLastSave="{00000000-0000-0000-0000-000000000000}"/>
  <bookViews>
    <workbookView xWindow="-120" yWindow="-120" windowWidth="29040" windowHeight="16440" tabRatio="794" activeTab="3" xr2:uid="{F56FDB99-A2F1-4248-8ED1-7B83876B3F8A}"/>
  </bookViews>
  <sheets>
    <sheet name="sales_data" sheetId="1" r:id="rId1"/>
    <sheet name="cleaned_data" sheetId="2" r:id="rId2"/>
    <sheet name="overview dashboard" sheetId="16" r:id="rId3"/>
    <sheet name="salesrep dashboard" sheetId="9" r:id="rId4"/>
    <sheet name="category dashboard" sheetId="14" r:id="rId5"/>
    <sheet name="region dashboard" sheetId="15" r:id="rId6"/>
    <sheet name="sales_rep" sheetId="3" r:id="rId7"/>
    <sheet name="time_series" sheetId="4" r:id="rId8"/>
    <sheet name="discount" sheetId="8" r:id="rId9"/>
    <sheet name="category" sheetId="7" r:id="rId10"/>
    <sheet name="region" sheetId="5" r:id="rId11"/>
  </sheets>
  <definedNames>
    <definedName name="Slicer_Discount">#N/A</definedName>
    <definedName name="Slicer_Discount1">#N/A</definedName>
    <definedName name="Slicer_month">#N/A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9" i="3" l="1"/>
  <c r="G50" i="3"/>
  <c r="G51" i="3"/>
  <c r="G52" i="3"/>
  <c r="G48" i="3"/>
  <c r="K7" i="3"/>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O9" i="2"/>
  <c r="O21" i="2"/>
  <c r="O105" i="2"/>
  <c r="O153" i="2"/>
  <c r="O165" i="2"/>
  <c r="O237" i="2"/>
  <c r="O249" i="2"/>
  <c r="O285" i="2"/>
  <c r="O297" i="2"/>
  <c r="O309" i="2"/>
  <c r="O381" i="2"/>
  <c r="O393" i="2"/>
  <c r="O429" i="2"/>
  <c r="O441" i="2"/>
  <c r="O453" i="2"/>
  <c r="O525" i="2"/>
  <c r="O537" i="2"/>
  <c r="O573" i="2"/>
  <c r="O585" i="2"/>
  <c r="O597" i="2"/>
  <c r="O669" i="2"/>
  <c r="O681" i="2"/>
  <c r="O717" i="2"/>
  <c r="O729" i="2"/>
  <c r="O741" i="2"/>
  <c r="O813" i="2"/>
  <c r="O825" i="2"/>
  <c r="O861" i="2"/>
  <c r="O873" i="2"/>
  <c r="O885" i="2"/>
  <c r="O957" i="2"/>
  <c r="O969" i="2"/>
  <c r="N2" i="2"/>
  <c r="O2" i="2" s="1"/>
  <c r="N3" i="2"/>
  <c r="O3" i="2" s="1"/>
  <c r="N4" i="2"/>
  <c r="O4" i="2" s="1"/>
  <c r="N5" i="2"/>
  <c r="O5" i="2" s="1"/>
  <c r="N6" i="2"/>
  <c r="O6" i="2" s="1"/>
  <c r="N7" i="2"/>
  <c r="O7" i="2" s="1"/>
  <c r="N8" i="2"/>
  <c r="O8" i="2" s="1"/>
  <c r="N9" i="2"/>
  <c r="N10" i="2"/>
  <c r="O10" i="2" s="1"/>
  <c r="N11" i="2"/>
  <c r="O11" i="2" s="1"/>
  <c r="N12" i="2"/>
  <c r="O12" i="2" s="1"/>
  <c r="N13" i="2"/>
  <c r="O13" i="2" s="1"/>
  <c r="N14" i="2"/>
  <c r="O14" i="2" s="1"/>
  <c r="N15" i="2"/>
  <c r="O15" i="2" s="1"/>
  <c r="N16" i="2"/>
  <c r="O16" i="2" s="1"/>
  <c r="N17" i="2"/>
  <c r="O17" i="2" s="1"/>
  <c r="N18" i="2"/>
  <c r="O18" i="2" s="1"/>
  <c r="N19" i="2"/>
  <c r="O19" i="2" s="1"/>
  <c r="N20" i="2"/>
  <c r="O20" i="2" s="1"/>
  <c r="N21" i="2"/>
  <c r="N22" i="2"/>
  <c r="O22" i="2" s="1"/>
  <c r="N23" i="2"/>
  <c r="O23" i="2" s="1"/>
  <c r="N24" i="2"/>
  <c r="O24" i="2" s="1"/>
  <c r="N25" i="2"/>
  <c r="O25" i="2" s="1"/>
  <c r="N26" i="2"/>
  <c r="O26" i="2" s="1"/>
  <c r="N27" i="2"/>
  <c r="O27" i="2" s="1"/>
  <c r="N28" i="2"/>
  <c r="O28" i="2" s="1"/>
  <c r="N29" i="2"/>
  <c r="O29" i="2" s="1"/>
  <c r="N30" i="2"/>
  <c r="O30" i="2" s="1"/>
  <c r="N31" i="2"/>
  <c r="O31" i="2" s="1"/>
  <c r="N32" i="2"/>
  <c r="O32" i="2" s="1"/>
  <c r="N33" i="2"/>
  <c r="O33" i="2" s="1"/>
  <c r="N34" i="2"/>
  <c r="O34" i="2" s="1"/>
  <c r="N35" i="2"/>
  <c r="O35" i="2" s="1"/>
  <c r="N36" i="2"/>
  <c r="O36" i="2" s="1"/>
  <c r="N37" i="2"/>
  <c r="O37" i="2" s="1"/>
  <c r="N38" i="2"/>
  <c r="O38" i="2" s="1"/>
  <c r="N39" i="2"/>
  <c r="O39" i="2" s="1"/>
  <c r="N40" i="2"/>
  <c r="O40" i="2" s="1"/>
  <c r="N41" i="2"/>
  <c r="O41" i="2" s="1"/>
  <c r="N42" i="2"/>
  <c r="O42" i="2" s="1"/>
  <c r="N43" i="2"/>
  <c r="O43" i="2" s="1"/>
  <c r="N44" i="2"/>
  <c r="O44" i="2" s="1"/>
  <c r="N45" i="2"/>
  <c r="O45" i="2" s="1"/>
  <c r="N46" i="2"/>
  <c r="O46" i="2" s="1"/>
  <c r="N47" i="2"/>
  <c r="O47" i="2" s="1"/>
  <c r="N48" i="2"/>
  <c r="O48" i="2" s="1"/>
  <c r="N49" i="2"/>
  <c r="O49" i="2" s="1"/>
  <c r="N50" i="2"/>
  <c r="O50" i="2" s="1"/>
  <c r="N51" i="2"/>
  <c r="O51" i="2" s="1"/>
  <c r="N52" i="2"/>
  <c r="O52" i="2" s="1"/>
  <c r="N53" i="2"/>
  <c r="O53" i="2" s="1"/>
  <c r="N54" i="2"/>
  <c r="O54" i="2" s="1"/>
  <c r="N55" i="2"/>
  <c r="O55" i="2" s="1"/>
  <c r="N56" i="2"/>
  <c r="O56" i="2" s="1"/>
  <c r="N57" i="2"/>
  <c r="O57" i="2" s="1"/>
  <c r="N58" i="2"/>
  <c r="O58" i="2" s="1"/>
  <c r="N59" i="2"/>
  <c r="O59" i="2" s="1"/>
  <c r="N60" i="2"/>
  <c r="O60" i="2" s="1"/>
  <c r="N61" i="2"/>
  <c r="O61" i="2" s="1"/>
  <c r="N62" i="2"/>
  <c r="O62" i="2" s="1"/>
  <c r="N63" i="2"/>
  <c r="O63" i="2" s="1"/>
  <c r="N64" i="2"/>
  <c r="O64" i="2" s="1"/>
  <c r="N65" i="2"/>
  <c r="O65" i="2" s="1"/>
  <c r="N66" i="2"/>
  <c r="O66" i="2" s="1"/>
  <c r="N67" i="2"/>
  <c r="O67" i="2" s="1"/>
  <c r="N68" i="2"/>
  <c r="O68" i="2" s="1"/>
  <c r="N69" i="2"/>
  <c r="O69" i="2" s="1"/>
  <c r="N70" i="2"/>
  <c r="O70" i="2" s="1"/>
  <c r="N71" i="2"/>
  <c r="O71" i="2" s="1"/>
  <c r="N72" i="2"/>
  <c r="O72" i="2" s="1"/>
  <c r="N73" i="2"/>
  <c r="O73" i="2" s="1"/>
  <c r="N74" i="2"/>
  <c r="O74" i="2" s="1"/>
  <c r="N75" i="2"/>
  <c r="O75" i="2" s="1"/>
  <c r="N76" i="2"/>
  <c r="O76" i="2" s="1"/>
  <c r="N77" i="2"/>
  <c r="O77" i="2" s="1"/>
  <c r="N78" i="2"/>
  <c r="O78" i="2" s="1"/>
  <c r="N79" i="2"/>
  <c r="O79" i="2" s="1"/>
  <c r="N80" i="2"/>
  <c r="O80" i="2" s="1"/>
  <c r="N81" i="2"/>
  <c r="O81" i="2" s="1"/>
  <c r="N82" i="2"/>
  <c r="O82" i="2" s="1"/>
  <c r="N83" i="2"/>
  <c r="O83" i="2" s="1"/>
  <c r="N84" i="2"/>
  <c r="O84" i="2" s="1"/>
  <c r="N85" i="2"/>
  <c r="O85" i="2" s="1"/>
  <c r="N86" i="2"/>
  <c r="O86" i="2" s="1"/>
  <c r="N87" i="2"/>
  <c r="O87" i="2" s="1"/>
  <c r="N88" i="2"/>
  <c r="O88" i="2" s="1"/>
  <c r="N89" i="2"/>
  <c r="O89" i="2" s="1"/>
  <c r="N90" i="2"/>
  <c r="O90" i="2" s="1"/>
  <c r="N91" i="2"/>
  <c r="O91" i="2" s="1"/>
  <c r="N92" i="2"/>
  <c r="O92" i="2" s="1"/>
  <c r="N93" i="2"/>
  <c r="O93" i="2" s="1"/>
  <c r="N94" i="2"/>
  <c r="O94" i="2" s="1"/>
  <c r="N95" i="2"/>
  <c r="O95" i="2" s="1"/>
  <c r="N96" i="2"/>
  <c r="O96" i="2" s="1"/>
  <c r="N97" i="2"/>
  <c r="O97" i="2" s="1"/>
  <c r="N98" i="2"/>
  <c r="O98" i="2" s="1"/>
  <c r="N99" i="2"/>
  <c r="O99" i="2" s="1"/>
  <c r="N100" i="2"/>
  <c r="O100" i="2" s="1"/>
  <c r="N101" i="2"/>
  <c r="O101" i="2" s="1"/>
  <c r="N102" i="2"/>
  <c r="O102" i="2" s="1"/>
  <c r="N103" i="2"/>
  <c r="O103" i="2" s="1"/>
  <c r="N104" i="2"/>
  <c r="O104" i="2" s="1"/>
  <c r="N105" i="2"/>
  <c r="N106" i="2"/>
  <c r="O106" i="2" s="1"/>
  <c r="N107" i="2"/>
  <c r="O107" i="2" s="1"/>
  <c r="N108" i="2"/>
  <c r="O108" i="2" s="1"/>
  <c r="N109" i="2"/>
  <c r="O109" i="2" s="1"/>
  <c r="N110" i="2"/>
  <c r="O110" i="2" s="1"/>
  <c r="N111" i="2"/>
  <c r="O111" i="2" s="1"/>
  <c r="N112" i="2"/>
  <c r="O112" i="2" s="1"/>
  <c r="N113" i="2"/>
  <c r="O113" i="2" s="1"/>
  <c r="N114" i="2"/>
  <c r="O114" i="2" s="1"/>
  <c r="N115" i="2"/>
  <c r="O115" i="2" s="1"/>
  <c r="N116" i="2"/>
  <c r="O116" i="2" s="1"/>
  <c r="N117" i="2"/>
  <c r="O117" i="2" s="1"/>
  <c r="N118" i="2"/>
  <c r="O118" i="2" s="1"/>
  <c r="N119" i="2"/>
  <c r="O119" i="2" s="1"/>
  <c r="N120" i="2"/>
  <c r="O120" i="2" s="1"/>
  <c r="N121" i="2"/>
  <c r="O121" i="2" s="1"/>
  <c r="N122" i="2"/>
  <c r="O122" i="2" s="1"/>
  <c r="N123" i="2"/>
  <c r="O123" i="2" s="1"/>
  <c r="N124" i="2"/>
  <c r="O124" i="2" s="1"/>
  <c r="N125" i="2"/>
  <c r="O125" i="2" s="1"/>
  <c r="N126" i="2"/>
  <c r="O126" i="2" s="1"/>
  <c r="N127" i="2"/>
  <c r="O127" i="2" s="1"/>
  <c r="N128" i="2"/>
  <c r="O128" i="2" s="1"/>
  <c r="N129" i="2"/>
  <c r="O129" i="2" s="1"/>
  <c r="N130" i="2"/>
  <c r="O130" i="2" s="1"/>
  <c r="N131" i="2"/>
  <c r="O131" i="2" s="1"/>
  <c r="N132" i="2"/>
  <c r="O132" i="2" s="1"/>
  <c r="N133" i="2"/>
  <c r="O133" i="2" s="1"/>
  <c r="N134" i="2"/>
  <c r="O134" i="2" s="1"/>
  <c r="N135" i="2"/>
  <c r="O135" i="2" s="1"/>
  <c r="N136" i="2"/>
  <c r="O136" i="2" s="1"/>
  <c r="N137" i="2"/>
  <c r="O137" i="2" s="1"/>
  <c r="N138" i="2"/>
  <c r="O138" i="2" s="1"/>
  <c r="N139" i="2"/>
  <c r="O139" i="2" s="1"/>
  <c r="N140" i="2"/>
  <c r="O140" i="2" s="1"/>
  <c r="N141" i="2"/>
  <c r="O141" i="2" s="1"/>
  <c r="N142" i="2"/>
  <c r="O142" i="2" s="1"/>
  <c r="N143" i="2"/>
  <c r="O143" i="2" s="1"/>
  <c r="N144" i="2"/>
  <c r="O144" i="2" s="1"/>
  <c r="N145" i="2"/>
  <c r="O145" i="2" s="1"/>
  <c r="N146" i="2"/>
  <c r="O146" i="2" s="1"/>
  <c r="N147" i="2"/>
  <c r="O147" i="2" s="1"/>
  <c r="N148" i="2"/>
  <c r="O148" i="2" s="1"/>
  <c r="N149" i="2"/>
  <c r="O149" i="2" s="1"/>
  <c r="N150" i="2"/>
  <c r="O150" i="2" s="1"/>
  <c r="N151" i="2"/>
  <c r="O151" i="2" s="1"/>
  <c r="N152" i="2"/>
  <c r="O152" i="2" s="1"/>
  <c r="N153" i="2"/>
  <c r="N154" i="2"/>
  <c r="O154" i="2" s="1"/>
  <c r="N155" i="2"/>
  <c r="O155" i="2" s="1"/>
  <c r="N156" i="2"/>
  <c r="O156" i="2" s="1"/>
  <c r="N157" i="2"/>
  <c r="O157" i="2" s="1"/>
  <c r="N158" i="2"/>
  <c r="O158" i="2" s="1"/>
  <c r="N159" i="2"/>
  <c r="O159" i="2" s="1"/>
  <c r="N160" i="2"/>
  <c r="O160" i="2" s="1"/>
  <c r="N161" i="2"/>
  <c r="O161" i="2" s="1"/>
  <c r="N162" i="2"/>
  <c r="O162" i="2" s="1"/>
  <c r="N163" i="2"/>
  <c r="O163" i="2" s="1"/>
  <c r="N164" i="2"/>
  <c r="O164" i="2" s="1"/>
  <c r="N165" i="2"/>
  <c r="N166" i="2"/>
  <c r="O166" i="2" s="1"/>
  <c r="N167" i="2"/>
  <c r="O167" i="2" s="1"/>
  <c r="N168" i="2"/>
  <c r="O168" i="2" s="1"/>
  <c r="N169" i="2"/>
  <c r="O169" i="2" s="1"/>
  <c r="N170" i="2"/>
  <c r="O170" i="2" s="1"/>
  <c r="N171" i="2"/>
  <c r="O171" i="2" s="1"/>
  <c r="N172" i="2"/>
  <c r="O172" i="2" s="1"/>
  <c r="N173" i="2"/>
  <c r="O173" i="2" s="1"/>
  <c r="N174" i="2"/>
  <c r="O174" i="2" s="1"/>
  <c r="N175" i="2"/>
  <c r="O175" i="2" s="1"/>
  <c r="N176" i="2"/>
  <c r="O176" i="2" s="1"/>
  <c r="N177" i="2"/>
  <c r="O177" i="2" s="1"/>
  <c r="N178" i="2"/>
  <c r="O178" i="2" s="1"/>
  <c r="N179" i="2"/>
  <c r="O179" i="2" s="1"/>
  <c r="N180" i="2"/>
  <c r="O180" i="2" s="1"/>
  <c r="N181" i="2"/>
  <c r="O181" i="2" s="1"/>
  <c r="N182" i="2"/>
  <c r="O182" i="2" s="1"/>
  <c r="N183" i="2"/>
  <c r="O183" i="2" s="1"/>
  <c r="N184" i="2"/>
  <c r="O184" i="2" s="1"/>
  <c r="N185" i="2"/>
  <c r="O185" i="2" s="1"/>
  <c r="N186" i="2"/>
  <c r="O186" i="2" s="1"/>
  <c r="N187" i="2"/>
  <c r="O187" i="2" s="1"/>
  <c r="N188" i="2"/>
  <c r="O188" i="2" s="1"/>
  <c r="N189" i="2"/>
  <c r="O189" i="2" s="1"/>
  <c r="N190" i="2"/>
  <c r="O190" i="2" s="1"/>
  <c r="N191" i="2"/>
  <c r="O191" i="2" s="1"/>
  <c r="N192" i="2"/>
  <c r="O192" i="2" s="1"/>
  <c r="N193" i="2"/>
  <c r="O193" i="2" s="1"/>
  <c r="N194" i="2"/>
  <c r="O194" i="2" s="1"/>
  <c r="N195" i="2"/>
  <c r="O195" i="2" s="1"/>
  <c r="N196" i="2"/>
  <c r="O196" i="2" s="1"/>
  <c r="N197" i="2"/>
  <c r="O197" i="2" s="1"/>
  <c r="N198" i="2"/>
  <c r="O198" i="2" s="1"/>
  <c r="N199" i="2"/>
  <c r="O199" i="2" s="1"/>
  <c r="N200" i="2"/>
  <c r="O200" i="2" s="1"/>
  <c r="N201" i="2"/>
  <c r="O201" i="2" s="1"/>
  <c r="N202" i="2"/>
  <c r="O202" i="2" s="1"/>
  <c r="N203" i="2"/>
  <c r="O203" i="2" s="1"/>
  <c r="N204" i="2"/>
  <c r="O204" i="2" s="1"/>
  <c r="N205" i="2"/>
  <c r="O205" i="2" s="1"/>
  <c r="N206" i="2"/>
  <c r="O206" i="2" s="1"/>
  <c r="N207" i="2"/>
  <c r="O207" i="2" s="1"/>
  <c r="N208" i="2"/>
  <c r="O208" i="2" s="1"/>
  <c r="N209" i="2"/>
  <c r="O209" i="2" s="1"/>
  <c r="N210" i="2"/>
  <c r="O210" i="2" s="1"/>
  <c r="N211" i="2"/>
  <c r="O211" i="2" s="1"/>
  <c r="N212" i="2"/>
  <c r="O212" i="2" s="1"/>
  <c r="N213" i="2"/>
  <c r="O213" i="2" s="1"/>
  <c r="N214" i="2"/>
  <c r="O214" i="2" s="1"/>
  <c r="N215" i="2"/>
  <c r="O215" i="2" s="1"/>
  <c r="N216" i="2"/>
  <c r="O216" i="2" s="1"/>
  <c r="N217" i="2"/>
  <c r="O217" i="2" s="1"/>
  <c r="N218" i="2"/>
  <c r="O218" i="2" s="1"/>
  <c r="N219" i="2"/>
  <c r="O219" i="2" s="1"/>
  <c r="N220" i="2"/>
  <c r="O220" i="2" s="1"/>
  <c r="N221" i="2"/>
  <c r="O221" i="2" s="1"/>
  <c r="N222" i="2"/>
  <c r="O222" i="2" s="1"/>
  <c r="N223" i="2"/>
  <c r="O223" i="2" s="1"/>
  <c r="N224" i="2"/>
  <c r="O224" i="2" s="1"/>
  <c r="N225" i="2"/>
  <c r="O225" i="2" s="1"/>
  <c r="N226" i="2"/>
  <c r="O226" i="2" s="1"/>
  <c r="N227" i="2"/>
  <c r="O227" i="2" s="1"/>
  <c r="N228" i="2"/>
  <c r="O228" i="2" s="1"/>
  <c r="N229" i="2"/>
  <c r="O229" i="2" s="1"/>
  <c r="N230" i="2"/>
  <c r="O230" i="2" s="1"/>
  <c r="N231" i="2"/>
  <c r="O231" i="2" s="1"/>
  <c r="N232" i="2"/>
  <c r="O232" i="2" s="1"/>
  <c r="N233" i="2"/>
  <c r="O233" i="2" s="1"/>
  <c r="N234" i="2"/>
  <c r="O234" i="2" s="1"/>
  <c r="N235" i="2"/>
  <c r="O235" i="2" s="1"/>
  <c r="N236" i="2"/>
  <c r="O236" i="2" s="1"/>
  <c r="N237" i="2"/>
  <c r="N238" i="2"/>
  <c r="O238" i="2" s="1"/>
  <c r="N239" i="2"/>
  <c r="O239" i="2" s="1"/>
  <c r="N240" i="2"/>
  <c r="O240" i="2" s="1"/>
  <c r="N241" i="2"/>
  <c r="O241" i="2" s="1"/>
  <c r="N242" i="2"/>
  <c r="O242" i="2" s="1"/>
  <c r="N243" i="2"/>
  <c r="O243" i="2" s="1"/>
  <c r="N244" i="2"/>
  <c r="O244" i="2" s="1"/>
  <c r="N245" i="2"/>
  <c r="O245" i="2" s="1"/>
  <c r="N246" i="2"/>
  <c r="O246" i="2" s="1"/>
  <c r="N247" i="2"/>
  <c r="O247" i="2" s="1"/>
  <c r="N248" i="2"/>
  <c r="O248" i="2" s="1"/>
  <c r="N249" i="2"/>
  <c r="N250" i="2"/>
  <c r="O250" i="2" s="1"/>
  <c r="N251" i="2"/>
  <c r="O251" i="2" s="1"/>
  <c r="N252" i="2"/>
  <c r="O252" i="2" s="1"/>
  <c r="N253" i="2"/>
  <c r="O253" i="2" s="1"/>
  <c r="N254" i="2"/>
  <c r="O254" i="2" s="1"/>
  <c r="N255" i="2"/>
  <c r="O255" i="2" s="1"/>
  <c r="N256" i="2"/>
  <c r="O256" i="2" s="1"/>
  <c r="N257" i="2"/>
  <c r="O257" i="2" s="1"/>
  <c r="N258" i="2"/>
  <c r="O258" i="2" s="1"/>
  <c r="N259" i="2"/>
  <c r="O259" i="2" s="1"/>
  <c r="N260" i="2"/>
  <c r="O260" i="2" s="1"/>
  <c r="N261" i="2"/>
  <c r="O261" i="2" s="1"/>
  <c r="N262" i="2"/>
  <c r="O262" i="2" s="1"/>
  <c r="N263" i="2"/>
  <c r="O263" i="2" s="1"/>
  <c r="N264" i="2"/>
  <c r="O264" i="2" s="1"/>
  <c r="N265" i="2"/>
  <c r="O265" i="2" s="1"/>
  <c r="N266" i="2"/>
  <c r="O266" i="2" s="1"/>
  <c r="N267" i="2"/>
  <c r="O267" i="2" s="1"/>
  <c r="N268" i="2"/>
  <c r="O268" i="2" s="1"/>
  <c r="N269" i="2"/>
  <c r="O269" i="2" s="1"/>
  <c r="N270" i="2"/>
  <c r="O270" i="2" s="1"/>
  <c r="N271" i="2"/>
  <c r="O271" i="2" s="1"/>
  <c r="N272" i="2"/>
  <c r="O272" i="2" s="1"/>
  <c r="N273" i="2"/>
  <c r="O273" i="2" s="1"/>
  <c r="N274" i="2"/>
  <c r="O274" i="2" s="1"/>
  <c r="N275" i="2"/>
  <c r="O275" i="2" s="1"/>
  <c r="N276" i="2"/>
  <c r="O276" i="2" s="1"/>
  <c r="N277" i="2"/>
  <c r="O277" i="2" s="1"/>
  <c r="N278" i="2"/>
  <c r="O278" i="2" s="1"/>
  <c r="N279" i="2"/>
  <c r="O279" i="2" s="1"/>
  <c r="N280" i="2"/>
  <c r="O280" i="2" s="1"/>
  <c r="N281" i="2"/>
  <c r="O281" i="2" s="1"/>
  <c r="N282" i="2"/>
  <c r="O282" i="2" s="1"/>
  <c r="N283" i="2"/>
  <c r="O283" i="2" s="1"/>
  <c r="N284" i="2"/>
  <c r="O284" i="2" s="1"/>
  <c r="N285" i="2"/>
  <c r="N286" i="2"/>
  <c r="O286" i="2" s="1"/>
  <c r="N287" i="2"/>
  <c r="O287" i="2" s="1"/>
  <c r="N288" i="2"/>
  <c r="O288" i="2" s="1"/>
  <c r="N289" i="2"/>
  <c r="O289" i="2" s="1"/>
  <c r="N290" i="2"/>
  <c r="O290" i="2" s="1"/>
  <c r="N291" i="2"/>
  <c r="O291" i="2" s="1"/>
  <c r="N292" i="2"/>
  <c r="O292" i="2" s="1"/>
  <c r="N293" i="2"/>
  <c r="O293" i="2" s="1"/>
  <c r="N294" i="2"/>
  <c r="O294" i="2" s="1"/>
  <c r="N295" i="2"/>
  <c r="O295" i="2" s="1"/>
  <c r="N296" i="2"/>
  <c r="O296" i="2" s="1"/>
  <c r="N297" i="2"/>
  <c r="N298" i="2"/>
  <c r="O298" i="2" s="1"/>
  <c r="N299" i="2"/>
  <c r="O299" i="2" s="1"/>
  <c r="N300" i="2"/>
  <c r="O300" i="2" s="1"/>
  <c r="N301" i="2"/>
  <c r="O301" i="2" s="1"/>
  <c r="N302" i="2"/>
  <c r="O302" i="2" s="1"/>
  <c r="N303" i="2"/>
  <c r="O303" i="2" s="1"/>
  <c r="N304" i="2"/>
  <c r="O304" i="2" s="1"/>
  <c r="N305" i="2"/>
  <c r="O305" i="2" s="1"/>
  <c r="N306" i="2"/>
  <c r="O306" i="2" s="1"/>
  <c r="N307" i="2"/>
  <c r="O307" i="2" s="1"/>
  <c r="N308" i="2"/>
  <c r="O308" i="2" s="1"/>
  <c r="N309" i="2"/>
  <c r="N310" i="2"/>
  <c r="O310" i="2" s="1"/>
  <c r="N311" i="2"/>
  <c r="O311" i="2" s="1"/>
  <c r="N312" i="2"/>
  <c r="O312" i="2" s="1"/>
  <c r="N313" i="2"/>
  <c r="O313" i="2" s="1"/>
  <c r="N314" i="2"/>
  <c r="O314" i="2" s="1"/>
  <c r="N315" i="2"/>
  <c r="O315" i="2" s="1"/>
  <c r="N316" i="2"/>
  <c r="O316" i="2" s="1"/>
  <c r="N317" i="2"/>
  <c r="O317" i="2" s="1"/>
  <c r="N318" i="2"/>
  <c r="O318" i="2" s="1"/>
  <c r="N319" i="2"/>
  <c r="O319" i="2" s="1"/>
  <c r="N320" i="2"/>
  <c r="O320" i="2" s="1"/>
  <c r="N321" i="2"/>
  <c r="O321" i="2" s="1"/>
  <c r="N322" i="2"/>
  <c r="O322" i="2" s="1"/>
  <c r="N323" i="2"/>
  <c r="O323" i="2" s="1"/>
  <c r="N324" i="2"/>
  <c r="O324" i="2" s="1"/>
  <c r="N325" i="2"/>
  <c r="O325" i="2" s="1"/>
  <c r="N326" i="2"/>
  <c r="O326" i="2" s="1"/>
  <c r="N327" i="2"/>
  <c r="O327" i="2" s="1"/>
  <c r="N328" i="2"/>
  <c r="O328" i="2" s="1"/>
  <c r="N329" i="2"/>
  <c r="O329" i="2" s="1"/>
  <c r="N330" i="2"/>
  <c r="O330" i="2" s="1"/>
  <c r="N331" i="2"/>
  <c r="O331" i="2" s="1"/>
  <c r="N332" i="2"/>
  <c r="O332" i="2" s="1"/>
  <c r="N333" i="2"/>
  <c r="O333" i="2" s="1"/>
  <c r="N334" i="2"/>
  <c r="O334" i="2" s="1"/>
  <c r="N335" i="2"/>
  <c r="O335" i="2" s="1"/>
  <c r="N336" i="2"/>
  <c r="O336" i="2" s="1"/>
  <c r="N337" i="2"/>
  <c r="O337" i="2" s="1"/>
  <c r="N338" i="2"/>
  <c r="O338" i="2" s="1"/>
  <c r="N339" i="2"/>
  <c r="O339" i="2" s="1"/>
  <c r="N340" i="2"/>
  <c r="O340" i="2" s="1"/>
  <c r="N341" i="2"/>
  <c r="O341" i="2" s="1"/>
  <c r="N342" i="2"/>
  <c r="O342" i="2" s="1"/>
  <c r="N343" i="2"/>
  <c r="O343" i="2" s="1"/>
  <c r="N344" i="2"/>
  <c r="O344" i="2" s="1"/>
  <c r="N345" i="2"/>
  <c r="O345" i="2" s="1"/>
  <c r="N346" i="2"/>
  <c r="O346" i="2" s="1"/>
  <c r="N347" i="2"/>
  <c r="O347" i="2" s="1"/>
  <c r="N348" i="2"/>
  <c r="O348" i="2" s="1"/>
  <c r="N349" i="2"/>
  <c r="O349" i="2" s="1"/>
  <c r="N350" i="2"/>
  <c r="O350" i="2" s="1"/>
  <c r="N351" i="2"/>
  <c r="O351" i="2" s="1"/>
  <c r="N352" i="2"/>
  <c r="O352" i="2" s="1"/>
  <c r="N353" i="2"/>
  <c r="O353" i="2" s="1"/>
  <c r="N354" i="2"/>
  <c r="O354" i="2" s="1"/>
  <c r="N355" i="2"/>
  <c r="O355" i="2" s="1"/>
  <c r="N356" i="2"/>
  <c r="O356" i="2" s="1"/>
  <c r="N357" i="2"/>
  <c r="O357" i="2" s="1"/>
  <c r="N358" i="2"/>
  <c r="O358" i="2" s="1"/>
  <c r="N359" i="2"/>
  <c r="O359" i="2" s="1"/>
  <c r="N360" i="2"/>
  <c r="O360" i="2" s="1"/>
  <c r="N361" i="2"/>
  <c r="O361" i="2" s="1"/>
  <c r="N362" i="2"/>
  <c r="O362" i="2" s="1"/>
  <c r="N363" i="2"/>
  <c r="O363" i="2" s="1"/>
  <c r="N364" i="2"/>
  <c r="O364" i="2" s="1"/>
  <c r="N365" i="2"/>
  <c r="O365" i="2" s="1"/>
  <c r="N366" i="2"/>
  <c r="O366" i="2" s="1"/>
  <c r="N367" i="2"/>
  <c r="O367" i="2" s="1"/>
  <c r="N368" i="2"/>
  <c r="O368" i="2" s="1"/>
  <c r="N369" i="2"/>
  <c r="O369" i="2" s="1"/>
  <c r="N370" i="2"/>
  <c r="O370" i="2" s="1"/>
  <c r="N371" i="2"/>
  <c r="O371" i="2" s="1"/>
  <c r="N372" i="2"/>
  <c r="O372" i="2" s="1"/>
  <c r="N373" i="2"/>
  <c r="O373" i="2" s="1"/>
  <c r="N374" i="2"/>
  <c r="O374" i="2" s="1"/>
  <c r="N375" i="2"/>
  <c r="O375" i="2" s="1"/>
  <c r="N376" i="2"/>
  <c r="O376" i="2" s="1"/>
  <c r="N377" i="2"/>
  <c r="O377" i="2" s="1"/>
  <c r="N378" i="2"/>
  <c r="O378" i="2" s="1"/>
  <c r="N379" i="2"/>
  <c r="O379" i="2" s="1"/>
  <c r="N380" i="2"/>
  <c r="O380" i="2" s="1"/>
  <c r="N381" i="2"/>
  <c r="N382" i="2"/>
  <c r="O382" i="2" s="1"/>
  <c r="N383" i="2"/>
  <c r="O383" i="2" s="1"/>
  <c r="N384" i="2"/>
  <c r="O384" i="2" s="1"/>
  <c r="N385" i="2"/>
  <c r="O385" i="2" s="1"/>
  <c r="N386" i="2"/>
  <c r="O386" i="2" s="1"/>
  <c r="N387" i="2"/>
  <c r="O387" i="2" s="1"/>
  <c r="N388" i="2"/>
  <c r="O388" i="2" s="1"/>
  <c r="N389" i="2"/>
  <c r="O389" i="2" s="1"/>
  <c r="N390" i="2"/>
  <c r="O390" i="2" s="1"/>
  <c r="N391" i="2"/>
  <c r="O391" i="2" s="1"/>
  <c r="N392" i="2"/>
  <c r="O392" i="2" s="1"/>
  <c r="N393" i="2"/>
  <c r="N394" i="2"/>
  <c r="O394" i="2" s="1"/>
  <c r="N395" i="2"/>
  <c r="O395" i="2" s="1"/>
  <c r="N396" i="2"/>
  <c r="O396" i="2" s="1"/>
  <c r="N397" i="2"/>
  <c r="O397" i="2" s="1"/>
  <c r="N398" i="2"/>
  <c r="O398" i="2" s="1"/>
  <c r="N399" i="2"/>
  <c r="O399" i="2" s="1"/>
  <c r="N400" i="2"/>
  <c r="O400" i="2" s="1"/>
  <c r="N401" i="2"/>
  <c r="O401" i="2" s="1"/>
  <c r="N402" i="2"/>
  <c r="O402" i="2" s="1"/>
  <c r="N403" i="2"/>
  <c r="O403" i="2" s="1"/>
  <c r="N404" i="2"/>
  <c r="O404" i="2" s="1"/>
  <c r="N405" i="2"/>
  <c r="O405" i="2" s="1"/>
  <c r="N406" i="2"/>
  <c r="O406" i="2" s="1"/>
  <c r="N407" i="2"/>
  <c r="O407" i="2" s="1"/>
  <c r="N408" i="2"/>
  <c r="O408" i="2" s="1"/>
  <c r="N409" i="2"/>
  <c r="O409" i="2" s="1"/>
  <c r="N410" i="2"/>
  <c r="O410" i="2" s="1"/>
  <c r="N411" i="2"/>
  <c r="O411" i="2" s="1"/>
  <c r="N412" i="2"/>
  <c r="O412" i="2" s="1"/>
  <c r="N413" i="2"/>
  <c r="O413" i="2" s="1"/>
  <c r="N414" i="2"/>
  <c r="O414" i="2" s="1"/>
  <c r="N415" i="2"/>
  <c r="O415" i="2" s="1"/>
  <c r="N416" i="2"/>
  <c r="O416" i="2" s="1"/>
  <c r="N417" i="2"/>
  <c r="O417" i="2" s="1"/>
  <c r="N418" i="2"/>
  <c r="O418" i="2" s="1"/>
  <c r="N419" i="2"/>
  <c r="O419" i="2" s="1"/>
  <c r="N420" i="2"/>
  <c r="O420" i="2" s="1"/>
  <c r="N421" i="2"/>
  <c r="O421" i="2" s="1"/>
  <c r="N422" i="2"/>
  <c r="O422" i="2" s="1"/>
  <c r="N423" i="2"/>
  <c r="O423" i="2" s="1"/>
  <c r="N424" i="2"/>
  <c r="O424" i="2" s="1"/>
  <c r="N425" i="2"/>
  <c r="O425" i="2" s="1"/>
  <c r="N426" i="2"/>
  <c r="O426" i="2" s="1"/>
  <c r="N427" i="2"/>
  <c r="O427" i="2" s="1"/>
  <c r="N428" i="2"/>
  <c r="O428" i="2" s="1"/>
  <c r="N429" i="2"/>
  <c r="N430" i="2"/>
  <c r="O430" i="2" s="1"/>
  <c r="N431" i="2"/>
  <c r="O431" i="2" s="1"/>
  <c r="N432" i="2"/>
  <c r="O432" i="2" s="1"/>
  <c r="N433" i="2"/>
  <c r="O433" i="2" s="1"/>
  <c r="N434" i="2"/>
  <c r="O434" i="2" s="1"/>
  <c r="N435" i="2"/>
  <c r="O435" i="2" s="1"/>
  <c r="N436" i="2"/>
  <c r="O436" i="2" s="1"/>
  <c r="N437" i="2"/>
  <c r="O437" i="2" s="1"/>
  <c r="N438" i="2"/>
  <c r="O438" i="2" s="1"/>
  <c r="N439" i="2"/>
  <c r="O439" i="2" s="1"/>
  <c r="N440" i="2"/>
  <c r="O440" i="2" s="1"/>
  <c r="N441" i="2"/>
  <c r="N442" i="2"/>
  <c r="O442" i="2" s="1"/>
  <c r="N443" i="2"/>
  <c r="O443" i="2" s="1"/>
  <c r="N444" i="2"/>
  <c r="O444" i="2" s="1"/>
  <c r="N445" i="2"/>
  <c r="O445" i="2" s="1"/>
  <c r="N446" i="2"/>
  <c r="O446" i="2" s="1"/>
  <c r="N447" i="2"/>
  <c r="O447" i="2" s="1"/>
  <c r="N448" i="2"/>
  <c r="O448" i="2" s="1"/>
  <c r="N449" i="2"/>
  <c r="O449" i="2" s="1"/>
  <c r="N450" i="2"/>
  <c r="O450" i="2" s="1"/>
  <c r="N451" i="2"/>
  <c r="O451" i="2" s="1"/>
  <c r="N452" i="2"/>
  <c r="O452" i="2" s="1"/>
  <c r="N453" i="2"/>
  <c r="N454" i="2"/>
  <c r="O454" i="2" s="1"/>
  <c r="N455" i="2"/>
  <c r="O455" i="2" s="1"/>
  <c r="N456" i="2"/>
  <c r="O456" i="2" s="1"/>
  <c r="N457" i="2"/>
  <c r="O457" i="2" s="1"/>
  <c r="N458" i="2"/>
  <c r="O458" i="2" s="1"/>
  <c r="N459" i="2"/>
  <c r="O459" i="2" s="1"/>
  <c r="N460" i="2"/>
  <c r="O460" i="2" s="1"/>
  <c r="N461" i="2"/>
  <c r="O461" i="2" s="1"/>
  <c r="N462" i="2"/>
  <c r="O462" i="2" s="1"/>
  <c r="N463" i="2"/>
  <c r="O463" i="2" s="1"/>
  <c r="N464" i="2"/>
  <c r="O464" i="2" s="1"/>
  <c r="N465" i="2"/>
  <c r="O465" i="2" s="1"/>
  <c r="N466" i="2"/>
  <c r="O466" i="2" s="1"/>
  <c r="N467" i="2"/>
  <c r="O467" i="2" s="1"/>
  <c r="N468" i="2"/>
  <c r="O468" i="2" s="1"/>
  <c r="N469" i="2"/>
  <c r="O469" i="2" s="1"/>
  <c r="N470" i="2"/>
  <c r="O470" i="2" s="1"/>
  <c r="N471" i="2"/>
  <c r="O471" i="2" s="1"/>
  <c r="N472" i="2"/>
  <c r="O472" i="2" s="1"/>
  <c r="N473" i="2"/>
  <c r="O473" i="2" s="1"/>
  <c r="N474" i="2"/>
  <c r="O474" i="2" s="1"/>
  <c r="N475" i="2"/>
  <c r="O475" i="2" s="1"/>
  <c r="N476" i="2"/>
  <c r="O476" i="2" s="1"/>
  <c r="N477" i="2"/>
  <c r="O477" i="2" s="1"/>
  <c r="N478" i="2"/>
  <c r="O478" i="2" s="1"/>
  <c r="N479" i="2"/>
  <c r="O479" i="2" s="1"/>
  <c r="N480" i="2"/>
  <c r="O480" i="2" s="1"/>
  <c r="N481" i="2"/>
  <c r="O481" i="2" s="1"/>
  <c r="N482" i="2"/>
  <c r="O482" i="2" s="1"/>
  <c r="N483" i="2"/>
  <c r="O483" i="2" s="1"/>
  <c r="N484" i="2"/>
  <c r="O484" i="2" s="1"/>
  <c r="N485" i="2"/>
  <c r="O485" i="2" s="1"/>
  <c r="N486" i="2"/>
  <c r="O486" i="2" s="1"/>
  <c r="N487" i="2"/>
  <c r="O487" i="2" s="1"/>
  <c r="N488" i="2"/>
  <c r="O488" i="2" s="1"/>
  <c r="N489" i="2"/>
  <c r="O489" i="2" s="1"/>
  <c r="N490" i="2"/>
  <c r="O490" i="2" s="1"/>
  <c r="N491" i="2"/>
  <c r="O491" i="2" s="1"/>
  <c r="N492" i="2"/>
  <c r="O492" i="2" s="1"/>
  <c r="N493" i="2"/>
  <c r="O493" i="2" s="1"/>
  <c r="N494" i="2"/>
  <c r="O494" i="2" s="1"/>
  <c r="N495" i="2"/>
  <c r="O495" i="2" s="1"/>
  <c r="N496" i="2"/>
  <c r="O496" i="2" s="1"/>
  <c r="N497" i="2"/>
  <c r="O497" i="2" s="1"/>
  <c r="N498" i="2"/>
  <c r="O498" i="2" s="1"/>
  <c r="N499" i="2"/>
  <c r="O499" i="2" s="1"/>
  <c r="N500" i="2"/>
  <c r="O500" i="2" s="1"/>
  <c r="N501" i="2"/>
  <c r="O501" i="2" s="1"/>
  <c r="N502" i="2"/>
  <c r="O502" i="2" s="1"/>
  <c r="N503" i="2"/>
  <c r="O503" i="2" s="1"/>
  <c r="N504" i="2"/>
  <c r="O504" i="2" s="1"/>
  <c r="N505" i="2"/>
  <c r="O505" i="2" s="1"/>
  <c r="N506" i="2"/>
  <c r="O506" i="2" s="1"/>
  <c r="N507" i="2"/>
  <c r="O507" i="2" s="1"/>
  <c r="N508" i="2"/>
  <c r="O508" i="2" s="1"/>
  <c r="N509" i="2"/>
  <c r="O509" i="2" s="1"/>
  <c r="N510" i="2"/>
  <c r="O510" i="2" s="1"/>
  <c r="N511" i="2"/>
  <c r="O511" i="2" s="1"/>
  <c r="N512" i="2"/>
  <c r="O512" i="2" s="1"/>
  <c r="N513" i="2"/>
  <c r="O513" i="2" s="1"/>
  <c r="N514" i="2"/>
  <c r="O514" i="2" s="1"/>
  <c r="N515" i="2"/>
  <c r="O515" i="2" s="1"/>
  <c r="N516" i="2"/>
  <c r="O516" i="2" s="1"/>
  <c r="N517" i="2"/>
  <c r="O517" i="2" s="1"/>
  <c r="N518" i="2"/>
  <c r="O518" i="2" s="1"/>
  <c r="N519" i="2"/>
  <c r="O519" i="2" s="1"/>
  <c r="N520" i="2"/>
  <c r="O520" i="2" s="1"/>
  <c r="N521" i="2"/>
  <c r="O521" i="2" s="1"/>
  <c r="N522" i="2"/>
  <c r="O522" i="2" s="1"/>
  <c r="N523" i="2"/>
  <c r="O523" i="2" s="1"/>
  <c r="N524" i="2"/>
  <c r="O524" i="2" s="1"/>
  <c r="N525" i="2"/>
  <c r="N526" i="2"/>
  <c r="O526" i="2" s="1"/>
  <c r="N527" i="2"/>
  <c r="O527" i="2" s="1"/>
  <c r="N528" i="2"/>
  <c r="O528" i="2" s="1"/>
  <c r="N529" i="2"/>
  <c r="O529" i="2" s="1"/>
  <c r="N530" i="2"/>
  <c r="O530" i="2" s="1"/>
  <c r="N531" i="2"/>
  <c r="O531" i="2" s="1"/>
  <c r="N532" i="2"/>
  <c r="O532" i="2" s="1"/>
  <c r="N533" i="2"/>
  <c r="O533" i="2" s="1"/>
  <c r="N534" i="2"/>
  <c r="O534" i="2" s="1"/>
  <c r="N535" i="2"/>
  <c r="O535" i="2" s="1"/>
  <c r="N536" i="2"/>
  <c r="O536" i="2" s="1"/>
  <c r="N537" i="2"/>
  <c r="N538" i="2"/>
  <c r="O538" i="2" s="1"/>
  <c r="N539" i="2"/>
  <c r="O539" i="2" s="1"/>
  <c r="N540" i="2"/>
  <c r="O540" i="2" s="1"/>
  <c r="N541" i="2"/>
  <c r="O541" i="2" s="1"/>
  <c r="N542" i="2"/>
  <c r="O542" i="2" s="1"/>
  <c r="N543" i="2"/>
  <c r="O543" i="2" s="1"/>
  <c r="N544" i="2"/>
  <c r="O544" i="2" s="1"/>
  <c r="N545" i="2"/>
  <c r="O545" i="2" s="1"/>
  <c r="N546" i="2"/>
  <c r="O546" i="2" s="1"/>
  <c r="N547" i="2"/>
  <c r="O547" i="2" s="1"/>
  <c r="N548" i="2"/>
  <c r="O548" i="2" s="1"/>
  <c r="N549" i="2"/>
  <c r="O549" i="2" s="1"/>
  <c r="N550" i="2"/>
  <c r="O550" i="2" s="1"/>
  <c r="N551" i="2"/>
  <c r="O551" i="2" s="1"/>
  <c r="N552" i="2"/>
  <c r="O552" i="2" s="1"/>
  <c r="N553" i="2"/>
  <c r="O553" i="2" s="1"/>
  <c r="N554" i="2"/>
  <c r="O554" i="2" s="1"/>
  <c r="N555" i="2"/>
  <c r="O555" i="2" s="1"/>
  <c r="N556" i="2"/>
  <c r="O556" i="2" s="1"/>
  <c r="N557" i="2"/>
  <c r="O557" i="2" s="1"/>
  <c r="N558" i="2"/>
  <c r="O558" i="2" s="1"/>
  <c r="N559" i="2"/>
  <c r="O559" i="2" s="1"/>
  <c r="N560" i="2"/>
  <c r="O560" i="2" s="1"/>
  <c r="N561" i="2"/>
  <c r="O561" i="2" s="1"/>
  <c r="N562" i="2"/>
  <c r="O562" i="2" s="1"/>
  <c r="N563" i="2"/>
  <c r="O563" i="2" s="1"/>
  <c r="N564" i="2"/>
  <c r="O564" i="2" s="1"/>
  <c r="N565" i="2"/>
  <c r="O565" i="2" s="1"/>
  <c r="N566" i="2"/>
  <c r="O566" i="2" s="1"/>
  <c r="N567" i="2"/>
  <c r="O567" i="2" s="1"/>
  <c r="N568" i="2"/>
  <c r="O568" i="2" s="1"/>
  <c r="N569" i="2"/>
  <c r="O569" i="2" s="1"/>
  <c r="N570" i="2"/>
  <c r="O570" i="2" s="1"/>
  <c r="N571" i="2"/>
  <c r="O571" i="2" s="1"/>
  <c r="N572" i="2"/>
  <c r="O572" i="2" s="1"/>
  <c r="N573" i="2"/>
  <c r="N574" i="2"/>
  <c r="O574" i="2" s="1"/>
  <c r="N575" i="2"/>
  <c r="O575" i="2" s="1"/>
  <c r="N576" i="2"/>
  <c r="O576" i="2" s="1"/>
  <c r="N577" i="2"/>
  <c r="O577" i="2" s="1"/>
  <c r="N578" i="2"/>
  <c r="O578" i="2" s="1"/>
  <c r="N579" i="2"/>
  <c r="O579" i="2" s="1"/>
  <c r="N580" i="2"/>
  <c r="O580" i="2" s="1"/>
  <c r="N581" i="2"/>
  <c r="O581" i="2" s="1"/>
  <c r="N582" i="2"/>
  <c r="O582" i="2" s="1"/>
  <c r="N583" i="2"/>
  <c r="O583" i="2" s="1"/>
  <c r="N584" i="2"/>
  <c r="O584" i="2" s="1"/>
  <c r="N585" i="2"/>
  <c r="N586" i="2"/>
  <c r="O586" i="2" s="1"/>
  <c r="N587" i="2"/>
  <c r="O587" i="2" s="1"/>
  <c r="N588" i="2"/>
  <c r="O588" i="2" s="1"/>
  <c r="N589" i="2"/>
  <c r="O589" i="2" s="1"/>
  <c r="N590" i="2"/>
  <c r="O590" i="2" s="1"/>
  <c r="N591" i="2"/>
  <c r="O591" i="2" s="1"/>
  <c r="N592" i="2"/>
  <c r="O592" i="2" s="1"/>
  <c r="N593" i="2"/>
  <c r="O593" i="2" s="1"/>
  <c r="N594" i="2"/>
  <c r="O594" i="2" s="1"/>
  <c r="N595" i="2"/>
  <c r="O595" i="2" s="1"/>
  <c r="N596" i="2"/>
  <c r="O596" i="2" s="1"/>
  <c r="N597" i="2"/>
  <c r="N598" i="2"/>
  <c r="O598" i="2" s="1"/>
  <c r="N599" i="2"/>
  <c r="O599" i="2" s="1"/>
  <c r="N600" i="2"/>
  <c r="O600" i="2" s="1"/>
  <c r="N601" i="2"/>
  <c r="O601" i="2" s="1"/>
  <c r="N602" i="2"/>
  <c r="O602" i="2" s="1"/>
  <c r="N603" i="2"/>
  <c r="O603" i="2" s="1"/>
  <c r="N604" i="2"/>
  <c r="O604" i="2" s="1"/>
  <c r="N605" i="2"/>
  <c r="O605" i="2" s="1"/>
  <c r="N606" i="2"/>
  <c r="O606" i="2" s="1"/>
  <c r="N607" i="2"/>
  <c r="O607" i="2" s="1"/>
  <c r="N608" i="2"/>
  <c r="O608" i="2" s="1"/>
  <c r="N609" i="2"/>
  <c r="O609" i="2" s="1"/>
  <c r="N610" i="2"/>
  <c r="O610" i="2" s="1"/>
  <c r="N611" i="2"/>
  <c r="O611" i="2" s="1"/>
  <c r="N612" i="2"/>
  <c r="O612" i="2" s="1"/>
  <c r="N613" i="2"/>
  <c r="O613" i="2" s="1"/>
  <c r="N614" i="2"/>
  <c r="O614" i="2" s="1"/>
  <c r="N615" i="2"/>
  <c r="O615" i="2" s="1"/>
  <c r="N616" i="2"/>
  <c r="O616" i="2" s="1"/>
  <c r="N617" i="2"/>
  <c r="O617" i="2" s="1"/>
  <c r="N618" i="2"/>
  <c r="O618" i="2" s="1"/>
  <c r="N619" i="2"/>
  <c r="O619" i="2" s="1"/>
  <c r="N620" i="2"/>
  <c r="O620" i="2" s="1"/>
  <c r="N621" i="2"/>
  <c r="O621" i="2" s="1"/>
  <c r="N622" i="2"/>
  <c r="O622" i="2" s="1"/>
  <c r="N623" i="2"/>
  <c r="O623" i="2" s="1"/>
  <c r="N624" i="2"/>
  <c r="O624" i="2" s="1"/>
  <c r="N625" i="2"/>
  <c r="O625" i="2" s="1"/>
  <c r="N626" i="2"/>
  <c r="O626" i="2" s="1"/>
  <c r="N627" i="2"/>
  <c r="O627" i="2" s="1"/>
  <c r="N628" i="2"/>
  <c r="O628" i="2" s="1"/>
  <c r="N629" i="2"/>
  <c r="O629" i="2" s="1"/>
  <c r="N630" i="2"/>
  <c r="O630" i="2" s="1"/>
  <c r="N631" i="2"/>
  <c r="O631" i="2" s="1"/>
  <c r="N632" i="2"/>
  <c r="O632" i="2" s="1"/>
  <c r="N633" i="2"/>
  <c r="O633" i="2" s="1"/>
  <c r="N634" i="2"/>
  <c r="O634" i="2" s="1"/>
  <c r="N635" i="2"/>
  <c r="O635" i="2" s="1"/>
  <c r="N636" i="2"/>
  <c r="O636" i="2" s="1"/>
  <c r="N637" i="2"/>
  <c r="O637" i="2" s="1"/>
  <c r="N638" i="2"/>
  <c r="O638" i="2" s="1"/>
  <c r="N639" i="2"/>
  <c r="O639" i="2" s="1"/>
  <c r="N640" i="2"/>
  <c r="O640" i="2" s="1"/>
  <c r="N641" i="2"/>
  <c r="O641" i="2" s="1"/>
  <c r="N642" i="2"/>
  <c r="O642" i="2" s="1"/>
  <c r="N643" i="2"/>
  <c r="O643" i="2" s="1"/>
  <c r="N644" i="2"/>
  <c r="O644" i="2" s="1"/>
  <c r="N645" i="2"/>
  <c r="O645" i="2" s="1"/>
  <c r="N646" i="2"/>
  <c r="O646" i="2" s="1"/>
  <c r="N647" i="2"/>
  <c r="O647" i="2" s="1"/>
  <c r="N648" i="2"/>
  <c r="O648" i="2" s="1"/>
  <c r="N649" i="2"/>
  <c r="O649" i="2" s="1"/>
  <c r="N650" i="2"/>
  <c r="O650" i="2" s="1"/>
  <c r="N651" i="2"/>
  <c r="O651" i="2" s="1"/>
  <c r="N652" i="2"/>
  <c r="O652" i="2" s="1"/>
  <c r="N653" i="2"/>
  <c r="O653" i="2" s="1"/>
  <c r="N654" i="2"/>
  <c r="O654" i="2" s="1"/>
  <c r="N655" i="2"/>
  <c r="O655" i="2" s="1"/>
  <c r="N656" i="2"/>
  <c r="O656" i="2" s="1"/>
  <c r="N657" i="2"/>
  <c r="O657" i="2" s="1"/>
  <c r="N658" i="2"/>
  <c r="O658" i="2" s="1"/>
  <c r="N659" i="2"/>
  <c r="O659" i="2" s="1"/>
  <c r="N660" i="2"/>
  <c r="O660" i="2" s="1"/>
  <c r="N661" i="2"/>
  <c r="O661" i="2" s="1"/>
  <c r="N662" i="2"/>
  <c r="O662" i="2" s="1"/>
  <c r="N663" i="2"/>
  <c r="O663" i="2" s="1"/>
  <c r="N664" i="2"/>
  <c r="O664" i="2" s="1"/>
  <c r="N665" i="2"/>
  <c r="O665" i="2" s="1"/>
  <c r="N666" i="2"/>
  <c r="O666" i="2" s="1"/>
  <c r="N667" i="2"/>
  <c r="O667" i="2" s="1"/>
  <c r="N668" i="2"/>
  <c r="O668" i="2" s="1"/>
  <c r="N669" i="2"/>
  <c r="N670" i="2"/>
  <c r="O670" i="2" s="1"/>
  <c r="N671" i="2"/>
  <c r="O671" i="2" s="1"/>
  <c r="N672" i="2"/>
  <c r="O672" i="2" s="1"/>
  <c r="N673" i="2"/>
  <c r="O673" i="2" s="1"/>
  <c r="N674" i="2"/>
  <c r="O674" i="2" s="1"/>
  <c r="N675" i="2"/>
  <c r="O675" i="2" s="1"/>
  <c r="N676" i="2"/>
  <c r="O676" i="2" s="1"/>
  <c r="N677" i="2"/>
  <c r="O677" i="2" s="1"/>
  <c r="N678" i="2"/>
  <c r="O678" i="2" s="1"/>
  <c r="N679" i="2"/>
  <c r="O679" i="2" s="1"/>
  <c r="N680" i="2"/>
  <c r="O680" i="2" s="1"/>
  <c r="N681" i="2"/>
  <c r="N682" i="2"/>
  <c r="O682" i="2" s="1"/>
  <c r="N683" i="2"/>
  <c r="O683" i="2" s="1"/>
  <c r="N684" i="2"/>
  <c r="O684" i="2" s="1"/>
  <c r="N685" i="2"/>
  <c r="O685" i="2" s="1"/>
  <c r="N686" i="2"/>
  <c r="O686" i="2" s="1"/>
  <c r="N687" i="2"/>
  <c r="O687" i="2" s="1"/>
  <c r="N688" i="2"/>
  <c r="O688" i="2" s="1"/>
  <c r="N689" i="2"/>
  <c r="O689" i="2" s="1"/>
  <c r="N690" i="2"/>
  <c r="O690" i="2" s="1"/>
  <c r="N691" i="2"/>
  <c r="O691" i="2" s="1"/>
  <c r="N692" i="2"/>
  <c r="O692" i="2" s="1"/>
  <c r="N693" i="2"/>
  <c r="O693" i="2" s="1"/>
  <c r="N694" i="2"/>
  <c r="O694" i="2" s="1"/>
  <c r="N695" i="2"/>
  <c r="O695" i="2" s="1"/>
  <c r="N696" i="2"/>
  <c r="O696" i="2" s="1"/>
  <c r="N697" i="2"/>
  <c r="O697" i="2" s="1"/>
  <c r="N698" i="2"/>
  <c r="O698" i="2" s="1"/>
  <c r="N699" i="2"/>
  <c r="O699" i="2" s="1"/>
  <c r="N700" i="2"/>
  <c r="O700" i="2" s="1"/>
  <c r="N701" i="2"/>
  <c r="O701" i="2" s="1"/>
  <c r="N702" i="2"/>
  <c r="O702" i="2" s="1"/>
  <c r="N703" i="2"/>
  <c r="O703" i="2" s="1"/>
  <c r="N704" i="2"/>
  <c r="O704" i="2" s="1"/>
  <c r="N705" i="2"/>
  <c r="O705" i="2" s="1"/>
  <c r="N706" i="2"/>
  <c r="O706" i="2" s="1"/>
  <c r="N707" i="2"/>
  <c r="O707" i="2" s="1"/>
  <c r="N708" i="2"/>
  <c r="O708" i="2" s="1"/>
  <c r="N709" i="2"/>
  <c r="O709" i="2" s="1"/>
  <c r="N710" i="2"/>
  <c r="O710" i="2" s="1"/>
  <c r="N711" i="2"/>
  <c r="O711" i="2" s="1"/>
  <c r="N712" i="2"/>
  <c r="O712" i="2" s="1"/>
  <c r="N713" i="2"/>
  <c r="O713" i="2" s="1"/>
  <c r="N714" i="2"/>
  <c r="O714" i="2" s="1"/>
  <c r="N715" i="2"/>
  <c r="O715" i="2" s="1"/>
  <c r="N716" i="2"/>
  <c r="O716" i="2" s="1"/>
  <c r="N717" i="2"/>
  <c r="N718" i="2"/>
  <c r="O718" i="2" s="1"/>
  <c r="N719" i="2"/>
  <c r="O719" i="2" s="1"/>
  <c r="N720" i="2"/>
  <c r="O720" i="2" s="1"/>
  <c r="N721" i="2"/>
  <c r="O721" i="2" s="1"/>
  <c r="N722" i="2"/>
  <c r="O722" i="2" s="1"/>
  <c r="N723" i="2"/>
  <c r="O723" i="2" s="1"/>
  <c r="N724" i="2"/>
  <c r="O724" i="2" s="1"/>
  <c r="N725" i="2"/>
  <c r="O725" i="2" s="1"/>
  <c r="N726" i="2"/>
  <c r="O726" i="2" s="1"/>
  <c r="N727" i="2"/>
  <c r="O727" i="2" s="1"/>
  <c r="N728" i="2"/>
  <c r="O728" i="2" s="1"/>
  <c r="N729" i="2"/>
  <c r="N730" i="2"/>
  <c r="O730" i="2" s="1"/>
  <c r="N731" i="2"/>
  <c r="O731" i="2" s="1"/>
  <c r="N732" i="2"/>
  <c r="O732" i="2" s="1"/>
  <c r="N733" i="2"/>
  <c r="O733" i="2" s="1"/>
  <c r="N734" i="2"/>
  <c r="O734" i="2" s="1"/>
  <c r="N735" i="2"/>
  <c r="O735" i="2" s="1"/>
  <c r="N736" i="2"/>
  <c r="O736" i="2" s="1"/>
  <c r="N737" i="2"/>
  <c r="O737" i="2" s="1"/>
  <c r="N738" i="2"/>
  <c r="O738" i="2" s="1"/>
  <c r="N739" i="2"/>
  <c r="O739" i="2" s="1"/>
  <c r="N740" i="2"/>
  <c r="O740" i="2" s="1"/>
  <c r="N741" i="2"/>
  <c r="N742" i="2"/>
  <c r="O742" i="2" s="1"/>
  <c r="N743" i="2"/>
  <c r="O743" i="2" s="1"/>
  <c r="N744" i="2"/>
  <c r="O744" i="2" s="1"/>
  <c r="N745" i="2"/>
  <c r="O745" i="2" s="1"/>
  <c r="N746" i="2"/>
  <c r="O746" i="2" s="1"/>
  <c r="N747" i="2"/>
  <c r="O747" i="2" s="1"/>
  <c r="N748" i="2"/>
  <c r="O748" i="2" s="1"/>
  <c r="N749" i="2"/>
  <c r="O749" i="2" s="1"/>
  <c r="N750" i="2"/>
  <c r="O750" i="2" s="1"/>
  <c r="N751" i="2"/>
  <c r="O751" i="2" s="1"/>
  <c r="N752" i="2"/>
  <c r="O752" i="2" s="1"/>
  <c r="N753" i="2"/>
  <c r="O753" i="2" s="1"/>
  <c r="N754" i="2"/>
  <c r="O754" i="2" s="1"/>
  <c r="N755" i="2"/>
  <c r="O755" i="2" s="1"/>
  <c r="N756" i="2"/>
  <c r="O756" i="2" s="1"/>
  <c r="N757" i="2"/>
  <c r="O757" i="2" s="1"/>
  <c r="N758" i="2"/>
  <c r="O758" i="2" s="1"/>
  <c r="N759" i="2"/>
  <c r="O759" i="2" s="1"/>
  <c r="N760" i="2"/>
  <c r="O760" i="2" s="1"/>
  <c r="N761" i="2"/>
  <c r="O761" i="2" s="1"/>
  <c r="N762" i="2"/>
  <c r="O762" i="2" s="1"/>
  <c r="N763" i="2"/>
  <c r="O763" i="2" s="1"/>
  <c r="N764" i="2"/>
  <c r="O764" i="2" s="1"/>
  <c r="N765" i="2"/>
  <c r="O765" i="2" s="1"/>
  <c r="N766" i="2"/>
  <c r="O766" i="2" s="1"/>
  <c r="N767" i="2"/>
  <c r="O767" i="2" s="1"/>
  <c r="N768" i="2"/>
  <c r="O768" i="2" s="1"/>
  <c r="N769" i="2"/>
  <c r="O769" i="2" s="1"/>
  <c r="N770" i="2"/>
  <c r="O770" i="2" s="1"/>
  <c r="N771" i="2"/>
  <c r="O771" i="2" s="1"/>
  <c r="N772" i="2"/>
  <c r="O772" i="2" s="1"/>
  <c r="N773" i="2"/>
  <c r="O773" i="2" s="1"/>
  <c r="N774" i="2"/>
  <c r="O774" i="2" s="1"/>
  <c r="N775" i="2"/>
  <c r="O775" i="2" s="1"/>
  <c r="N776" i="2"/>
  <c r="O776" i="2" s="1"/>
  <c r="N777" i="2"/>
  <c r="O777" i="2" s="1"/>
  <c r="N778" i="2"/>
  <c r="O778" i="2" s="1"/>
  <c r="N779" i="2"/>
  <c r="O779" i="2" s="1"/>
  <c r="N780" i="2"/>
  <c r="O780" i="2" s="1"/>
  <c r="N781" i="2"/>
  <c r="O781" i="2" s="1"/>
  <c r="N782" i="2"/>
  <c r="O782" i="2" s="1"/>
  <c r="N783" i="2"/>
  <c r="O783" i="2" s="1"/>
  <c r="N784" i="2"/>
  <c r="O784" i="2" s="1"/>
  <c r="N785" i="2"/>
  <c r="O785" i="2" s="1"/>
  <c r="N786" i="2"/>
  <c r="O786" i="2" s="1"/>
  <c r="N787" i="2"/>
  <c r="O787" i="2" s="1"/>
  <c r="N788" i="2"/>
  <c r="O788" i="2" s="1"/>
  <c r="N789" i="2"/>
  <c r="O789" i="2" s="1"/>
  <c r="N790" i="2"/>
  <c r="O790" i="2" s="1"/>
  <c r="N791" i="2"/>
  <c r="O791" i="2" s="1"/>
  <c r="N792" i="2"/>
  <c r="O792" i="2" s="1"/>
  <c r="N793" i="2"/>
  <c r="O793" i="2" s="1"/>
  <c r="N794" i="2"/>
  <c r="O794" i="2" s="1"/>
  <c r="N795" i="2"/>
  <c r="O795" i="2" s="1"/>
  <c r="N796" i="2"/>
  <c r="O796" i="2" s="1"/>
  <c r="N797" i="2"/>
  <c r="O797" i="2" s="1"/>
  <c r="N798" i="2"/>
  <c r="O798" i="2" s="1"/>
  <c r="N799" i="2"/>
  <c r="O799" i="2" s="1"/>
  <c r="N800" i="2"/>
  <c r="O800" i="2" s="1"/>
  <c r="N801" i="2"/>
  <c r="O801" i="2" s="1"/>
  <c r="N802" i="2"/>
  <c r="O802" i="2" s="1"/>
  <c r="N803" i="2"/>
  <c r="O803" i="2" s="1"/>
  <c r="N804" i="2"/>
  <c r="O804" i="2" s="1"/>
  <c r="N805" i="2"/>
  <c r="O805" i="2" s="1"/>
  <c r="N806" i="2"/>
  <c r="O806" i="2" s="1"/>
  <c r="N807" i="2"/>
  <c r="O807" i="2" s="1"/>
  <c r="N808" i="2"/>
  <c r="O808" i="2" s="1"/>
  <c r="N809" i="2"/>
  <c r="O809" i="2" s="1"/>
  <c r="N810" i="2"/>
  <c r="O810" i="2" s="1"/>
  <c r="N811" i="2"/>
  <c r="O811" i="2" s="1"/>
  <c r="N812" i="2"/>
  <c r="O812" i="2" s="1"/>
  <c r="N813" i="2"/>
  <c r="N814" i="2"/>
  <c r="O814" i="2" s="1"/>
  <c r="N815" i="2"/>
  <c r="O815" i="2" s="1"/>
  <c r="N816" i="2"/>
  <c r="O816" i="2" s="1"/>
  <c r="N817" i="2"/>
  <c r="O817" i="2" s="1"/>
  <c r="N818" i="2"/>
  <c r="O818" i="2" s="1"/>
  <c r="N819" i="2"/>
  <c r="O819" i="2" s="1"/>
  <c r="N820" i="2"/>
  <c r="O820" i="2" s="1"/>
  <c r="N821" i="2"/>
  <c r="O821" i="2" s="1"/>
  <c r="N822" i="2"/>
  <c r="O822" i="2" s="1"/>
  <c r="N823" i="2"/>
  <c r="O823" i="2" s="1"/>
  <c r="N824" i="2"/>
  <c r="O824" i="2" s="1"/>
  <c r="N825" i="2"/>
  <c r="N826" i="2"/>
  <c r="O826" i="2" s="1"/>
  <c r="N827" i="2"/>
  <c r="O827" i="2" s="1"/>
  <c r="N828" i="2"/>
  <c r="O828" i="2" s="1"/>
  <c r="N829" i="2"/>
  <c r="O829" i="2" s="1"/>
  <c r="N830" i="2"/>
  <c r="O830" i="2" s="1"/>
  <c r="N831" i="2"/>
  <c r="O831" i="2" s="1"/>
  <c r="N832" i="2"/>
  <c r="O832" i="2" s="1"/>
  <c r="N833" i="2"/>
  <c r="O833" i="2" s="1"/>
  <c r="N834" i="2"/>
  <c r="O834" i="2" s="1"/>
  <c r="N835" i="2"/>
  <c r="O835" i="2" s="1"/>
  <c r="N836" i="2"/>
  <c r="O836" i="2" s="1"/>
  <c r="N837" i="2"/>
  <c r="O837" i="2" s="1"/>
  <c r="N838" i="2"/>
  <c r="O838" i="2" s="1"/>
  <c r="N839" i="2"/>
  <c r="O839" i="2" s="1"/>
  <c r="N840" i="2"/>
  <c r="O840" i="2" s="1"/>
  <c r="N841" i="2"/>
  <c r="O841" i="2" s="1"/>
  <c r="N842" i="2"/>
  <c r="O842" i="2" s="1"/>
  <c r="N843" i="2"/>
  <c r="O843" i="2" s="1"/>
  <c r="N844" i="2"/>
  <c r="O844" i="2" s="1"/>
  <c r="N845" i="2"/>
  <c r="O845" i="2" s="1"/>
  <c r="N846" i="2"/>
  <c r="O846" i="2" s="1"/>
  <c r="N847" i="2"/>
  <c r="O847" i="2" s="1"/>
  <c r="N848" i="2"/>
  <c r="O848" i="2" s="1"/>
  <c r="N849" i="2"/>
  <c r="O849" i="2" s="1"/>
  <c r="N850" i="2"/>
  <c r="O850" i="2" s="1"/>
  <c r="N851" i="2"/>
  <c r="O851" i="2" s="1"/>
  <c r="N852" i="2"/>
  <c r="O852" i="2" s="1"/>
  <c r="N853" i="2"/>
  <c r="O853" i="2" s="1"/>
  <c r="N854" i="2"/>
  <c r="O854" i="2" s="1"/>
  <c r="N855" i="2"/>
  <c r="O855" i="2" s="1"/>
  <c r="N856" i="2"/>
  <c r="O856" i="2" s="1"/>
  <c r="N857" i="2"/>
  <c r="O857" i="2" s="1"/>
  <c r="N858" i="2"/>
  <c r="O858" i="2" s="1"/>
  <c r="N859" i="2"/>
  <c r="O859" i="2" s="1"/>
  <c r="N860" i="2"/>
  <c r="O860" i="2" s="1"/>
  <c r="N861" i="2"/>
  <c r="N862" i="2"/>
  <c r="O862" i="2" s="1"/>
  <c r="N863" i="2"/>
  <c r="O863" i="2" s="1"/>
  <c r="N864" i="2"/>
  <c r="O864" i="2" s="1"/>
  <c r="N865" i="2"/>
  <c r="O865" i="2" s="1"/>
  <c r="N866" i="2"/>
  <c r="O866" i="2" s="1"/>
  <c r="N867" i="2"/>
  <c r="O867" i="2" s="1"/>
  <c r="N868" i="2"/>
  <c r="O868" i="2" s="1"/>
  <c r="N869" i="2"/>
  <c r="O869" i="2" s="1"/>
  <c r="N870" i="2"/>
  <c r="O870" i="2" s="1"/>
  <c r="N871" i="2"/>
  <c r="O871" i="2" s="1"/>
  <c r="N872" i="2"/>
  <c r="O872" i="2" s="1"/>
  <c r="N873" i="2"/>
  <c r="N874" i="2"/>
  <c r="O874" i="2" s="1"/>
  <c r="N875" i="2"/>
  <c r="O875" i="2" s="1"/>
  <c r="N876" i="2"/>
  <c r="O876" i="2" s="1"/>
  <c r="N877" i="2"/>
  <c r="O877" i="2" s="1"/>
  <c r="N878" i="2"/>
  <c r="O878" i="2" s="1"/>
  <c r="N879" i="2"/>
  <c r="O879" i="2" s="1"/>
  <c r="N880" i="2"/>
  <c r="O880" i="2" s="1"/>
  <c r="N881" i="2"/>
  <c r="O881" i="2" s="1"/>
  <c r="N882" i="2"/>
  <c r="O882" i="2" s="1"/>
  <c r="N883" i="2"/>
  <c r="O883" i="2" s="1"/>
  <c r="N884" i="2"/>
  <c r="O884" i="2" s="1"/>
  <c r="N885" i="2"/>
  <c r="N886" i="2"/>
  <c r="O886" i="2" s="1"/>
  <c r="N887" i="2"/>
  <c r="O887" i="2" s="1"/>
  <c r="N888" i="2"/>
  <c r="O888" i="2" s="1"/>
  <c r="N889" i="2"/>
  <c r="O889" i="2" s="1"/>
  <c r="N890" i="2"/>
  <c r="O890" i="2" s="1"/>
  <c r="N891" i="2"/>
  <c r="O891" i="2" s="1"/>
  <c r="N892" i="2"/>
  <c r="O892" i="2" s="1"/>
  <c r="N893" i="2"/>
  <c r="O893" i="2" s="1"/>
  <c r="N894" i="2"/>
  <c r="O894" i="2" s="1"/>
  <c r="N895" i="2"/>
  <c r="O895" i="2" s="1"/>
  <c r="N896" i="2"/>
  <c r="O896" i="2" s="1"/>
  <c r="N897" i="2"/>
  <c r="O897" i="2" s="1"/>
  <c r="N898" i="2"/>
  <c r="O898" i="2" s="1"/>
  <c r="N899" i="2"/>
  <c r="O899" i="2" s="1"/>
  <c r="N900" i="2"/>
  <c r="O900" i="2" s="1"/>
  <c r="N901" i="2"/>
  <c r="O901" i="2" s="1"/>
  <c r="N902" i="2"/>
  <c r="O902" i="2" s="1"/>
  <c r="N903" i="2"/>
  <c r="O903" i="2" s="1"/>
  <c r="N904" i="2"/>
  <c r="O904" i="2" s="1"/>
  <c r="N905" i="2"/>
  <c r="O905" i="2" s="1"/>
  <c r="N906" i="2"/>
  <c r="O906" i="2" s="1"/>
  <c r="N907" i="2"/>
  <c r="O907" i="2" s="1"/>
  <c r="N908" i="2"/>
  <c r="O908" i="2" s="1"/>
  <c r="N909" i="2"/>
  <c r="O909" i="2" s="1"/>
  <c r="N910" i="2"/>
  <c r="O910" i="2" s="1"/>
  <c r="N911" i="2"/>
  <c r="O911" i="2" s="1"/>
  <c r="N912" i="2"/>
  <c r="O912" i="2" s="1"/>
  <c r="N913" i="2"/>
  <c r="O913" i="2" s="1"/>
  <c r="N914" i="2"/>
  <c r="O914" i="2" s="1"/>
  <c r="N915" i="2"/>
  <c r="O915" i="2" s="1"/>
  <c r="N916" i="2"/>
  <c r="O916" i="2" s="1"/>
  <c r="N917" i="2"/>
  <c r="O917" i="2" s="1"/>
  <c r="N918" i="2"/>
  <c r="O918" i="2" s="1"/>
  <c r="N919" i="2"/>
  <c r="O919" i="2" s="1"/>
  <c r="N920" i="2"/>
  <c r="O920" i="2" s="1"/>
  <c r="N921" i="2"/>
  <c r="O921" i="2" s="1"/>
  <c r="N922" i="2"/>
  <c r="O922" i="2" s="1"/>
  <c r="N923" i="2"/>
  <c r="O923" i="2" s="1"/>
  <c r="N924" i="2"/>
  <c r="O924" i="2" s="1"/>
  <c r="N925" i="2"/>
  <c r="O925" i="2" s="1"/>
  <c r="N926" i="2"/>
  <c r="O926" i="2" s="1"/>
  <c r="N927" i="2"/>
  <c r="O927" i="2" s="1"/>
  <c r="N928" i="2"/>
  <c r="O928" i="2" s="1"/>
  <c r="N929" i="2"/>
  <c r="O929" i="2" s="1"/>
  <c r="N930" i="2"/>
  <c r="O930" i="2" s="1"/>
  <c r="N931" i="2"/>
  <c r="O931" i="2" s="1"/>
  <c r="N932" i="2"/>
  <c r="O932" i="2" s="1"/>
  <c r="N933" i="2"/>
  <c r="O933" i="2" s="1"/>
  <c r="N934" i="2"/>
  <c r="O934" i="2" s="1"/>
  <c r="N935" i="2"/>
  <c r="O935" i="2" s="1"/>
  <c r="N936" i="2"/>
  <c r="O936" i="2" s="1"/>
  <c r="N937" i="2"/>
  <c r="O937" i="2" s="1"/>
  <c r="N938" i="2"/>
  <c r="O938" i="2" s="1"/>
  <c r="N939" i="2"/>
  <c r="O939" i="2" s="1"/>
  <c r="N940" i="2"/>
  <c r="O940" i="2" s="1"/>
  <c r="N941" i="2"/>
  <c r="O941" i="2" s="1"/>
  <c r="N942" i="2"/>
  <c r="O942" i="2" s="1"/>
  <c r="N943" i="2"/>
  <c r="O943" i="2" s="1"/>
  <c r="N944" i="2"/>
  <c r="O944" i="2" s="1"/>
  <c r="N945" i="2"/>
  <c r="O945" i="2" s="1"/>
  <c r="N946" i="2"/>
  <c r="O946" i="2" s="1"/>
  <c r="N947" i="2"/>
  <c r="O947" i="2" s="1"/>
  <c r="N948" i="2"/>
  <c r="O948" i="2" s="1"/>
  <c r="N949" i="2"/>
  <c r="O949" i="2" s="1"/>
  <c r="N950" i="2"/>
  <c r="O950" i="2" s="1"/>
  <c r="N951" i="2"/>
  <c r="O951" i="2" s="1"/>
  <c r="N952" i="2"/>
  <c r="O952" i="2" s="1"/>
  <c r="N953" i="2"/>
  <c r="O953" i="2" s="1"/>
  <c r="N954" i="2"/>
  <c r="O954" i="2" s="1"/>
  <c r="N955" i="2"/>
  <c r="O955" i="2" s="1"/>
  <c r="N956" i="2"/>
  <c r="O956" i="2" s="1"/>
  <c r="N957" i="2"/>
  <c r="N958" i="2"/>
  <c r="O958" i="2" s="1"/>
  <c r="N959" i="2"/>
  <c r="O959" i="2" s="1"/>
  <c r="N960" i="2"/>
  <c r="O960" i="2" s="1"/>
  <c r="N961" i="2"/>
  <c r="O961" i="2" s="1"/>
  <c r="N962" i="2"/>
  <c r="O962" i="2" s="1"/>
  <c r="N963" i="2"/>
  <c r="O963" i="2" s="1"/>
  <c r="N964" i="2"/>
  <c r="O964" i="2" s="1"/>
  <c r="N965" i="2"/>
  <c r="O965" i="2" s="1"/>
  <c r="N966" i="2"/>
  <c r="O966" i="2" s="1"/>
  <c r="N967" i="2"/>
  <c r="O967" i="2" s="1"/>
  <c r="N968" i="2"/>
  <c r="O968" i="2" s="1"/>
  <c r="N969" i="2"/>
  <c r="N970" i="2"/>
  <c r="O970" i="2" s="1"/>
  <c r="N971" i="2"/>
  <c r="O971" i="2" s="1"/>
  <c r="N972" i="2"/>
  <c r="O972" i="2" s="1"/>
  <c r="N973" i="2"/>
  <c r="O973" i="2" s="1"/>
  <c r="N974" i="2"/>
  <c r="O974" i="2" s="1"/>
  <c r="N975" i="2"/>
  <c r="O975" i="2" s="1"/>
  <c r="N976" i="2"/>
  <c r="O976" i="2" s="1"/>
  <c r="N977" i="2"/>
  <c r="O977" i="2" s="1"/>
  <c r="N978" i="2"/>
  <c r="O978" i="2" s="1"/>
  <c r="N979" i="2"/>
  <c r="O979" i="2" s="1"/>
  <c r="N980" i="2"/>
  <c r="O980" i="2" s="1"/>
  <c r="N981" i="2"/>
  <c r="O981" i="2" s="1"/>
  <c r="N982" i="2"/>
  <c r="O982" i="2" s="1"/>
  <c r="N983" i="2"/>
  <c r="O983" i="2" s="1"/>
  <c r="N984" i="2"/>
  <c r="O984" i="2" s="1"/>
  <c r="N985" i="2"/>
  <c r="O985" i="2" s="1"/>
  <c r="N986" i="2"/>
  <c r="O986" i="2" s="1"/>
  <c r="N987" i="2"/>
  <c r="O987" i="2" s="1"/>
  <c r="N988" i="2"/>
  <c r="O988" i="2" s="1"/>
  <c r="N989" i="2"/>
  <c r="O989" i="2" s="1"/>
  <c r="N990" i="2"/>
  <c r="O990" i="2" s="1"/>
  <c r="N991" i="2"/>
  <c r="O991" i="2" s="1"/>
  <c r="N992" i="2"/>
  <c r="O992" i="2" s="1"/>
  <c r="N993" i="2"/>
  <c r="O993" i="2" s="1"/>
  <c r="N994" i="2"/>
  <c r="O994" i="2" s="1"/>
  <c r="N995" i="2"/>
  <c r="O995" i="2" s="1"/>
  <c r="N996" i="2"/>
  <c r="O996" i="2" s="1"/>
  <c r="N997" i="2"/>
  <c r="O997" i="2" s="1"/>
  <c r="N998" i="2"/>
  <c r="O998" i="2" s="1"/>
  <c r="N999" i="2"/>
  <c r="O999" i="2" s="1"/>
  <c r="N1000" i="2"/>
  <c r="O1000" i="2" s="1"/>
  <c r="N1001" i="2"/>
  <c r="O1001" i="2"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P6" i="1"/>
  <c r="Q6" i="1"/>
  <c r="R6" i="1"/>
  <c r="O6" i="1"/>
  <c r="Q31" i="4"/>
</calcChain>
</file>

<file path=xl/sharedStrings.xml><?xml version="1.0" encoding="utf-8"?>
<sst xmlns="http://schemas.openxmlformats.org/spreadsheetml/2006/main" count="6230" uniqueCount="58">
  <si>
    <t>Product_ID</t>
  </si>
  <si>
    <t>Sale_Date</t>
  </si>
  <si>
    <t>Sales_Rep</t>
  </si>
  <si>
    <t>Region</t>
  </si>
  <si>
    <t>Sales_Amount</t>
  </si>
  <si>
    <t>Quantity_Sold</t>
  </si>
  <si>
    <t>Product_Category</t>
  </si>
  <si>
    <t>Unit_Cost</t>
  </si>
  <si>
    <t>Unit_Price</t>
  </si>
  <si>
    <t>Customer_Type</t>
  </si>
  <si>
    <t>Discount</t>
  </si>
  <si>
    <t>Payment_Method</t>
  </si>
  <si>
    <t>Sales_Channel</t>
  </si>
  <si>
    <t>Bob</t>
  </si>
  <si>
    <t>North</t>
  </si>
  <si>
    <t>Furniture</t>
  </si>
  <si>
    <t>Returning</t>
  </si>
  <si>
    <t>Cash</t>
  </si>
  <si>
    <t>Online</t>
  </si>
  <si>
    <t>West</t>
  </si>
  <si>
    <t>Retail</t>
  </si>
  <si>
    <t>David</t>
  </si>
  <si>
    <t>South</t>
  </si>
  <si>
    <t>Food</t>
  </si>
  <si>
    <t>Bank Transfer</t>
  </si>
  <si>
    <t>Clothing</t>
  </si>
  <si>
    <t>New</t>
  </si>
  <si>
    <t>Credit Card</t>
  </si>
  <si>
    <t>Charlie</t>
  </si>
  <si>
    <t>East</t>
  </si>
  <si>
    <t>Electronics</t>
  </si>
  <si>
    <t>Eve</t>
  </si>
  <si>
    <t>Alice</t>
  </si>
  <si>
    <t>Payment_method</t>
  </si>
  <si>
    <t>sales_channel</t>
  </si>
  <si>
    <t>Row Labels</t>
  </si>
  <si>
    <t>Grand Total</t>
  </si>
  <si>
    <t>Column Labels</t>
  </si>
  <si>
    <t>Jan</t>
  </si>
  <si>
    <t>Feb</t>
  </si>
  <si>
    <t>Mar</t>
  </si>
  <si>
    <t>Apr</t>
  </si>
  <si>
    <t>May</t>
  </si>
  <si>
    <t>Jun</t>
  </si>
  <si>
    <t>Jul</t>
  </si>
  <si>
    <t>Aug</t>
  </si>
  <si>
    <t>Sep</t>
  </si>
  <si>
    <t>Oct</t>
  </si>
  <si>
    <t>Nov</t>
  </si>
  <si>
    <t>Dec</t>
  </si>
  <si>
    <t>Sum of Sales_Amount</t>
  </si>
  <si>
    <t>unit_profit</t>
  </si>
  <si>
    <t>total_profit</t>
  </si>
  <si>
    <t>month</t>
  </si>
  <si>
    <t>Sum of total_profit</t>
  </si>
  <si>
    <t>Count of Product_ID</t>
  </si>
  <si>
    <t>no. orders</t>
  </si>
  <si>
    <t>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</si>
</sst>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quot;$&quot;* #,##0.0_);_(&quot;$&quot;* \(#,##0.0\);_(&quot;$&quot;* &quot;-&quot;??_);_(@_)"/>
    <numFmt numFmtId="165" formatCode="_(&quot;$&quot;* #,##0_);_(&quot;$&quot;* \(#,##0\);_(&quot;$&quot;*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9EDC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0" borderId="0" xfId="0" pivotButton="1"/>
    <xf numFmtId="0" fontId="0" fillId="0" borderId="0" xfId="0" applyAlignment="1">
      <alignment horizontal="left"/>
    </xf>
    <xf numFmtId="44" fontId="0" fillId="0" borderId="0" xfId="0" applyNumberFormat="1"/>
    <xf numFmtId="44" fontId="0" fillId="0" borderId="0" xfId="1" applyFont="1"/>
    <xf numFmtId="164" fontId="0" fillId="0" borderId="0" xfId="0" applyNumberFormat="1"/>
    <xf numFmtId="165" fontId="0" fillId="0" borderId="0" xfId="0" applyNumberFormat="1"/>
    <xf numFmtId="0" fontId="0" fillId="33" borderId="0" xfId="0" applyFill="1"/>
    <xf numFmtId="10" fontId="0" fillId="0" borderId="0" xfId="0" applyNumberFormat="1"/>
    <xf numFmtId="9" fontId="0" fillId="0" borderId="0" xfId="0" applyNumberFormat="1" applyAlignment="1">
      <alignment horizontal="left"/>
    </xf>
    <xf numFmtId="2"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6">
    <dxf>
      <numFmt numFmtId="165" formatCode="_(&quot;$&quot;* #,##0_);_(&quot;$&quot;* \(#,##0\);_(&quot;$&quot;* &quot;-&quot;??_);_(@_)"/>
    </dxf>
    <dxf>
      <numFmt numFmtId="165" formatCode="_(&quot;$&quot;* #,##0_);_(&quot;$&quot;* \(#,##0\);_(&quot;$&quot;* &quot;-&quot;??_);_(@_)"/>
    </dxf>
    <dxf>
      <numFmt numFmtId="165" formatCode="_(&quot;$&quot;* #,##0_);_(&quot;$&quot;* \(#,##0\);_(&quot;$&quot;* &quot;-&quot;??_);_(@_)"/>
    </dxf>
    <dxf>
      <numFmt numFmtId="13" formatCode="0%"/>
    </dxf>
    <dxf>
      <numFmt numFmtId="165" formatCode="_(&quot;$&quot;* #,##0_);_(&quot;$&quot;* \(#,##0\);_(&quot;$&quot;* &quot;-&quot;??_);_(@_)"/>
    </dxf>
    <dxf>
      <numFmt numFmtId="0" formatCode="General"/>
    </dxf>
    <dxf>
      <numFmt numFmtId="2" formatCode="0.00"/>
    </dxf>
    <dxf>
      <numFmt numFmtId="34" formatCode="_(&quot;$&quot;* #,##0.00_);_(&quot;$&quot;* \(#,##0.00\);_(&quot;$&quot;* &quot;-&quot;??_);_(@_)"/>
    </dxf>
    <dxf>
      <numFmt numFmtId="34" formatCode="_(&quot;$&quot;* #,##0.00_);_(&quot;$&quot;* \(#,##0.00\);_(&quot;$&quot;* &quot;-&quot;??_);_(@_)"/>
    </dxf>
    <dxf>
      <numFmt numFmtId="165" formatCode="_(&quot;$&quot;* #,##0_);_(&quot;$&quot;* \(#,##0\);_(&quot;$&quot;* &quot;-&quot;??_);_(@_)"/>
    </dxf>
    <dxf>
      <numFmt numFmtId="34" formatCode="_(&quot;$&quot;* #,##0.00_);_(&quot;$&quot;* \(#,##0.00\);_(&quot;$&quot;* &quot;-&quot;??_);_(@_)"/>
    </dxf>
    <dxf>
      <numFmt numFmtId="34" formatCode="_(&quot;$&quot;* #,##0.00_);_(&quot;$&quot;* \(#,##0.00\);_(&quot;$&quot;* &quot;-&quot;??_);_(@_)"/>
    </dxf>
    <dxf>
      <numFmt numFmtId="164" formatCode="_(&quot;$&quot;* #,##0.0_);_(&quot;$&quot;* \(#,##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fill>
        <patternFill>
          <fgColor rgb="FFFAEDCD"/>
        </patternFill>
      </fill>
    </dxf>
  </dxfs>
  <tableStyles count="3" defaultTableStyle="TableStyleMedium2" defaultPivotStyle="PivotStyleLight16">
    <tableStyle name="Slicer Style 1" pivot="0" table="0" count="1" xr9:uid="{F3AE3814-C7C8-4D31-8A0F-AB0D288CA508}"/>
    <tableStyle name="Slicer Style 2" pivot="0" table="0" count="1" xr9:uid="{BEC5C5F4-D832-4303-A220-6BC4B895A83E}">
      <tableStyleElement type="wholeTable" dxfId="25"/>
    </tableStyle>
    <tableStyle name="Slicer Style 3" pivot="0" table="0" count="2" xr9:uid="{D0D4AEF2-8047-4827-83C8-22A2D2EECEF8}"/>
  </tableStyles>
  <colors>
    <mruColors>
      <color rgb="FFCCD5AE"/>
      <color rgb="FFE9EDC9"/>
      <color rgb="FFFAEDCD"/>
      <color rgb="FFD4A373"/>
      <color rgb="FFBC4749"/>
      <color rgb="FFFF3F3F"/>
      <color rgb="FFE67A58"/>
      <color rgb="FFFC5252"/>
    </mruColors>
  </colors>
  <extLst>
    <ext xmlns:x14="http://schemas.microsoft.com/office/spreadsheetml/2009/9/main" uri="{46F421CA-312F-682f-3DD2-61675219B42D}">
      <x14:dxfs count="3">
        <dxf>
          <fill>
            <patternFill>
              <fgColor rgb="FFFAEDCD"/>
            </patternFill>
          </fill>
        </dxf>
        <dxf>
          <fill>
            <patternFill>
              <fgColor rgb="FFCCD5AE"/>
            </patternFill>
          </fill>
        </dxf>
        <dxf>
          <fill>
            <patternFill>
              <fgColor rgb="FFE9EDC9"/>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2"/>
          </x14:slicerStyleElements>
        </x14:slicerStyle>
        <x14:slicerStyle name="Slicer Style 2"/>
        <x14:slicerStyle name="Slicer Style 3">
          <x14:slicerStyleElements>
            <x14:slicerStyleElement type="un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[sales_data.xlsm]time_series!PivotTable4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profit by sales rep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time_series!$B$1:$B$2</c:f>
              <c:strCache>
                <c:ptCount val="1"/>
                <c:pt idx="0">
                  <c:v>David</c:v>
                </c:pt>
              </c:strCache>
            </c:strRef>
          </c:tx>
          <c:spPr>
            <a:solidFill>
              <a:schemeClr val="accent5">
                <a:tint val="54000"/>
              </a:schemeClr>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time_series!$B$3:$B$15</c:f>
              <c:numCache>
                <c:formatCode>General</c:formatCode>
                <c:ptCount val="12"/>
                <c:pt idx="0">
                  <c:v>112079.6299999992</c:v>
                </c:pt>
                <c:pt idx="1">
                  <c:v>95519.619999999195</c:v>
                </c:pt>
                <c:pt idx="2">
                  <c:v>144882.20999999915</c:v>
                </c:pt>
                <c:pt idx="3">
                  <c:v>205117.13999999923</c:v>
                </c:pt>
                <c:pt idx="4">
                  <c:v>121114.87999999976</c:v>
                </c:pt>
                <c:pt idx="5">
                  <c:v>158087.17999999956</c:v>
                </c:pt>
                <c:pt idx="6">
                  <c:v>137144.93999999913</c:v>
                </c:pt>
                <c:pt idx="7">
                  <c:v>103477.51999999968</c:v>
                </c:pt>
                <c:pt idx="8">
                  <c:v>120691.1499999997</c:v>
                </c:pt>
                <c:pt idx="9">
                  <c:v>131910.11999999956</c:v>
                </c:pt>
                <c:pt idx="10">
                  <c:v>79588.30999999991</c:v>
                </c:pt>
                <c:pt idx="11">
                  <c:v>92137.059999999692</c:v>
                </c:pt>
              </c:numCache>
            </c:numRef>
          </c:val>
          <c:extLst>
            <c:ext xmlns:c16="http://schemas.microsoft.com/office/drawing/2014/chart" uri="{C3380CC4-5D6E-409C-BE32-E72D297353CC}">
              <c16:uniqueId val="{00000000-423D-4C1A-A852-B1B071865600}"/>
            </c:ext>
          </c:extLst>
        </c:ser>
        <c:ser>
          <c:idx val="1"/>
          <c:order val="1"/>
          <c:tx>
            <c:strRef>
              <c:f>time_series!$C$1:$C$2</c:f>
              <c:strCache>
                <c:ptCount val="1"/>
                <c:pt idx="0">
                  <c:v>Eve</c:v>
                </c:pt>
              </c:strCache>
            </c:strRef>
          </c:tx>
          <c:spPr>
            <a:solidFill>
              <a:schemeClr val="accent5">
                <a:tint val="77000"/>
              </a:schemeClr>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time_series!$C$3:$C$15</c:f>
              <c:numCache>
                <c:formatCode>General</c:formatCode>
                <c:ptCount val="12"/>
                <c:pt idx="0">
                  <c:v>173374.53999999978</c:v>
                </c:pt>
                <c:pt idx="1">
                  <c:v>195530.15999999884</c:v>
                </c:pt>
                <c:pt idx="2">
                  <c:v>84523.89999999998</c:v>
                </c:pt>
                <c:pt idx="3">
                  <c:v>110513.37999999977</c:v>
                </c:pt>
                <c:pt idx="4">
                  <c:v>110143.64999999973</c:v>
                </c:pt>
                <c:pt idx="5">
                  <c:v>79262.829999999929</c:v>
                </c:pt>
                <c:pt idx="6">
                  <c:v>155676.329999999</c:v>
                </c:pt>
                <c:pt idx="7">
                  <c:v>130899.87999999974</c:v>
                </c:pt>
                <c:pt idx="8">
                  <c:v>76386.779999999795</c:v>
                </c:pt>
                <c:pt idx="9">
                  <c:v>85253.749999999956</c:v>
                </c:pt>
                <c:pt idx="10">
                  <c:v>127931.82999999981</c:v>
                </c:pt>
                <c:pt idx="11">
                  <c:v>119584.86999999931</c:v>
                </c:pt>
              </c:numCache>
            </c:numRef>
          </c:val>
          <c:extLst>
            <c:ext xmlns:c16="http://schemas.microsoft.com/office/drawing/2014/chart" uri="{C3380CC4-5D6E-409C-BE32-E72D297353CC}">
              <c16:uniqueId val="{00000001-423D-4C1A-A852-B1B071865600}"/>
            </c:ext>
          </c:extLst>
        </c:ser>
        <c:ser>
          <c:idx val="2"/>
          <c:order val="2"/>
          <c:tx>
            <c:strRef>
              <c:f>time_series!$D$1:$D$2</c:f>
              <c:strCache>
                <c:ptCount val="1"/>
                <c:pt idx="0">
                  <c:v>Alice</c:v>
                </c:pt>
              </c:strCache>
            </c:strRef>
          </c:tx>
          <c:spPr>
            <a:solidFill>
              <a:schemeClr val="accent5"/>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time_series!$D$3:$D$15</c:f>
              <c:numCache>
                <c:formatCode>General</c:formatCode>
                <c:ptCount val="12"/>
                <c:pt idx="0">
                  <c:v>67943.030000000013</c:v>
                </c:pt>
                <c:pt idx="1">
                  <c:v>101946.52999999998</c:v>
                </c:pt>
                <c:pt idx="2">
                  <c:v>170531.55999999918</c:v>
                </c:pt>
                <c:pt idx="3">
                  <c:v>97087.459999999628</c:v>
                </c:pt>
                <c:pt idx="4">
                  <c:v>135654.82999999999</c:v>
                </c:pt>
                <c:pt idx="5">
                  <c:v>153004.52999999942</c:v>
                </c:pt>
                <c:pt idx="6">
                  <c:v>96694.089999999618</c:v>
                </c:pt>
                <c:pt idx="7">
                  <c:v>84702.869999999733</c:v>
                </c:pt>
                <c:pt idx="8">
                  <c:v>98176.629999998826</c:v>
                </c:pt>
                <c:pt idx="9">
                  <c:v>124001.65000000004</c:v>
                </c:pt>
                <c:pt idx="10">
                  <c:v>48558.049999999959</c:v>
                </c:pt>
                <c:pt idx="11">
                  <c:v>116520.78</c:v>
                </c:pt>
              </c:numCache>
            </c:numRef>
          </c:val>
          <c:extLst>
            <c:ext xmlns:c16="http://schemas.microsoft.com/office/drawing/2014/chart" uri="{C3380CC4-5D6E-409C-BE32-E72D297353CC}">
              <c16:uniqueId val="{00000002-423D-4C1A-A852-B1B071865600}"/>
            </c:ext>
          </c:extLst>
        </c:ser>
        <c:ser>
          <c:idx val="3"/>
          <c:order val="3"/>
          <c:tx>
            <c:strRef>
              <c:f>time_series!$E$1:$E$2</c:f>
              <c:strCache>
                <c:ptCount val="1"/>
                <c:pt idx="0">
                  <c:v>Bob</c:v>
                </c:pt>
              </c:strCache>
            </c:strRef>
          </c:tx>
          <c:spPr>
            <a:solidFill>
              <a:schemeClr val="accent5">
                <a:shade val="76000"/>
              </a:schemeClr>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time_series!$E$3:$E$15</c:f>
              <c:numCache>
                <c:formatCode>General</c:formatCode>
                <c:ptCount val="12"/>
                <c:pt idx="0">
                  <c:v>157772.33999999921</c:v>
                </c:pt>
                <c:pt idx="1">
                  <c:v>136283.20999999961</c:v>
                </c:pt>
                <c:pt idx="2">
                  <c:v>115929.59999999891</c:v>
                </c:pt>
                <c:pt idx="3">
                  <c:v>99339.589999999589</c:v>
                </c:pt>
                <c:pt idx="4">
                  <c:v>117342.30999999976</c:v>
                </c:pt>
                <c:pt idx="5">
                  <c:v>78991.83999999876</c:v>
                </c:pt>
                <c:pt idx="6">
                  <c:v>84130.539999999397</c:v>
                </c:pt>
                <c:pt idx="7">
                  <c:v>35884.089999999989</c:v>
                </c:pt>
                <c:pt idx="8">
                  <c:v>124038.79999999958</c:v>
                </c:pt>
                <c:pt idx="9">
                  <c:v>67098.239999999554</c:v>
                </c:pt>
                <c:pt idx="10">
                  <c:v>99030.889999998501</c:v>
                </c:pt>
                <c:pt idx="11">
                  <c:v>54958.789999999419</c:v>
                </c:pt>
              </c:numCache>
            </c:numRef>
          </c:val>
          <c:extLst>
            <c:ext xmlns:c16="http://schemas.microsoft.com/office/drawing/2014/chart" uri="{C3380CC4-5D6E-409C-BE32-E72D297353CC}">
              <c16:uniqueId val="{00000003-423D-4C1A-A852-B1B071865600}"/>
            </c:ext>
          </c:extLst>
        </c:ser>
        <c:ser>
          <c:idx val="4"/>
          <c:order val="4"/>
          <c:tx>
            <c:strRef>
              <c:f>time_series!$F$1:$F$2</c:f>
              <c:strCache>
                <c:ptCount val="1"/>
                <c:pt idx="0">
                  <c:v>Charlie</c:v>
                </c:pt>
              </c:strCache>
            </c:strRef>
          </c:tx>
          <c:spPr>
            <a:solidFill>
              <a:schemeClr val="accent5">
                <a:shade val="53000"/>
              </a:schemeClr>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time_series!$F$3:$F$15</c:f>
              <c:numCache>
                <c:formatCode>General</c:formatCode>
                <c:ptCount val="12"/>
                <c:pt idx="0">
                  <c:v>166595.0599999995</c:v>
                </c:pt>
                <c:pt idx="1">
                  <c:v>76712.679999999833</c:v>
                </c:pt>
                <c:pt idx="2">
                  <c:v>74530.28</c:v>
                </c:pt>
                <c:pt idx="3">
                  <c:v>72622.260000000009</c:v>
                </c:pt>
                <c:pt idx="4">
                  <c:v>74162.019999999597</c:v>
                </c:pt>
                <c:pt idx="5">
                  <c:v>88465.679999999978</c:v>
                </c:pt>
                <c:pt idx="6">
                  <c:v>54985.909999999589</c:v>
                </c:pt>
                <c:pt idx="7">
                  <c:v>141042.45999999958</c:v>
                </c:pt>
                <c:pt idx="8">
                  <c:v>70178.789999999979</c:v>
                </c:pt>
                <c:pt idx="9">
                  <c:v>69789.319999999701</c:v>
                </c:pt>
                <c:pt idx="10">
                  <c:v>117831.43999999964</c:v>
                </c:pt>
                <c:pt idx="11">
                  <c:v>64477.259999999842</c:v>
                </c:pt>
              </c:numCache>
            </c:numRef>
          </c:val>
          <c:extLst>
            <c:ext xmlns:c16="http://schemas.microsoft.com/office/drawing/2014/chart" uri="{C3380CC4-5D6E-409C-BE32-E72D297353CC}">
              <c16:uniqueId val="{00000004-423D-4C1A-A852-B1B071865600}"/>
            </c:ext>
          </c:extLst>
        </c:ser>
        <c:dLbls>
          <c:showLegendKey val="0"/>
          <c:showVal val="0"/>
          <c:showCatName val="0"/>
          <c:showSerName val="0"/>
          <c:showPercent val="0"/>
          <c:showBubbleSize val="0"/>
        </c:dLbls>
        <c:gapWidth val="219"/>
        <c:overlap val="100"/>
        <c:axId val="520077103"/>
        <c:axId val="1299497744"/>
      </c:barChart>
      <c:catAx>
        <c:axId val="5200771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97744"/>
        <c:crosses val="autoZero"/>
        <c:auto val="1"/>
        <c:lblAlgn val="ctr"/>
        <c:lblOffset val="100"/>
        <c:noMultiLvlLbl val="0"/>
      </c:catAx>
      <c:valAx>
        <c:axId val="12994977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7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[sales_data.xlsm]time_series!PivotTable7</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profit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time_series!$B$17:$B$18</c:f>
              <c:strCache>
                <c:ptCount val="1"/>
                <c:pt idx="0">
                  <c:v>Clothing</c:v>
                </c:pt>
              </c:strCache>
            </c:strRef>
          </c:tx>
          <c:spPr>
            <a:solidFill>
              <a:schemeClr val="accent5">
                <a:tint val="58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time_series!$B$19:$B$31</c:f>
              <c:numCache>
                <c:formatCode>General</c:formatCode>
                <c:ptCount val="12"/>
                <c:pt idx="0">
                  <c:v>187197.18999999939</c:v>
                </c:pt>
                <c:pt idx="1">
                  <c:v>98797.379999999554</c:v>
                </c:pt>
                <c:pt idx="2">
                  <c:v>134579.30999999956</c:v>
                </c:pt>
                <c:pt idx="3">
                  <c:v>133204.75999999966</c:v>
                </c:pt>
                <c:pt idx="4">
                  <c:v>91182.009999999544</c:v>
                </c:pt>
                <c:pt idx="5">
                  <c:v>173598.88999999966</c:v>
                </c:pt>
                <c:pt idx="6">
                  <c:v>85480.659999999276</c:v>
                </c:pt>
                <c:pt idx="7">
                  <c:v>214744.93999999957</c:v>
                </c:pt>
                <c:pt idx="8">
                  <c:v>134194.58999999889</c:v>
                </c:pt>
                <c:pt idx="9">
                  <c:v>127011.54999999951</c:v>
                </c:pt>
                <c:pt idx="10">
                  <c:v>149150.60999999911</c:v>
                </c:pt>
                <c:pt idx="11">
                  <c:v>183815.90999999948</c:v>
                </c:pt>
              </c:numCache>
            </c:numRef>
          </c:val>
          <c:extLst>
            <c:ext xmlns:c16="http://schemas.microsoft.com/office/drawing/2014/chart" uri="{C3380CC4-5D6E-409C-BE32-E72D297353CC}">
              <c16:uniqueId val="{00000000-ABD5-47F5-AFDC-8034B8086D5C}"/>
            </c:ext>
          </c:extLst>
        </c:ser>
        <c:ser>
          <c:idx val="1"/>
          <c:order val="1"/>
          <c:tx>
            <c:strRef>
              <c:f>time_series!$C$17:$C$18</c:f>
              <c:strCache>
                <c:ptCount val="1"/>
                <c:pt idx="0">
                  <c:v>Electronics</c:v>
                </c:pt>
              </c:strCache>
            </c:strRef>
          </c:tx>
          <c:spPr>
            <a:solidFill>
              <a:schemeClr val="accent5">
                <a:tint val="86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time_series!$C$19:$C$31</c:f>
              <c:numCache>
                <c:formatCode>General</c:formatCode>
                <c:ptCount val="12"/>
                <c:pt idx="0">
                  <c:v>121973.41999999975</c:v>
                </c:pt>
                <c:pt idx="1">
                  <c:v>121765.63999999974</c:v>
                </c:pt>
                <c:pt idx="2">
                  <c:v>119132.76999999939</c:v>
                </c:pt>
                <c:pt idx="3">
                  <c:v>152470.59999999939</c:v>
                </c:pt>
                <c:pt idx="4">
                  <c:v>101146.65999999914</c:v>
                </c:pt>
                <c:pt idx="5">
                  <c:v>120192.98999999932</c:v>
                </c:pt>
                <c:pt idx="6">
                  <c:v>162502.82999999987</c:v>
                </c:pt>
                <c:pt idx="7">
                  <c:v>79938.30999999959</c:v>
                </c:pt>
                <c:pt idx="8">
                  <c:v>118202.93999999999</c:v>
                </c:pt>
                <c:pt idx="9">
                  <c:v>179123.1499999995</c:v>
                </c:pt>
                <c:pt idx="10">
                  <c:v>146080.79999999967</c:v>
                </c:pt>
                <c:pt idx="11">
                  <c:v>151789.94999999803</c:v>
                </c:pt>
              </c:numCache>
            </c:numRef>
          </c:val>
          <c:extLst>
            <c:ext xmlns:c16="http://schemas.microsoft.com/office/drawing/2014/chart" uri="{C3380CC4-5D6E-409C-BE32-E72D297353CC}">
              <c16:uniqueId val="{00000001-ABD5-47F5-AFDC-8034B8086D5C}"/>
            </c:ext>
          </c:extLst>
        </c:ser>
        <c:ser>
          <c:idx val="2"/>
          <c:order val="2"/>
          <c:tx>
            <c:strRef>
              <c:f>time_series!$D$17:$D$18</c:f>
              <c:strCache>
                <c:ptCount val="1"/>
                <c:pt idx="0">
                  <c:v>Food</c:v>
                </c:pt>
              </c:strCache>
            </c:strRef>
          </c:tx>
          <c:spPr>
            <a:solidFill>
              <a:schemeClr val="accent5">
                <a:shade val="86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time_series!$D$19:$D$31</c:f>
              <c:numCache>
                <c:formatCode>General</c:formatCode>
                <c:ptCount val="12"/>
                <c:pt idx="0">
                  <c:v>161815.93999999919</c:v>
                </c:pt>
                <c:pt idx="1">
                  <c:v>95226.949999999983</c:v>
                </c:pt>
                <c:pt idx="2">
                  <c:v>139301.98999999894</c:v>
                </c:pt>
                <c:pt idx="3">
                  <c:v>76498.219999999899</c:v>
                </c:pt>
                <c:pt idx="4">
                  <c:v>142303.98999999918</c:v>
                </c:pt>
                <c:pt idx="5">
                  <c:v>93898.359999999535</c:v>
                </c:pt>
                <c:pt idx="6">
                  <c:v>89478.14999999979</c:v>
                </c:pt>
                <c:pt idx="7">
                  <c:v>137395.65999999977</c:v>
                </c:pt>
                <c:pt idx="8">
                  <c:v>130682.95999999953</c:v>
                </c:pt>
                <c:pt idx="9">
                  <c:v>128151.31999999958</c:v>
                </c:pt>
                <c:pt idx="10">
                  <c:v>109892.51999999941</c:v>
                </c:pt>
                <c:pt idx="11">
                  <c:v>116461.98999999986</c:v>
                </c:pt>
              </c:numCache>
            </c:numRef>
          </c:val>
          <c:extLst>
            <c:ext xmlns:c16="http://schemas.microsoft.com/office/drawing/2014/chart" uri="{C3380CC4-5D6E-409C-BE32-E72D297353CC}">
              <c16:uniqueId val="{00000002-ABD5-47F5-AFDC-8034B8086D5C}"/>
            </c:ext>
          </c:extLst>
        </c:ser>
        <c:ser>
          <c:idx val="3"/>
          <c:order val="3"/>
          <c:tx>
            <c:strRef>
              <c:f>time_series!$E$17:$E$18</c:f>
              <c:strCache>
                <c:ptCount val="1"/>
                <c:pt idx="0">
                  <c:v>Furniture</c:v>
                </c:pt>
              </c:strCache>
            </c:strRef>
          </c:tx>
          <c:spPr>
            <a:solidFill>
              <a:schemeClr val="accent5">
                <a:shade val="58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time_series!$E$19:$E$31</c:f>
              <c:numCache>
                <c:formatCode>General</c:formatCode>
                <c:ptCount val="12"/>
                <c:pt idx="0">
                  <c:v>206778.04999999946</c:v>
                </c:pt>
                <c:pt idx="1">
                  <c:v>162263.10999999949</c:v>
                </c:pt>
                <c:pt idx="2">
                  <c:v>135617.73999999886</c:v>
                </c:pt>
                <c:pt idx="3">
                  <c:v>133833.2399999997</c:v>
                </c:pt>
                <c:pt idx="4">
                  <c:v>154839.49</c:v>
                </c:pt>
                <c:pt idx="5">
                  <c:v>218301.95999999897</c:v>
                </c:pt>
                <c:pt idx="6">
                  <c:v>110217.11999999931</c:v>
                </c:pt>
                <c:pt idx="7">
                  <c:v>126338.77999999998</c:v>
                </c:pt>
                <c:pt idx="8">
                  <c:v>89860.029999999402</c:v>
                </c:pt>
                <c:pt idx="9">
                  <c:v>150393.80999999959</c:v>
                </c:pt>
                <c:pt idx="10">
                  <c:v>152688.12999999945</c:v>
                </c:pt>
                <c:pt idx="11">
                  <c:v>138329.69999999978</c:v>
                </c:pt>
              </c:numCache>
            </c:numRef>
          </c:val>
          <c:extLst>
            <c:ext xmlns:c16="http://schemas.microsoft.com/office/drawing/2014/chart" uri="{C3380CC4-5D6E-409C-BE32-E72D297353CC}">
              <c16:uniqueId val="{00000003-ABD5-47F5-AFDC-8034B8086D5C}"/>
            </c:ext>
          </c:extLst>
        </c:ser>
        <c:dLbls>
          <c:showLegendKey val="0"/>
          <c:showVal val="0"/>
          <c:showCatName val="0"/>
          <c:showSerName val="0"/>
          <c:showPercent val="0"/>
          <c:showBubbleSize val="0"/>
        </c:dLbls>
        <c:gapWidth val="219"/>
        <c:overlap val="-27"/>
        <c:axId val="434923551"/>
        <c:axId val="1152094800"/>
      </c:barChart>
      <c:catAx>
        <c:axId val="4349235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094800"/>
        <c:crosses val="autoZero"/>
        <c:auto val="1"/>
        <c:lblAlgn val="ctr"/>
        <c:lblOffset val="100"/>
        <c:noMultiLvlLbl val="0"/>
      </c:catAx>
      <c:valAx>
        <c:axId val="11520948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23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[sales_data.xlsm]time_series!PivotTable17</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monthly orders trend</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5"/>
            </a:solidFill>
            <a:round/>
          </a:ln>
          <a:effectLst/>
        </c:spPr>
        <c:marker>
          <c:symbol val="circle"/>
          <c:size val="17"/>
          <c:spPr>
            <a:solidFill>
              <a:schemeClr val="accent5"/>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time_series!$B$34</c:f>
              <c:strCache>
                <c:ptCount val="1"/>
                <c:pt idx="0">
                  <c:v>Total</c:v>
                </c:pt>
              </c:strCache>
            </c:strRef>
          </c:tx>
          <c:spPr>
            <a:ln w="31750" cap="rnd">
              <a:solidFill>
                <a:schemeClr val="accent5"/>
              </a:solidFill>
              <a:round/>
            </a:ln>
            <a:effectLst/>
          </c:spPr>
          <c:marker>
            <c:symbol val="circle"/>
            <c:size val="17"/>
            <c:spPr>
              <a:solidFill>
                <a:schemeClr val="accent5"/>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time_series!$A$35:$A$47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time_series!$B$35:$B$47</c:f>
              <c:numCache>
                <c:formatCode>General</c:formatCode>
                <c:ptCount val="12"/>
                <c:pt idx="0">
                  <c:v>103</c:v>
                </c:pt>
                <c:pt idx="1">
                  <c:v>75</c:v>
                </c:pt>
                <c:pt idx="2">
                  <c:v>80</c:v>
                </c:pt>
                <c:pt idx="3">
                  <c:v>81</c:v>
                </c:pt>
                <c:pt idx="4">
                  <c:v>72</c:v>
                </c:pt>
                <c:pt idx="5">
                  <c:v>92</c:v>
                </c:pt>
                <c:pt idx="6">
                  <c:v>68</c:v>
                </c:pt>
                <c:pt idx="7">
                  <c:v>93</c:v>
                </c:pt>
                <c:pt idx="8">
                  <c:v>68</c:v>
                </c:pt>
                <c:pt idx="9">
                  <c:v>88</c:v>
                </c:pt>
                <c:pt idx="10">
                  <c:v>95</c:v>
                </c:pt>
                <c:pt idx="11">
                  <c:v>85</c:v>
                </c:pt>
              </c:numCache>
            </c:numRef>
          </c:val>
          <c:smooth val="0"/>
          <c:extLst>
            <c:ext xmlns:c16="http://schemas.microsoft.com/office/drawing/2014/chart" uri="{C3380CC4-5D6E-409C-BE32-E72D297353CC}">
              <c16:uniqueId val="{00000000-7DD0-4B03-8C56-40A201527C9D}"/>
            </c:ext>
          </c:extLst>
        </c:ser>
        <c:dLbls>
          <c:dLblPos val="ctr"/>
          <c:showLegendKey val="0"/>
          <c:showVal val="1"/>
          <c:showCatName val="0"/>
          <c:showSerName val="0"/>
          <c:showPercent val="0"/>
          <c:showBubbleSize val="0"/>
        </c:dLbls>
        <c:marker val="1"/>
        <c:smooth val="0"/>
        <c:axId val="1831731680"/>
        <c:axId val="1152152400"/>
      </c:lineChart>
      <c:catAx>
        <c:axId val="18317316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52152400"/>
        <c:crosses val="autoZero"/>
        <c:auto val="1"/>
        <c:lblAlgn val="ctr"/>
        <c:lblOffset val="100"/>
        <c:noMultiLvlLbl val="0"/>
      </c:catAx>
      <c:valAx>
        <c:axId val="1152152400"/>
        <c:scaling>
          <c:orientation val="minMax"/>
        </c:scaling>
        <c:delete val="1"/>
        <c:axPos val="l"/>
        <c:numFmt formatCode="General" sourceLinked="1"/>
        <c:majorTickMark val="none"/>
        <c:minorTickMark val="none"/>
        <c:tickLblPos val="nextTo"/>
        <c:crossAx val="1831731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[sales_data.xlsm]discount!PivotTable18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rate Vs. discount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discount!$B$1</c:f>
              <c:strCache>
                <c:ptCount val="1"/>
                <c:pt idx="0">
                  <c:v>Total</c:v>
                </c:pt>
              </c:strCache>
            </c:strRef>
          </c:tx>
          <c:spPr>
            <a:solidFill>
              <a:schemeClr val="accent3"/>
            </a:solidFill>
            <a:ln>
              <a:noFill/>
            </a:ln>
            <a:effectLst/>
          </c:spPr>
          <c:invertIfNegative val="0"/>
          <c:cat>
            <c:strRef>
              <c:f>discount!$A$2:$A$33</c:f>
              <c:strCache>
                <c:ptCount val="31"/>
                <c:pt idx="0">
                  <c:v>0.22</c:v>
                </c:pt>
                <c:pt idx="1">
                  <c:v>0.24</c:v>
                </c:pt>
                <c:pt idx="2">
                  <c:v>0.17</c:v>
                </c:pt>
                <c:pt idx="3">
                  <c:v>0.25</c:v>
                </c:pt>
                <c:pt idx="4">
                  <c:v>0.03</c:v>
                </c:pt>
                <c:pt idx="5">
                  <c:v>0.21</c:v>
                </c:pt>
                <c:pt idx="6">
                  <c:v>0.2</c:v>
                </c:pt>
                <c:pt idx="7">
                  <c:v>0.12</c:v>
                </c:pt>
                <c:pt idx="8">
                  <c:v>0.09</c:v>
                </c:pt>
                <c:pt idx="9">
                  <c:v>0.04</c:v>
                </c:pt>
                <c:pt idx="10">
                  <c:v>0.01</c:v>
                </c:pt>
                <c:pt idx="11">
                  <c:v>0.27</c:v>
                </c:pt>
                <c:pt idx="12">
                  <c:v>0.1</c:v>
                </c:pt>
                <c:pt idx="13">
                  <c:v>0.26</c:v>
                </c:pt>
                <c:pt idx="14">
                  <c:v>0.29</c:v>
                </c:pt>
                <c:pt idx="15">
                  <c:v>0.07</c:v>
                </c:pt>
                <c:pt idx="16">
                  <c:v>0.14</c:v>
                </c:pt>
                <c:pt idx="17">
                  <c:v>0.08</c:v>
                </c:pt>
                <c:pt idx="18">
                  <c:v>0.13</c:v>
                </c:pt>
                <c:pt idx="19">
                  <c:v>0.06</c:v>
                </c:pt>
                <c:pt idx="20">
                  <c:v>0.15</c:v>
                </c:pt>
                <c:pt idx="21">
                  <c:v>0.18</c:v>
                </c:pt>
                <c:pt idx="22">
                  <c:v>0.23</c:v>
                </c:pt>
                <c:pt idx="23">
                  <c:v>0.19</c:v>
                </c:pt>
                <c:pt idx="24">
                  <c:v>0.28</c:v>
                </c:pt>
                <c:pt idx="25">
                  <c:v>0.05</c:v>
                </c:pt>
                <c:pt idx="26">
                  <c:v>0.02</c:v>
                </c:pt>
                <c:pt idx="27">
                  <c:v>0.11</c:v>
                </c:pt>
                <c:pt idx="28">
                  <c:v>0.16</c:v>
                </c:pt>
                <c:pt idx="29">
                  <c:v>0.3</c:v>
                </c:pt>
                <c:pt idx="30">
                  <c:v>0</c:v>
                </c:pt>
              </c:strCache>
            </c:strRef>
          </c:cat>
          <c:val>
            <c:numRef>
              <c:f>discount!$B$2:$B$33</c:f>
              <c:numCache>
                <c:formatCode>General</c:formatCode>
                <c:ptCount val="31"/>
                <c:pt idx="0">
                  <c:v>44</c:v>
                </c:pt>
                <c:pt idx="1">
                  <c:v>42</c:v>
                </c:pt>
                <c:pt idx="2">
                  <c:v>42</c:v>
                </c:pt>
                <c:pt idx="3">
                  <c:v>40</c:v>
                </c:pt>
                <c:pt idx="4">
                  <c:v>39</c:v>
                </c:pt>
                <c:pt idx="5">
                  <c:v>39</c:v>
                </c:pt>
                <c:pt idx="6">
                  <c:v>39</c:v>
                </c:pt>
                <c:pt idx="7">
                  <c:v>39</c:v>
                </c:pt>
                <c:pt idx="8">
                  <c:v>38</c:v>
                </c:pt>
                <c:pt idx="9">
                  <c:v>38</c:v>
                </c:pt>
                <c:pt idx="10">
                  <c:v>37</c:v>
                </c:pt>
                <c:pt idx="11">
                  <c:v>37</c:v>
                </c:pt>
                <c:pt idx="12">
                  <c:v>37</c:v>
                </c:pt>
                <c:pt idx="13">
                  <c:v>33</c:v>
                </c:pt>
                <c:pt idx="14">
                  <c:v>33</c:v>
                </c:pt>
                <c:pt idx="15">
                  <c:v>33</c:v>
                </c:pt>
                <c:pt idx="16">
                  <c:v>31</c:v>
                </c:pt>
                <c:pt idx="17">
                  <c:v>31</c:v>
                </c:pt>
                <c:pt idx="18">
                  <c:v>31</c:v>
                </c:pt>
                <c:pt idx="19">
                  <c:v>31</c:v>
                </c:pt>
                <c:pt idx="20">
                  <c:v>29</c:v>
                </c:pt>
                <c:pt idx="21">
                  <c:v>28</c:v>
                </c:pt>
                <c:pt idx="22">
                  <c:v>28</c:v>
                </c:pt>
                <c:pt idx="23">
                  <c:v>27</c:v>
                </c:pt>
                <c:pt idx="24">
                  <c:v>27</c:v>
                </c:pt>
                <c:pt idx="25">
                  <c:v>26</c:v>
                </c:pt>
                <c:pt idx="26">
                  <c:v>24</c:v>
                </c:pt>
                <c:pt idx="27">
                  <c:v>22</c:v>
                </c:pt>
                <c:pt idx="28">
                  <c:v>21</c:v>
                </c:pt>
                <c:pt idx="29">
                  <c:v>18</c:v>
                </c:pt>
                <c:pt idx="30">
                  <c:v>16</c:v>
                </c:pt>
              </c:numCache>
            </c:numRef>
          </c:val>
          <c:extLst>
            <c:ext xmlns:c16="http://schemas.microsoft.com/office/drawing/2014/chart" uri="{C3380CC4-5D6E-409C-BE32-E72D297353CC}">
              <c16:uniqueId val="{00000000-2A0F-42CC-BAC5-F3587C89726B}"/>
            </c:ext>
          </c:extLst>
        </c:ser>
        <c:dLbls>
          <c:showLegendKey val="0"/>
          <c:showVal val="0"/>
          <c:showCatName val="0"/>
          <c:showSerName val="0"/>
          <c:showPercent val="0"/>
          <c:showBubbleSize val="0"/>
        </c:dLbls>
        <c:gapWidth val="219"/>
        <c:overlap val="-27"/>
        <c:axId val="1542519040"/>
        <c:axId val="1299527984"/>
      </c:barChart>
      <c:catAx>
        <c:axId val="1542519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27984"/>
        <c:crosses val="autoZero"/>
        <c:auto val="1"/>
        <c:lblAlgn val="ctr"/>
        <c:lblOffset val="100"/>
        <c:noMultiLvlLbl val="0"/>
      </c:catAx>
      <c:valAx>
        <c:axId val="129952798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a:t>
                </a:r>
                <a:r>
                  <a:rPr lang="en-US" baseline="0"/>
                  <a:t> orders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51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[sales_data.xlsm]discount!PivotTable19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Vs. discount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discount!$E$1</c:f>
              <c:strCache>
                <c:ptCount val="1"/>
                <c:pt idx="0">
                  <c:v>Total</c:v>
                </c:pt>
              </c:strCache>
            </c:strRef>
          </c:tx>
          <c:spPr>
            <a:solidFill>
              <a:schemeClr val="accent3"/>
            </a:solidFill>
            <a:ln>
              <a:noFill/>
            </a:ln>
            <a:effectLst/>
          </c:spPr>
          <c:invertIfNegative val="0"/>
          <c:cat>
            <c:strRef>
              <c:f>discount!$D$2:$D$33</c:f>
              <c:strCache>
                <c:ptCount val="31"/>
                <c:pt idx="0">
                  <c:v>0.01</c:v>
                </c:pt>
                <c:pt idx="1">
                  <c:v>0.24</c:v>
                </c:pt>
                <c:pt idx="2">
                  <c:v>0.1</c:v>
                </c:pt>
                <c:pt idx="3">
                  <c:v>0.04</c:v>
                </c:pt>
                <c:pt idx="4">
                  <c:v>0.25</c:v>
                </c:pt>
                <c:pt idx="5">
                  <c:v>0.22</c:v>
                </c:pt>
                <c:pt idx="6">
                  <c:v>0.12</c:v>
                </c:pt>
                <c:pt idx="7">
                  <c:v>0.13</c:v>
                </c:pt>
                <c:pt idx="8">
                  <c:v>0.09</c:v>
                </c:pt>
                <c:pt idx="9">
                  <c:v>0.29</c:v>
                </c:pt>
                <c:pt idx="10">
                  <c:v>0.17</c:v>
                </c:pt>
                <c:pt idx="11">
                  <c:v>0.27</c:v>
                </c:pt>
                <c:pt idx="12">
                  <c:v>0.08</c:v>
                </c:pt>
                <c:pt idx="13">
                  <c:v>0.26</c:v>
                </c:pt>
                <c:pt idx="14">
                  <c:v>0.18</c:v>
                </c:pt>
                <c:pt idx="15">
                  <c:v>0.14</c:v>
                </c:pt>
                <c:pt idx="16">
                  <c:v>0.06</c:v>
                </c:pt>
                <c:pt idx="17">
                  <c:v>0.05</c:v>
                </c:pt>
                <c:pt idx="18">
                  <c:v>0.03</c:v>
                </c:pt>
                <c:pt idx="19">
                  <c:v>0.21</c:v>
                </c:pt>
                <c:pt idx="20">
                  <c:v>0.07</c:v>
                </c:pt>
                <c:pt idx="21">
                  <c:v>0.2</c:v>
                </c:pt>
                <c:pt idx="22">
                  <c:v>0.19</c:v>
                </c:pt>
                <c:pt idx="23">
                  <c:v>0.23</c:v>
                </c:pt>
                <c:pt idx="24">
                  <c:v>0.28</c:v>
                </c:pt>
                <c:pt idx="25">
                  <c:v>0.15</c:v>
                </c:pt>
                <c:pt idx="26">
                  <c:v>0.11</c:v>
                </c:pt>
                <c:pt idx="27">
                  <c:v>0.3</c:v>
                </c:pt>
                <c:pt idx="28">
                  <c:v>0.02</c:v>
                </c:pt>
                <c:pt idx="29">
                  <c:v>0.16</c:v>
                </c:pt>
                <c:pt idx="30">
                  <c:v>0</c:v>
                </c:pt>
              </c:strCache>
            </c:strRef>
          </c:cat>
          <c:val>
            <c:numRef>
              <c:f>discount!$E$2:$E$33</c:f>
              <c:numCache>
                <c:formatCode>_("$"* #,##0_);_("$"* \(#,##0\);_("$"* "-"??_);_(@_)</c:formatCode>
                <c:ptCount val="31"/>
                <c:pt idx="0">
                  <c:v>300542.24999999854</c:v>
                </c:pt>
                <c:pt idx="1">
                  <c:v>297127.70999999862</c:v>
                </c:pt>
                <c:pt idx="2">
                  <c:v>274945.06999999838</c:v>
                </c:pt>
                <c:pt idx="3">
                  <c:v>267039.99999999872</c:v>
                </c:pt>
                <c:pt idx="4">
                  <c:v>264914.08999999939</c:v>
                </c:pt>
                <c:pt idx="5">
                  <c:v>262858.67999999929</c:v>
                </c:pt>
                <c:pt idx="6">
                  <c:v>240274.90999999916</c:v>
                </c:pt>
                <c:pt idx="7">
                  <c:v>239310.46999999858</c:v>
                </c:pt>
                <c:pt idx="8">
                  <c:v>237813.08999999927</c:v>
                </c:pt>
                <c:pt idx="9">
                  <c:v>237116.43999999965</c:v>
                </c:pt>
                <c:pt idx="10">
                  <c:v>234142.03999999905</c:v>
                </c:pt>
                <c:pt idx="11">
                  <c:v>232171.7399999988</c:v>
                </c:pt>
                <c:pt idx="12">
                  <c:v>229806.78999999919</c:v>
                </c:pt>
                <c:pt idx="13">
                  <c:v>224551.03999999972</c:v>
                </c:pt>
                <c:pt idx="14">
                  <c:v>219343.28999999899</c:v>
                </c:pt>
                <c:pt idx="15">
                  <c:v>218655.76999999859</c:v>
                </c:pt>
                <c:pt idx="16">
                  <c:v>216340.58999999912</c:v>
                </c:pt>
                <c:pt idx="17">
                  <c:v>208840.89999999915</c:v>
                </c:pt>
                <c:pt idx="18">
                  <c:v>208014.21999999968</c:v>
                </c:pt>
                <c:pt idx="19">
                  <c:v>203300.53999999838</c:v>
                </c:pt>
                <c:pt idx="20">
                  <c:v>195497.21999999904</c:v>
                </c:pt>
                <c:pt idx="21">
                  <c:v>193203.29999999929</c:v>
                </c:pt>
                <c:pt idx="22">
                  <c:v>175674.27999999991</c:v>
                </c:pt>
                <c:pt idx="23">
                  <c:v>170685.15999999919</c:v>
                </c:pt>
                <c:pt idx="24">
                  <c:v>170397.97999999989</c:v>
                </c:pt>
                <c:pt idx="25">
                  <c:v>162113.81999999975</c:v>
                </c:pt>
                <c:pt idx="26">
                  <c:v>138309.99999999907</c:v>
                </c:pt>
                <c:pt idx="27">
                  <c:v>126114.50999999998</c:v>
                </c:pt>
                <c:pt idx="28">
                  <c:v>123133.0299999998</c:v>
                </c:pt>
                <c:pt idx="29">
                  <c:v>114762.85999999933</c:v>
                </c:pt>
                <c:pt idx="30">
                  <c:v>100845.27999999962</c:v>
                </c:pt>
              </c:numCache>
            </c:numRef>
          </c:val>
          <c:extLst>
            <c:ext xmlns:c16="http://schemas.microsoft.com/office/drawing/2014/chart" uri="{C3380CC4-5D6E-409C-BE32-E72D297353CC}">
              <c16:uniqueId val="{00000000-8A8C-485C-9560-CC0AF05F0414}"/>
            </c:ext>
          </c:extLst>
        </c:ser>
        <c:dLbls>
          <c:showLegendKey val="0"/>
          <c:showVal val="0"/>
          <c:showCatName val="0"/>
          <c:showSerName val="0"/>
          <c:showPercent val="0"/>
          <c:showBubbleSize val="0"/>
        </c:dLbls>
        <c:gapWidth val="219"/>
        <c:overlap val="-27"/>
        <c:axId val="1542497696"/>
        <c:axId val="1299550064"/>
      </c:barChart>
      <c:catAx>
        <c:axId val="1542497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99550064"/>
        <c:crosses val="autoZero"/>
        <c:auto val="1"/>
        <c:lblAlgn val="ctr"/>
        <c:lblOffset val="100"/>
        <c:noMultiLvlLbl val="0"/>
      </c:catAx>
      <c:valAx>
        <c:axId val="12995500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497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[sales_data.xlsm]sales_rep!PivotTable21</c:name>
    <c:fmtId val="6"/>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Sales Revenue per Sales Rep</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sales_rep!$B$46</c:f>
              <c:strCache>
                <c:ptCount val="1"/>
                <c:pt idx="0">
                  <c:v>Total</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invertIfNegative val="0"/>
          <c:cat>
            <c:strRef>
              <c:f>sales_rep!$A$47:$A$52</c:f>
              <c:strCache>
                <c:ptCount val="5"/>
                <c:pt idx="0">
                  <c:v>Alice</c:v>
                </c:pt>
                <c:pt idx="1">
                  <c:v>Bob</c:v>
                </c:pt>
                <c:pt idx="2">
                  <c:v>Charlie</c:v>
                </c:pt>
                <c:pt idx="3">
                  <c:v>David</c:v>
                </c:pt>
                <c:pt idx="4">
                  <c:v>Eve</c:v>
                </c:pt>
              </c:strCache>
            </c:strRef>
          </c:cat>
          <c:val>
            <c:numRef>
              <c:f>sales_rep!$B$47:$B$52</c:f>
              <c:numCache>
                <c:formatCode>_("$"* #,##0_);_("$"* \(#,##0\);_("$"* "-"??_);_(@_)</c:formatCode>
                <c:ptCount val="5"/>
                <c:pt idx="0">
                  <c:v>11476645.563299995</c:v>
                </c:pt>
                <c:pt idx="1">
                  <c:v>11768703.708699994</c:v>
                </c:pt>
                <c:pt idx="2">
                  <c:v>9827690.8506999984</c:v>
                </c:pt>
                <c:pt idx="3">
                  <c:v>13674409.201900005</c:v>
                </c:pt>
                <c:pt idx="4">
                  <c:v>12938723.959099999</c:v>
                </c:pt>
              </c:numCache>
            </c:numRef>
          </c:val>
          <c:extLst>
            <c:ext xmlns:c16="http://schemas.microsoft.com/office/drawing/2014/chart" uri="{C3380CC4-5D6E-409C-BE32-E72D297353CC}">
              <c16:uniqueId val="{00000000-AD66-431F-AF7B-4601A391A3DB}"/>
            </c:ext>
          </c:extLst>
        </c:ser>
        <c:dLbls>
          <c:showLegendKey val="0"/>
          <c:showVal val="0"/>
          <c:showCatName val="0"/>
          <c:showSerName val="0"/>
          <c:showPercent val="0"/>
          <c:showBubbleSize val="0"/>
        </c:dLbls>
        <c:gapWidth val="355"/>
        <c:overlap val="-70"/>
        <c:axId val="1542595600"/>
        <c:axId val="487363663"/>
      </c:barChart>
      <c:catAx>
        <c:axId val="154259560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sales rep</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63663"/>
        <c:crosses val="autoZero"/>
        <c:auto val="1"/>
        <c:lblAlgn val="ctr"/>
        <c:lblOffset val="100"/>
        <c:noMultiLvlLbl val="0"/>
      </c:catAx>
      <c:valAx>
        <c:axId val="487363663"/>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595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[sales_data.xlsm]sales_rep!PivotTable9</c:name>
    <c:fmtId val="5"/>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no. of Orders by Sales Rep &amp; Payment Method</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sales_rep!$B$30:$B$31</c:f>
              <c:strCache>
                <c:ptCount val="1"/>
                <c:pt idx="0">
                  <c:v>Credit Card</c:v>
                </c:pt>
              </c:strCache>
            </c:strRef>
          </c:tx>
          <c:spPr>
            <a:solidFill>
              <a:schemeClr val="accent5">
                <a:tint val="65000"/>
                <a:alpha val="70000"/>
              </a:schemeClr>
            </a:solidFill>
            <a:ln>
              <a:noFill/>
            </a:ln>
            <a:effectLst/>
          </c:spPr>
          <c:invertIfNegative val="0"/>
          <c:cat>
            <c:strRef>
              <c:f>sales_rep!$A$32:$A$37</c:f>
              <c:strCache>
                <c:ptCount val="5"/>
                <c:pt idx="0">
                  <c:v>David</c:v>
                </c:pt>
                <c:pt idx="1">
                  <c:v>Eve</c:v>
                </c:pt>
                <c:pt idx="2">
                  <c:v>Bob</c:v>
                </c:pt>
                <c:pt idx="3">
                  <c:v>Alice</c:v>
                </c:pt>
                <c:pt idx="4">
                  <c:v>Charlie</c:v>
                </c:pt>
              </c:strCache>
            </c:strRef>
          </c:cat>
          <c:val>
            <c:numRef>
              <c:f>sales_rep!$B$32:$B$37</c:f>
              <c:numCache>
                <c:formatCode>General</c:formatCode>
                <c:ptCount val="5"/>
                <c:pt idx="0">
                  <c:v>78</c:v>
                </c:pt>
                <c:pt idx="1">
                  <c:v>76</c:v>
                </c:pt>
                <c:pt idx="2">
                  <c:v>66</c:v>
                </c:pt>
                <c:pt idx="3">
                  <c:v>65</c:v>
                </c:pt>
                <c:pt idx="4">
                  <c:v>60</c:v>
                </c:pt>
              </c:numCache>
            </c:numRef>
          </c:val>
          <c:extLst>
            <c:ext xmlns:c16="http://schemas.microsoft.com/office/drawing/2014/chart" uri="{C3380CC4-5D6E-409C-BE32-E72D297353CC}">
              <c16:uniqueId val="{00000000-EBB0-47B8-A053-114888EDAADB}"/>
            </c:ext>
          </c:extLst>
        </c:ser>
        <c:ser>
          <c:idx val="1"/>
          <c:order val="1"/>
          <c:tx>
            <c:strRef>
              <c:f>sales_rep!$C$30:$C$31</c:f>
              <c:strCache>
                <c:ptCount val="1"/>
                <c:pt idx="0">
                  <c:v>Bank Transfer</c:v>
                </c:pt>
              </c:strCache>
            </c:strRef>
          </c:tx>
          <c:spPr>
            <a:solidFill>
              <a:schemeClr val="accent5">
                <a:alpha val="70000"/>
              </a:schemeClr>
            </a:solidFill>
            <a:ln>
              <a:noFill/>
            </a:ln>
            <a:effectLst/>
          </c:spPr>
          <c:invertIfNegative val="0"/>
          <c:cat>
            <c:strRef>
              <c:f>sales_rep!$A$32:$A$37</c:f>
              <c:strCache>
                <c:ptCount val="5"/>
                <c:pt idx="0">
                  <c:v>David</c:v>
                </c:pt>
                <c:pt idx="1">
                  <c:v>Eve</c:v>
                </c:pt>
                <c:pt idx="2">
                  <c:v>Bob</c:v>
                </c:pt>
                <c:pt idx="3">
                  <c:v>Alice</c:v>
                </c:pt>
                <c:pt idx="4">
                  <c:v>Charlie</c:v>
                </c:pt>
              </c:strCache>
            </c:strRef>
          </c:cat>
          <c:val>
            <c:numRef>
              <c:f>sales_rep!$C$32:$C$37</c:f>
              <c:numCache>
                <c:formatCode>General</c:formatCode>
                <c:ptCount val="5"/>
                <c:pt idx="0">
                  <c:v>69</c:v>
                </c:pt>
                <c:pt idx="1">
                  <c:v>74</c:v>
                </c:pt>
                <c:pt idx="2">
                  <c:v>70</c:v>
                </c:pt>
                <c:pt idx="3">
                  <c:v>70</c:v>
                </c:pt>
                <c:pt idx="4">
                  <c:v>59</c:v>
                </c:pt>
              </c:numCache>
            </c:numRef>
          </c:val>
          <c:extLst>
            <c:ext xmlns:c16="http://schemas.microsoft.com/office/drawing/2014/chart" uri="{C3380CC4-5D6E-409C-BE32-E72D297353CC}">
              <c16:uniqueId val="{0000000F-EBB0-47B8-A053-114888EDAADB}"/>
            </c:ext>
          </c:extLst>
        </c:ser>
        <c:ser>
          <c:idx val="2"/>
          <c:order val="2"/>
          <c:tx>
            <c:strRef>
              <c:f>sales_rep!$D$30:$D$31</c:f>
              <c:strCache>
                <c:ptCount val="1"/>
                <c:pt idx="0">
                  <c:v>Cash</c:v>
                </c:pt>
              </c:strCache>
            </c:strRef>
          </c:tx>
          <c:spPr>
            <a:solidFill>
              <a:schemeClr val="accent5">
                <a:shade val="65000"/>
                <a:alpha val="70000"/>
              </a:schemeClr>
            </a:solidFill>
            <a:ln>
              <a:noFill/>
            </a:ln>
            <a:effectLst/>
          </c:spPr>
          <c:invertIfNegative val="0"/>
          <c:cat>
            <c:strRef>
              <c:f>sales_rep!$A$32:$A$37</c:f>
              <c:strCache>
                <c:ptCount val="5"/>
                <c:pt idx="0">
                  <c:v>David</c:v>
                </c:pt>
                <c:pt idx="1">
                  <c:v>Eve</c:v>
                </c:pt>
                <c:pt idx="2">
                  <c:v>Bob</c:v>
                </c:pt>
                <c:pt idx="3">
                  <c:v>Alice</c:v>
                </c:pt>
                <c:pt idx="4">
                  <c:v>Charlie</c:v>
                </c:pt>
              </c:strCache>
            </c:strRef>
          </c:cat>
          <c:val>
            <c:numRef>
              <c:f>sales_rep!$D$32:$D$37</c:f>
              <c:numCache>
                <c:formatCode>General</c:formatCode>
                <c:ptCount val="5"/>
                <c:pt idx="0">
                  <c:v>75</c:v>
                </c:pt>
                <c:pt idx="1">
                  <c:v>59</c:v>
                </c:pt>
                <c:pt idx="2">
                  <c:v>72</c:v>
                </c:pt>
                <c:pt idx="3">
                  <c:v>57</c:v>
                </c:pt>
                <c:pt idx="4">
                  <c:v>50</c:v>
                </c:pt>
              </c:numCache>
            </c:numRef>
          </c:val>
          <c:extLst>
            <c:ext xmlns:c16="http://schemas.microsoft.com/office/drawing/2014/chart" uri="{C3380CC4-5D6E-409C-BE32-E72D297353CC}">
              <c16:uniqueId val="{00000011-EBB0-47B8-A053-114888EDAADB}"/>
            </c:ext>
          </c:extLst>
        </c:ser>
        <c:dLbls>
          <c:showLegendKey val="0"/>
          <c:showVal val="0"/>
          <c:showCatName val="0"/>
          <c:showSerName val="0"/>
          <c:showPercent val="0"/>
          <c:showBubbleSize val="0"/>
        </c:dLbls>
        <c:gapWidth val="80"/>
        <c:overlap val="25"/>
        <c:axId val="1543538160"/>
        <c:axId val="1299509744"/>
      </c:barChart>
      <c:catAx>
        <c:axId val="154353816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sales</a:t>
                </a:r>
                <a:r>
                  <a:rPr lang="en-US" baseline="0"/>
                  <a:t> rep</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299509744"/>
        <c:crosses val="autoZero"/>
        <c:auto val="1"/>
        <c:lblAlgn val="ctr"/>
        <c:lblOffset val="100"/>
        <c:noMultiLvlLbl val="0"/>
      </c:catAx>
      <c:valAx>
        <c:axId val="129950974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no. orders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543538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[sales_data.xlsm]sales_rep!PivotTable8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 vs. Returning Customers per Sales Rep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sales_rep!$B$15:$B$16</c:f>
              <c:strCache>
                <c:ptCount val="1"/>
                <c:pt idx="0">
                  <c:v>New</c:v>
                </c:pt>
              </c:strCache>
            </c:strRef>
          </c:tx>
          <c:spPr>
            <a:solidFill>
              <a:schemeClr val="accent5">
                <a:tint val="77000"/>
              </a:schemeClr>
            </a:solidFill>
            <a:ln>
              <a:noFill/>
            </a:ln>
            <a:effectLst/>
          </c:spPr>
          <c:invertIfNegative val="0"/>
          <c:cat>
            <c:strRef>
              <c:f>sales_rep!$A$17:$A$22</c:f>
              <c:strCache>
                <c:ptCount val="5"/>
                <c:pt idx="0">
                  <c:v>Alice</c:v>
                </c:pt>
                <c:pt idx="1">
                  <c:v>Bob</c:v>
                </c:pt>
                <c:pt idx="2">
                  <c:v>Charlie</c:v>
                </c:pt>
                <c:pt idx="3">
                  <c:v>David</c:v>
                </c:pt>
                <c:pt idx="4">
                  <c:v>Eve</c:v>
                </c:pt>
              </c:strCache>
            </c:strRef>
          </c:cat>
          <c:val>
            <c:numRef>
              <c:f>sales_rep!$B$17:$B$22</c:f>
              <c:numCache>
                <c:formatCode>General</c:formatCode>
                <c:ptCount val="5"/>
                <c:pt idx="0">
                  <c:v>96</c:v>
                </c:pt>
                <c:pt idx="1">
                  <c:v>97</c:v>
                </c:pt>
                <c:pt idx="2">
                  <c:v>84</c:v>
                </c:pt>
                <c:pt idx="3">
                  <c:v>117</c:v>
                </c:pt>
                <c:pt idx="4">
                  <c:v>110</c:v>
                </c:pt>
              </c:numCache>
            </c:numRef>
          </c:val>
          <c:extLst>
            <c:ext xmlns:c16="http://schemas.microsoft.com/office/drawing/2014/chart" uri="{C3380CC4-5D6E-409C-BE32-E72D297353CC}">
              <c16:uniqueId val="{00000000-712C-4C3A-82EC-624DEF8F5AF5}"/>
            </c:ext>
          </c:extLst>
        </c:ser>
        <c:ser>
          <c:idx val="1"/>
          <c:order val="1"/>
          <c:tx>
            <c:strRef>
              <c:f>sales_rep!$C$15:$C$16</c:f>
              <c:strCache>
                <c:ptCount val="1"/>
                <c:pt idx="0">
                  <c:v>Returning</c:v>
                </c:pt>
              </c:strCache>
            </c:strRef>
          </c:tx>
          <c:spPr>
            <a:solidFill>
              <a:schemeClr val="accent5">
                <a:shade val="76000"/>
              </a:schemeClr>
            </a:solidFill>
            <a:ln>
              <a:noFill/>
            </a:ln>
            <a:effectLst/>
          </c:spPr>
          <c:invertIfNegative val="0"/>
          <c:cat>
            <c:strRef>
              <c:f>sales_rep!$A$17:$A$22</c:f>
              <c:strCache>
                <c:ptCount val="5"/>
                <c:pt idx="0">
                  <c:v>Alice</c:v>
                </c:pt>
                <c:pt idx="1">
                  <c:v>Bob</c:v>
                </c:pt>
                <c:pt idx="2">
                  <c:v>Charlie</c:v>
                </c:pt>
                <c:pt idx="3">
                  <c:v>David</c:v>
                </c:pt>
                <c:pt idx="4">
                  <c:v>Eve</c:v>
                </c:pt>
              </c:strCache>
            </c:strRef>
          </c:cat>
          <c:val>
            <c:numRef>
              <c:f>sales_rep!$C$17:$C$22</c:f>
              <c:numCache>
                <c:formatCode>General</c:formatCode>
                <c:ptCount val="5"/>
                <c:pt idx="0">
                  <c:v>96</c:v>
                </c:pt>
                <c:pt idx="1">
                  <c:v>111</c:v>
                </c:pt>
                <c:pt idx="2">
                  <c:v>85</c:v>
                </c:pt>
                <c:pt idx="3">
                  <c:v>105</c:v>
                </c:pt>
                <c:pt idx="4">
                  <c:v>99</c:v>
                </c:pt>
              </c:numCache>
            </c:numRef>
          </c:val>
          <c:extLst>
            <c:ext xmlns:c16="http://schemas.microsoft.com/office/drawing/2014/chart" uri="{C3380CC4-5D6E-409C-BE32-E72D297353CC}">
              <c16:uniqueId val="{0000000A-712C-4C3A-82EC-624DEF8F5AF5}"/>
            </c:ext>
          </c:extLst>
        </c:ser>
        <c:dLbls>
          <c:showLegendKey val="0"/>
          <c:showVal val="0"/>
          <c:showCatName val="0"/>
          <c:showSerName val="0"/>
          <c:showPercent val="0"/>
          <c:showBubbleSize val="0"/>
        </c:dLbls>
        <c:gapWidth val="219"/>
        <c:overlap val="-27"/>
        <c:axId val="1697632768"/>
        <c:axId val="1299513584"/>
      </c:barChart>
      <c:catAx>
        <c:axId val="1697632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 rep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13584"/>
        <c:crosses val="autoZero"/>
        <c:auto val="1"/>
        <c:lblAlgn val="ctr"/>
        <c:lblOffset val="100"/>
        <c:noMultiLvlLbl val="0"/>
      </c:catAx>
      <c:valAx>
        <c:axId val="129951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customers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632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[sales_data.xlsm]sales_rep!PivotTable3</c:name>
    <c:fmtId val="6"/>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Category Sales Distribution per Sales Rep</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sales_rep!$B$1:$B$2</c:f>
              <c:strCache>
                <c:ptCount val="1"/>
                <c:pt idx="0">
                  <c:v>Clothing</c:v>
                </c:pt>
              </c:strCache>
            </c:strRef>
          </c:tx>
          <c:spPr>
            <a:pattFill prst="narHorz">
              <a:fgClr>
                <a:schemeClr val="accent5">
                  <a:tint val="58000"/>
                </a:schemeClr>
              </a:fgClr>
              <a:bgClr>
                <a:schemeClr val="accent5">
                  <a:tint val="58000"/>
                  <a:lumMod val="20000"/>
                  <a:lumOff val="80000"/>
                </a:schemeClr>
              </a:bgClr>
            </a:pattFill>
            <a:ln>
              <a:noFill/>
            </a:ln>
            <a:effectLst>
              <a:innerShdw blurRad="114300">
                <a:schemeClr val="accent5">
                  <a:tint val="58000"/>
                </a:schemeClr>
              </a:innerShdw>
            </a:effectLst>
          </c:spPr>
          <c:invertIfNegative val="0"/>
          <c:cat>
            <c:strRef>
              <c:f>sales_rep!$A$3:$A$8</c:f>
              <c:strCache>
                <c:ptCount val="5"/>
                <c:pt idx="0">
                  <c:v>David</c:v>
                </c:pt>
                <c:pt idx="1">
                  <c:v>Eve</c:v>
                </c:pt>
                <c:pt idx="2">
                  <c:v>Bob</c:v>
                </c:pt>
                <c:pt idx="3">
                  <c:v>Alice</c:v>
                </c:pt>
                <c:pt idx="4">
                  <c:v>Charlie</c:v>
                </c:pt>
              </c:strCache>
            </c:strRef>
          </c:cat>
          <c:val>
            <c:numRef>
              <c:f>sales_rep!$B$3:$B$8</c:f>
              <c:numCache>
                <c:formatCode>General</c:formatCode>
                <c:ptCount val="5"/>
                <c:pt idx="0">
                  <c:v>3263949.847899999</c:v>
                </c:pt>
                <c:pt idx="1">
                  <c:v>4175283.0013999986</c:v>
                </c:pt>
                <c:pt idx="2">
                  <c:v>2894176.0933999997</c:v>
                </c:pt>
                <c:pt idx="3">
                  <c:v>2877741.545799999</c:v>
                </c:pt>
                <c:pt idx="4">
                  <c:v>3149694.1361999987</c:v>
                </c:pt>
              </c:numCache>
            </c:numRef>
          </c:val>
          <c:extLst>
            <c:ext xmlns:c16="http://schemas.microsoft.com/office/drawing/2014/chart" uri="{C3380CC4-5D6E-409C-BE32-E72D297353CC}">
              <c16:uniqueId val="{00000000-3775-4C90-9DD5-11E3FDAB08BB}"/>
            </c:ext>
          </c:extLst>
        </c:ser>
        <c:ser>
          <c:idx val="1"/>
          <c:order val="1"/>
          <c:tx>
            <c:strRef>
              <c:f>sales_rep!$C$1:$C$2</c:f>
              <c:strCache>
                <c:ptCount val="1"/>
                <c:pt idx="0">
                  <c:v>Electronics</c:v>
                </c:pt>
              </c:strCache>
            </c:strRef>
          </c:tx>
          <c:spPr>
            <a:pattFill prst="narHorz">
              <a:fgClr>
                <a:schemeClr val="accent5">
                  <a:tint val="86000"/>
                </a:schemeClr>
              </a:fgClr>
              <a:bgClr>
                <a:schemeClr val="accent5">
                  <a:tint val="86000"/>
                  <a:lumMod val="20000"/>
                  <a:lumOff val="80000"/>
                </a:schemeClr>
              </a:bgClr>
            </a:pattFill>
            <a:ln>
              <a:noFill/>
            </a:ln>
            <a:effectLst>
              <a:innerShdw blurRad="114300">
                <a:schemeClr val="accent5">
                  <a:tint val="86000"/>
                </a:schemeClr>
              </a:innerShdw>
            </a:effectLst>
          </c:spPr>
          <c:invertIfNegative val="0"/>
          <c:cat>
            <c:strRef>
              <c:f>sales_rep!$A$3:$A$8</c:f>
              <c:strCache>
                <c:ptCount val="5"/>
                <c:pt idx="0">
                  <c:v>David</c:v>
                </c:pt>
                <c:pt idx="1">
                  <c:v>Eve</c:v>
                </c:pt>
                <c:pt idx="2">
                  <c:v>Bob</c:v>
                </c:pt>
                <c:pt idx="3">
                  <c:v>Alice</c:v>
                </c:pt>
                <c:pt idx="4">
                  <c:v>Charlie</c:v>
                </c:pt>
              </c:strCache>
            </c:strRef>
          </c:cat>
          <c:val>
            <c:numRef>
              <c:f>sales_rep!$C$3:$C$8</c:f>
              <c:numCache>
                <c:formatCode>General</c:formatCode>
                <c:ptCount val="5"/>
                <c:pt idx="0">
                  <c:v>4084496.5045999982</c:v>
                </c:pt>
                <c:pt idx="1">
                  <c:v>3257944.7370999982</c:v>
                </c:pt>
                <c:pt idx="2">
                  <c:v>2434542.6403999981</c:v>
                </c:pt>
                <c:pt idx="3">
                  <c:v>2862984.8391999984</c:v>
                </c:pt>
                <c:pt idx="4">
                  <c:v>2513256.5641000001</c:v>
                </c:pt>
              </c:numCache>
            </c:numRef>
          </c:val>
          <c:extLst>
            <c:ext xmlns:c16="http://schemas.microsoft.com/office/drawing/2014/chart" uri="{C3380CC4-5D6E-409C-BE32-E72D297353CC}">
              <c16:uniqueId val="{0000001A-3775-4C90-9DD5-11E3FDAB08BB}"/>
            </c:ext>
          </c:extLst>
        </c:ser>
        <c:ser>
          <c:idx val="2"/>
          <c:order val="2"/>
          <c:tx>
            <c:strRef>
              <c:f>sales_rep!$D$1:$D$2</c:f>
              <c:strCache>
                <c:ptCount val="1"/>
                <c:pt idx="0">
                  <c:v>Food</c:v>
                </c:pt>
              </c:strCache>
            </c:strRef>
          </c:tx>
          <c:spPr>
            <a:pattFill prst="narHorz">
              <a:fgClr>
                <a:schemeClr val="accent5">
                  <a:shade val="86000"/>
                </a:schemeClr>
              </a:fgClr>
              <a:bgClr>
                <a:schemeClr val="accent5">
                  <a:shade val="86000"/>
                  <a:lumMod val="20000"/>
                  <a:lumOff val="80000"/>
                </a:schemeClr>
              </a:bgClr>
            </a:pattFill>
            <a:ln>
              <a:noFill/>
            </a:ln>
            <a:effectLst>
              <a:innerShdw blurRad="114300">
                <a:schemeClr val="accent5">
                  <a:shade val="86000"/>
                </a:schemeClr>
              </a:innerShdw>
            </a:effectLst>
          </c:spPr>
          <c:invertIfNegative val="0"/>
          <c:cat>
            <c:strRef>
              <c:f>sales_rep!$A$3:$A$8</c:f>
              <c:strCache>
                <c:ptCount val="5"/>
                <c:pt idx="0">
                  <c:v>David</c:v>
                </c:pt>
                <c:pt idx="1">
                  <c:v>Eve</c:v>
                </c:pt>
                <c:pt idx="2">
                  <c:v>Bob</c:v>
                </c:pt>
                <c:pt idx="3">
                  <c:v>Alice</c:v>
                </c:pt>
                <c:pt idx="4">
                  <c:v>Charlie</c:v>
                </c:pt>
              </c:strCache>
            </c:strRef>
          </c:cat>
          <c:val>
            <c:numRef>
              <c:f>sales_rep!$D$3:$D$8</c:f>
              <c:numCache>
                <c:formatCode>General</c:formatCode>
                <c:ptCount val="5"/>
                <c:pt idx="0">
                  <c:v>2777481.269799998</c:v>
                </c:pt>
                <c:pt idx="1">
                  <c:v>2313587.6339000002</c:v>
                </c:pt>
                <c:pt idx="2">
                  <c:v>2716241.9251999981</c:v>
                </c:pt>
                <c:pt idx="3">
                  <c:v>2950272.9675999992</c:v>
                </c:pt>
                <c:pt idx="4">
                  <c:v>2050742.4342999991</c:v>
                </c:pt>
              </c:numCache>
            </c:numRef>
          </c:val>
          <c:extLst>
            <c:ext xmlns:c16="http://schemas.microsoft.com/office/drawing/2014/chart" uri="{C3380CC4-5D6E-409C-BE32-E72D297353CC}">
              <c16:uniqueId val="{0000001B-3775-4C90-9DD5-11E3FDAB08BB}"/>
            </c:ext>
          </c:extLst>
        </c:ser>
        <c:ser>
          <c:idx val="3"/>
          <c:order val="3"/>
          <c:tx>
            <c:strRef>
              <c:f>sales_rep!$E$1:$E$2</c:f>
              <c:strCache>
                <c:ptCount val="1"/>
                <c:pt idx="0">
                  <c:v>Furniture</c:v>
                </c:pt>
              </c:strCache>
            </c:strRef>
          </c:tx>
          <c:spPr>
            <a:pattFill prst="narHorz">
              <a:fgClr>
                <a:schemeClr val="accent5">
                  <a:shade val="58000"/>
                </a:schemeClr>
              </a:fgClr>
              <a:bgClr>
                <a:schemeClr val="accent5">
                  <a:shade val="58000"/>
                  <a:lumMod val="20000"/>
                  <a:lumOff val="80000"/>
                </a:schemeClr>
              </a:bgClr>
            </a:pattFill>
            <a:ln>
              <a:noFill/>
            </a:ln>
            <a:effectLst>
              <a:innerShdw blurRad="114300">
                <a:schemeClr val="accent5">
                  <a:shade val="58000"/>
                </a:schemeClr>
              </a:innerShdw>
            </a:effectLst>
          </c:spPr>
          <c:invertIfNegative val="0"/>
          <c:cat>
            <c:strRef>
              <c:f>sales_rep!$A$3:$A$8</c:f>
              <c:strCache>
                <c:ptCount val="5"/>
                <c:pt idx="0">
                  <c:v>David</c:v>
                </c:pt>
                <c:pt idx="1">
                  <c:v>Eve</c:v>
                </c:pt>
                <c:pt idx="2">
                  <c:v>Bob</c:v>
                </c:pt>
                <c:pt idx="3">
                  <c:v>Alice</c:v>
                </c:pt>
                <c:pt idx="4">
                  <c:v>Charlie</c:v>
                </c:pt>
              </c:strCache>
            </c:strRef>
          </c:cat>
          <c:val>
            <c:numRef>
              <c:f>sales_rep!$E$3:$E$8</c:f>
              <c:numCache>
                <c:formatCode>General</c:formatCode>
                <c:ptCount val="5"/>
                <c:pt idx="0">
                  <c:v>3548481.5795999989</c:v>
                </c:pt>
                <c:pt idx="1">
                  <c:v>3191908.5866999989</c:v>
                </c:pt>
                <c:pt idx="2">
                  <c:v>3723743.0496999989</c:v>
                </c:pt>
                <c:pt idx="3">
                  <c:v>2785646.2106999997</c:v>
                </c:pt>
                <c:pt idx="4">
                  <c:v>2113997.7160999998</c:v>
                </c:pt>
              </c:numCache>
            </c:numRef>
          </c:val>
          <c:extLst>
            <c:ext xmlns:c16="http://schemas.microsoft.com/office/drawing/2014/chart" uri="{C3380CC4-5D6E-409C-BE32-E72D297353CC}">
              <c16:uniqueId val="{0000001C-3775-4C90-9DD5-11E3FDAB08BB}"/>
            </c:ext>
          </c:extLst>
        </c:ser>
        <c:dLbls>
          <c:showLegendKey val="0"/>
          <c:showVal val="0"/>
          <c:showCatName val="0"/>
          <c:showSerName val="0"/>
          <c:showPercent val="0"/>
          <c:showBubbleSize val="0"/>
        </c:dLbls>
        <c:gapWidth val="164"/>
        <c:overlap val="-22"/>
        <c:axId val="1414511967"/>
        <c:axId val="1299581264"/>
      </c:barChart>
      <c:catAx>
        <c:axId val="141451196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sales rep</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81264"/>
        <c:crosses val="autoZero"/>
        <c:auto val="1"/>
        <c:lblAlgn val="ctr"/>
        <c:lblOffset val="100"/>
        <c:noMultiLvlLbl val="0"/>
      </c:catAx>
      <c:valAx>
        <c:axId val="1299581264"/>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511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[sales_data.xlsm]category!PivotTable16</c:name>
    <c:fmtId val="13"/>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category!$I$9:$I$10</c:f>
              <c:strCache>
                <c:ptCount val="1"/>
                <c:pt idx="0">
                  <c:v>Bank Transfer</c:v>
                </c:pt>
              </c:strCache>
            </c:strRef>
          </c:tx>
          <c:spPr>
            <a:solidFill>
              <a:schemeClr val="accent5">
                <a:tint val="65000"/>
              </a:schemeClr>
            </a:solidFill>
            <a:ln>
              <a:noFill/>
            </a:ln>
            <a:effectLst/>
          </c:spPr>
          <c:invertIfNegative val="0"/>
          <c:cat>
            <c:strRef>
              <c:f>category!$H$11:$H$14</c:f>
              <c:strCache>
                <c:ptCount val="4"/>
                <c:pt idx="0">
                  <c:v>Clothing</c:v>
                </c:pt>
                <c:pt idx="1">
                  <c:v>Electronics</c:v>
                </c:pt>
                <c:pt idx="2">
                  <c:v>Food</c:v>
                </c:pt>
                <c:pt idx="3">
                  <c:v>Furniture</c:v>
                </c:pt>
              </c:strCache>
            </c:strRef>
          </c:cat>
          <c:val>
            <c:numRef>
              <c:f>category!$I$11:$I$14</c:f>
              <c:numCache>
                <c:formatCode>General</c:formatCode>
                <c:ptCount val="4"/>
                <c:pt idx="0">
                  <c:v>93</c:v>
                </c:pt>
                <c:pt idx="1">
                  <c:v>79</c:v>
                </c:pt>
                <c:pt idx="2">
                  <c:v>79</c:v>
                </c:pt>
                <c:pt idx="3">
                  <c:v>91</c:v>
                </c:pt>
              </c:numCache>
            </c:numRef>
          </c:val>
          <c:extLst>
            <c:ext xmlns:c16="http://schemas.microsoft.com/office/drawing/2014/chart" uri="{C3380CC4-5D6E-409C-BE32-E72D297353CC}">
              <c16:uniqueId val="{00000000-D662-461F-918C-A10A36CAD8CC}"/>
            </c:ext>
          </c:extLst>
        </c:ser>
        <c:ser>
          <c:idx val="1"/>
          <c:order val="1"/>
          <c:tx>
            <c:strRef>
              <c:f>category!$J$9:$J$10</c:f>
              <c:strCache>
                <c:ptCount val="1"/>
                <c:pt idx="0">
                  <c:v>Cash</c:v>
                </c:pt>
              </c:strCache>
            </c:strRef>
          </c:tx>
          <c:spPr>
            <a:solidFill>
              <a:schemeClr val="accent5"/>
            </a:solidFill>
            <a:ln>
              <a:noFill/>
            </a:ln>
            <a:effectLst/>
          </c:spPr>
          <c:invertIfNegative val="0"/>
          <c:cat>
            <c:strRef>
              <c:f>category!$H$11:$H$14</c:f>
              <c:strCache>
                <c:ptCount val="4"/>
                <c:pt idx="0">
                  <c:v>Clothing</c:v>
                </c:pt>
                <c:pt idx="1">
                  <c:v>Electronics</c:v>
                </c:pt>
                <c:pt idx="2">
                  <c:v>Food</c:v>
                </c:pt>
                <c:pt idx="3">
                  <c:v>Furniture</c:v>
                </c:pt>
              </c:strCache>
            </c:strRef>
          </c:cat>
          <c:val>
            <c:numRef>
              <c:f>category!$J$11:$J$14</c:f>
              <c:numCache>
                <c:formatCode>General</c:formatCode>
                <c:ptCount val="4"/>
                <c:pt idx="0">
                  <c:v>78</c:v>
                </c:pt>
                <c:pt idx="1">
                  <c:v>70</c:v>
                </c:pt>
                <c:pt idx="2">
                  <c:v>78</c:v>
                </c:pt>
                <c:pt idx="3">
                  <c:v>87</c:v>
                </c:pt>
              </c:numCache>
            </c:numRef>
          </c:val>
          <c:extLst>
            <c:ext xmlns:c16="http://schemas.microsoft.com/office/drawing/2014/chart" uri="{C3380CC4-5D6E-409C-BE32-E72D297353CC}">
              <c16:uniqueId val="{00000001-D662-461F-918C-A10A36CAD8CC}"/>
            </c:ext>
          </c:extLst>
        </c:ser>
        <c:ser>
          <c:idx val="2"/>
          <c:order val="2"/>
          <c:tx>
            <c:strRef>
              <c:f>category!$K$9:$K$10</c:f>
              <c:strCache>
                <c:ptCount val="1"/>
                <c:pt idx="0">
                  <c:v>Credit Card</c:v>
                </c:pt>
              </c:strCache>
            </c:strRef>
          </c:tx>
          <c:spPr>
            <a:solidFill>
              <a:schemeClr val="accent5">
                <a:shade val="65000"/>
              </a:schemeClr>
            </a:solidFill>
            <a:ln>
              <a:noFill/>
            </a:ln>
            <a:effectLst/>
          </c:spPr>
          <c:invertIfNegative val="0"/>
          <c:cat>
            <c:strRef>
              <c:f>category!$H$11:$H$14</c:f>
              <c:strCache>
                <c:ptCount val="4"/>
                <c:pt idx="0">
                  <c:v>Clothing</c:v>
                </c:pt>
                <c:pt idx="1">
                  <c:v>Electronics</c:v>
                </c:pt>
                <c:pt idx="2">
                  <c:v>Food</c:v>
                </c:pt>
                <c:pt idx="3">
                  <c:v>Furniture</c:v>
                </c:pt>
              </c:strCache>
            </c:strRef>
          </c:cat>
          <c:val>
            <c:numRef>
              <c:f>category!$K$11:$K$14</c:f>
              <c:numCache>
                <c:formatCode>General</c:formatCode>
                <c:ptCount val="4"/>
                <c:pt idx="0">
                  <c:v>97</c:v>
                </c:pt>
                <c:pt idx="1">
                  <c:v>97</c:v>
                </c:pt>
                <c:pt idx="2">
                  <c:v>69</c:v>
                </c:pt>
                <c:pt idx="3">
                  <c:v>82</c:v>
                </c:pt>
              </c:numCache>
            </c:numRef>
          </c:val>
          <c:extLst>
            <c:ext xmlns:c16="http://schemas.microsoft.com/office/drawing/2014/chart" uri="{C3380CC4-5D6E-409C-BE32-E72D297353CC}">
              <c16:uniqueId val="{00000002-D662-461F-918C-A10A36CAD8CC}"/>
            </c:ext>
          </c:extLst>
        </c:ser>
        <c:dLbls>
          <c:showLegendKey val="0"/>
          <c:showVal val="0"/>
          <c:showCatName val="0"/>
          <c:showSerName val="0"/>
          <c:showPercent val="0"/>
          <c:showBubbleSize val="0"/>
        </c:dLbls>
        <c:gapWidth val="219"/>
        <c:overlap val="-27"/>
        <c:axId val="434975519"/>
        <c:axId val="1299470864"/>
      </c:barChart>
      <c:catAx>
        <c:axId val="43497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70864"/>
        <c:crosses val="autoZero"/>
        <c:auto val="1"/>
        <c:lblAlgn val="ctr"/>
        <c:lblOffset val="100"/>
        <c:noMultiLvlLbl val="0"/>
      </c:catAx>
      <c:valAx>
        <c:axId val="12994708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no.orders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75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[sales_data.xlsm]category!PivotTable15</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for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category!$I$1</c:f>
              <c:strCache>
                <c:ptCount val="1"/>
                <c:pt idx="0">
                  <c:v>Total</c:v>
                </c:pt>
              </c:strCache>
            </c:strRef>
          </c:tx>
          <c:spPr>
            <a:solidFill>
              <a:schemeClr val="accent5"/>
            </a:solidFill>
            <a:ln>
              <a:noFill/>
            </a:ln>
            <a:effectLst/>
          </c:spPr>
          <c:invertIfNegative val="0"/>
          <c:cat>
            <c:strRef>
              <c:f>category!$H$2:$H$5</c:f>
              <c:strCache>
                <c:ptCount val="4"/>
                <c:pt idx="0">
                  <c:v>Clothing</c:v>
                </c:pt>
                <c:pt idx="1">
                  <c:v>Electronics</c:v>
                </c:pt>
                <c:pt idx="2">
                  <c:v>Food</c:v>
                </c:pt>
                <c:pt idx="3">
                  <c:v>Furniture</c:v>
                </c:pt>
              </c:strCache>
            </c:strRef>
          </c:cat>
          <c:val>
            <c:numRef>
              <c:f>category!$I$2:$I$5</c:f>
              <c:numCache>
                <c:formatCode>_("$"* #,##0_);_("$"* \(#,##0\);_("$"* "-"??_);_(@_)</c:formatCode>
                <c:ptCount val="4"/>
                <c:pt idx="0">
                  <c:v>1712957.7999999931</c:v>
                </c:pt>
                <c:pt idx="1">
                  <c:v>1574320.0599999935</c:v>
                </c:pt>
                <c:pt idx="2">
                  <c:v>1421108.0499999952</c:v>
                </c:pt>
                <c:pt idx="3">
                  <c:v>1779461.1599999934</c:v>
                </c:pt>
              </c:numCache>
            </c:numRef>
          </c:val>
          <c:extLst>
            <c:ext xmlns:c16="http://schemas.microsoft.com/office/drawing/2014/chart" uri="{C3380CC4-5D6E-409C-BE32-E72D297353CC}">
              <c16:uniqueId val="{00000000-7D59-4577-9644-7D3D6AB23654}"/>
            </c:ext>
          </c:extLst>
        </c:ser>
        <c:dLbls>
          <c:showLegendKey val="0"/>
          <c:showVal val="0"/>
          <c:showCatName val="0"/>
          <c:showSerName val="0"/>
          <c:showPercent val="0"/>
          <c:showBubbleSize val="0"/>
        </c:dLbls>
        <c:gapWidth val="219"/>
        <c:overlap val="-27"/>
        <c:axId val="434945359"/>
        <c:axId val="1299520304"/>
      </c:barChart>
      <c:catAx>
        <c:axId val="43494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20304"/>
        <c:crosses val="autoZero"/>
        <c:auto val="1"/>
        <c:lblAlgn val="ctr"/>
        <c:lblOffset val="100"/>
        <c:noMultiLvlLbl val="0"/>
      </c:catAx>
      <c:valAx>
        <c:axId val="12995203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45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[sales_data.xlsm]time_series!PivotTable7</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profit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time_series!$B$17:$B$18</c:f>
              <c:strCache>
                <c:ptCount val="1"/>
                <c:pt idx="0">
                  <c:v>Clothing</c:v>
                </c:pt>
              </c:strCache>
            </c:strRef>
          </c:tx>
          <c:spPr>
            <a:solidFill>
              <a:schemeClr val="accent5">
                <a:tint val="58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time_series!$B$19:$B$31</c:f>
              <c:numCache>
                <c:formatCode>General</c:formatCode>
                <c:ptCount val="12"/>
                <c:pt idx="0">
                  <c:v>187197.18999999939</c:v>
                </c:pt>
                <c:pt idx="1">
                  <c:v>98797.379999999554</c:v>
                </c:pt>
                <c:pt idx="2">
                  <c:v>134579.30999999956</c:v>
                </c:pt>
                <c:pt idx="3">
                  <c:v>133204.75999999966</c:v>
                </c:pt>
                <c:pt idx="4">
                  <c:v>91182.009999999544</c:v>
                </c:pt>
                <c:pt idx="5">
                  <c:v>173598.88999999966</c:v>
                </c:pt>
                <c:pt idx="6">
                  <c:v>85480.659999999276</c:v>
                </c:pt>
                <c:pt idx="7">
                  <c:v>214744.93999999957</c:v>
                </c:pt>
                <c:pt idx="8">
                  <c:v>134194.58999999889</c:v>
                </c:pt>
                <c:pt idx="9">
                  <c:v>127011.54999999951</c:v>
                </c:pt>
                <c:pt idx="10">
                  <c:v>149150.60999999911</c:v>
                </c:pt>
                <c:pt idx="11">
                  <c:v>183815.90999999948</c:v>
                </c:pt>
              </c:numCache>
            </c:numRef>
          </c:val>
          <c:extLst>
            <c:ext xmlns:c16="http://schemas.microsoft.com/office/drawing/2014/chart" uri="{C3380CC4-5D6E-409C-BE32-E72D297353CC}">
              <c16:uniqueId val="{00000000-3618-4661-9C7C-215B5FFCD00D}"/>
            </c:ext>
          </c:extLst>
        </c:ser>
        <c:ser>
          <c:idx val="1"/>
          <c:order val="1"/>
          <c:tx>
            <c:strRef>
              <c:f>time_series!$C$17:$C$18</c:f>
              <c:strCache>
                <c:ptCount val="1"/>
                <c:pt idx="0">
                  <c:v>Electronics</c:v>
                </c:pt>
              </c:strCache>
            </c:strRef>
          </c:tx>
          <c:spPr>
            <a:solidFill>
              <a:schemeClr val="accent5">
                <a:tint val="86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time_series!$C$19:$C$31</c:f>
              <c:numCache>
                <c:formatCode>General</c:formatCode>
                <c:ptCount val="12"/>
                <c:pt idx="0">
                  <c:v>121973.41999999975</c:v>
                </c:pt>
                <c:pt idx="1">
                  <c:v>121765.63999999974</c:v>
                </c:pt>
                <c:pt idx="2">
                  <c:v>119132.76999999939</c:v>
                </c:pt>
                <c:pt idx="3">
                  <c:v>152470.59999999939</c:v>
                </c:pt>
                <c:pt idx="4">
                  <c:v>101146.65999999914</c:v>
                </c:pt>
                <c:pt idx="5">
                  <c:v>120192.98999999932</c:v>
                </c:pt>
                <c:pt idx="6">
                  <c:v>162502.82999999987</c:v>
                </c:pt>
                <c:pt idx="7">
                  <c:v>79938.30999999959</c:v>
                </c:pt>
                <c:pt idx="8">
                  <c:v>118202.93999999999</c:v>
                </c:pt>
                <c:pt idx="9">
                  <c:v>179123.1499999995</c:v>
                </c:pt>
                <c:pt idx="10">
                  <c:v>146080.79999999967</c:v>
                </c:pt>
                <c:pt idx="11">
                  <c:v>151789.94999999803</c:v>
                </c:pt>
              </c:numCache>
            </c:numRef>
          </c:val>
          <c:extLst>
            <c:ext xmlns:c16="http://schemas.microsoft.com/office/drawing/2014/chart" uri="{C3380CC4-5D6E-409C-BE32-E72D297353CC}">
              <c16:uniqueId val="{00000001-3618-4661-9C7C-215B5FFCD00D}"/>
            </c:ext>
          </c:extLst>
        </c:ser>
        <c:ser>
          <c:idx val="2"/>
          <c:order val="2"/>
          <c:tx>
            <c:strRef>
              <c:f>time_series!$D$17:$D$18</c:f>
              <c:strCache>
                <c:ptCount val="1"/>
                <c:pt idx="0">
                  <c:v>Food</c:v>
                </c:pt>
              </c:strCache>
            </c:strRef>
          </c:tx>
          <c:spPr>
            <a:solidFill>
              <a:schemeClr val="accent5">
                <a:shade val="86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time_series!$D$19:$D$31</c:f>
              <c:numCache>
                <c:formatCode>General</c:formatCode>
                <c:ptCount val="12"/>
                <c:pt idx="0">
                  <c:v>161815.93999999919</c:v>
                </c:pt>
                <c:pt idx="1">
                  <c:v>95226.949999999983</c:v>
                </c:pt>
                <c:pt idx="2">
                  <c:v>139301.98999999894</c:v>
                </c:pt>
                <c:pt idx="3">
                  <c:v>76498.219999999899</c:v>
                </c:pt>
                <c:pt idx="4">
                  <c:v>142303.98999999918</c:v>
                </c:pt>
                <c:pt idx="5">
                  <c:v>93898.359999999535</c:v>
                </c:pt>
                <c:pt idx="6">
                  <c:v>89478.14999999979</c:v>
                </c:pt>
                <c:pt idx="7">
                  <c:v>137395.65999999977</c:v>
                </c:pt>
                <c:pt idx="8">
                  <c:v>130682.95999999953</c:v>
                </c:pt>
                <c:pt idx="9">
                  <c:v>128151.31999999958</c:v>
                </c:pt>
                <c:pt idx="10">
                  <c:v>109892.51999999941</c:v>
                </c:pt>
                <c:pt idx="11">
                  <c:v>116461.98999999986</c:v>
                </c:pt>
              </c:numCache>
            </c:numRef>
          </c:val>
          <c:extLst>
            <c:ext xmlns:c16="http://schemas.microsoft.com/office/drawing/2014/chart" uri="{C3380CC4-5D6E-409C-BE32-E72D297353CC}">
              <c16:uniqueId val="{00000002-3618-4661-9C7C-215B5FFCD00D}"/>
            </c:ext>
          </c:extLst>
        </c:ser>
        <c:ser>
          <c:idx val="3"/>
          <c:order val="3"/>
          <c:tx>
            <c:strRef>
              <c:f>time_series!$E$17:$E$18</c:f>
              <c:strCache>
                <c:ptCount val="1"/>
                <c:pt idx="0">
                  <c:v>Furniture</c:v>
                </c:pt>
              </c:strCache>
            </c:strRef>
          </c:tx>
          <c:spPr>
            <a:solidFill>
              <a:schemeClr val="accent5">
                <a:shade val="58000"/>
              </a:schemeClr>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time_series!$E$19:$E$31</c:f>
              <c:numCache>
                <c:formatCode>General</c:formatCode>
                <c:ptCount val="12"/>
                <c:pt idx="0">
                  <c:v>206778.04999999946</c:v>
                </c:pt>
                <c:pt idx="1">
                  <c:v>162263.10999999949</c:v>
                </c:pt>
                <c:pt idx="2">
                  <c:v>135617.73999999886</c:v>
                </c:pt>
                <c:pt idx="3">
                  <c:v>133833.2399999997</c:v>
                </c:pt>
                <c:pt idx="4">
                  <c:v>154839.49</c:v>
                </c:pt>
                <c:pt idx="5">
                  <c:v>218301.95999999897</c:v>
                </c:pt>
                <c:pt idx="6">
                  <c:v>110217.11999999931</c:v>
                </c:pt>
                <c:pt idx="7">
                  <c:v>126338.77999999998</c:v>
                </c:pt>
                <c:pt idx="8">
                  <c:v>89860.029999999402</c:v>
                </c:pt>
                <c:pt idx="9">
                  <c:v>150393.80999999959</c:v>
                </c:pt>
                <c:pt idx="10">
                  <c:v>152688.12999999945</c:v>
                </c:pt>
                <c:pt idx="11">
                  <c:v>138329.69999999978</c:v>
                </c:pt>
              </c:numCache>
            </c:numRef>
          </c:val>
          <c:extLst>
            <c:ext xmlns:c16="http://schemas.microsoft.com/office/drawing/2014/chart" uri="{C3380CC4-5D6E-409C-BE32-E72D297353CC}">
              <c16:uniqueId val="{00000003-3618-4661-9C7C-215B5FFCD00D}"/>
            </c:ext>
          </c:extLst>
        </c:ser>
        <c:dLbls>
          <c:showLegendKey val="0"/>
          <c:showVal val="0"/>
          <c:showCatName val="0"/>
          <c:showSerName val="0"/>
          <c:showPercent val="0"/>
          <c:showBubbleSize val="0"/>
        </c:dLbls>
        <c:gapWidth val="219"/>
        <c:overlap val="-27"/>
        <c:axId val="434923551"/>
        <c:axId val="1152094800"/>
      </c:barChart>
      <c:catAx>
        <c:axId val="434923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094800"/>
        <c:crosses val="autoZero"/>
        <c:auto val="1"/>
        <c:lblAlgn val="ctr"/>
        <c:lblOffset val="100"/>
        <c:noMultiLvlLbl val="0"/>
      </c:catAx>
      <c:valAx>
        <c:axId val="11520948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23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[sales_data.xlsm]category!PivotTable14</c:name>
    <c:fmtId val="2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baseline="0">
                <a:solidFill>
                  <a:srgbClr val="000000">
                    <a:lumMod val="65000"/>
                    <a:lumOff val="35000"/>
                  </a:srgbClr>
                </a:solidFill>
                <a:latin typeface="+mn-lt"/>
                <a:ea typeface="+mn-ea"/>
                <a:cs typeface="+mn-cs"/>
              </a:defRPr>
            </a:pPr>
            <a:r>
              <a:rPr lang="en-US" sz="1400" b="0" i="0" u="none" strike="noStrike" kern="1200" baseline="0">
                <a:solidFill>
                  <a:srgbClr val="000000">
                    <a:lumMod val="65000"/>
                    <a:lumOff val="35000"/>
                  </a:srgbClr>
                </a:solidFill>
              </a:rPr>
              <a:t>% OF ORDERS PER CATEGORY</a:t>
            </a:r>
          </a:p>
          <a:p>
            <a:pPr marL="0" marR="0" lvl="0" indent="0" algn="ctr" defTabSz="914400" rtl="0" eaLnBrk="1" fontAlgn="auto" latinLnBrk="0" hangingPunct="1">
              <a:lnSpc>
                <a:spcPct val="100000"/>
              </a:lnSpc>
              <a:spcBef>
                <a:spcPts val="0"/>
              </a:spcBef>
              <a:spcAft>
                <a:spcPts val="0"/>
              </a:spcAft>
              <a:buClrTx/>
              <a:buSzTx/>
              <a:buFontTx/>
              <a:buNone/>
              <a:tabLst/>
              <a:defRPr sz="1400" b="0">
                <a:solidFill>
                  <a:srgbClr val="000000">
                    <a:lumMod val="65000"/>
                    <a:lumOff val="35000"/>
                  </a:srgbClr>
                </a:solidFill>
              </a:defRPr>
            </a:pPr>
            <a:endParaRPr lang="en-US" sz="1400" b="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baseline="0">
              <a:solidFill>
                <a:srgbClr val="000000">
                  <a:lumMod val="65000"/>
                  <a:lumOff val="35000"/>
                </a:srgb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5"/>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5">
              <a:tint val="58000"/>
            </a:schemeClr>
          </a:solidFill>
          <a:ln>
            <a:noFill/>
          </a:ln>
          <a:effectLst>
            <a:outerShdw blurRad="317500" algn="ctr" rotWithShape="0">
              <a:prstClr val="black">
                <a:alpha val="25000"/>
              </a:prstClr>
            </a:outerShdw>
          </a:effectLst>
        </c:spPr>
      </c:pivotFmt>
      <c:pivotFmt>
        <c:idx val="8"/>
        <c:spPr>
          <a:solidFill>
            <a:schemeClr val="accent5">
              <a:tint val="86000"/>
            </a:schemeClr>
          </a:solidFill>
          <a:ln>
            <a:noFill/>
          </a:ln>
          <a:effectLst>
            <a:outerShdw blurRad="317500" algn="ctr" rotWithShape="0">
              <a:prstClr val="black">
                <a:alpha val="25000"/>
              </a:prstClr>
            </a:outerShdw>
          </a:effectLst>
        </c:spPr>
      </c:pivotFmt>
      <c:pivotFmt>
        <c:idx val="9"/>
        <c:spPr>
          <a:solidFill>
            <a:schemeClr val="accent5">
              <a:shade val="86000"/>
            </a:schemeClr>
          </a:solidFill>
          <a:ln>
            <a:noFill/>
          </a:ln>
          <a:effectLst>
            <a:outerShdw blurRad="317500" algn="ctr" rotWithShape="0">
              <a:prstClr val="black">
                <a:alpha val="25000"/>
              </a:prstClr>
            </a:outerShdw>
          </a:effectLst>
        </c:spPr>
      </c:pivotFmt>
      <c:pivotFmt>
        <c:idx val="10"/>
        <c:spPr>
          <a:solidFill>
            <a:schemeClr val="accent5">
              <a:shade val="58000"/>
            </a:schemeClr>
          </a:solidFill>
          <a:ln>
            <a:noFill/>
          </a:ln>
          <a:effectLst>
            <a:outerShdw blurRad="317500" algn="ctr" rotWithShape="0">
              <a:prstClr val="black">
                <a:alpha val="25000"/>
              </a:prstClr>
            </a:outerShdw>
          </a:effectLst>
        </c:spPr>
      </c:pivotFmt>
    </c:pivotFmts>
    <c:plotArea>
      <c:layout/>
      <c:pieChart>
        <c:varyColors val="1"/>
        <c:ser>
          <c:idx val="0"/>
          <c:order val="0"/>
          <c:tx>
            <c:strRef>
              <c:f>category!$B$1</c:f>
              <c:strCache>
                <c:ptCount val="1"/>
                <c:pt idx="0">
                  <c:v>Total</c:v>
                </c:pt>
              </c:strCache>
            </c:strRef>
          </c:tx>
          <c:dPt>
            <c:idx val="0"/>
            <c:bubble3D val="0"/>
            <c:spPr>
              <a:solidFill>
                <a:schemeClr val="accent5">
                  <a:tint val="58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3B3D-4DD3-92A6-EEAD507274CA}"/>
              </c:ext>
            </c:extLst>
          </c:dPt>
          <c:dPt>
            <c:idx val="1"/>
            <c:bubble3D val="0"/>
            <c:spPr>
              <a:solidFill>
                <a:schemeClr val="accent5">
                  <a:tint val="8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3B3D-4DD3-92A6-EEAD507274CA}"/>
              </c:ext>
            </c:extLst>
          </c:dPt>
          <c:dPt>
            <c:idx val="2"/>
            <c:bubble3D val="0"/>
            <c:spPr>
              <a:solidFill>
                <a:schemeClr val="accent5">
                  <a:shade val="8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3B3D-4DD3-92A6-EEAD507274CA}"/>
              </c:ext>
            </c:extLst>
          </c:dPt>
          <c:dPt>
            <c:idx val="3"/>
            <c:bubble3D val="0"/>
            <c:spPr>
              <a:solidFill>
                <a:schemeClr val="accent5">
                  <a:shade val="58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3B3D-4DD3-92A6-EEAD507274C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category!$A$2:$A$5</c:f>
              <c:strCache>
                <c:ptCount val="4"/>
                <c:pt idx="0">
                  <c:v>Clothing</c:v>
                </c:pt>
                <c:pt idx="1">
                  <c:v>Electronics</c:v>
                </c:pt>
                <c:pt idx="2">
                  <c:v>Food</c:v>
                </c:pt>
                <c:pt idx="3">
                  <c:v>Furniture</c:v>
                </c:pt>
              </c:strCache>
            </c:strRef>
          </c:cat>
          <c:val>
            <c:numRef>
              <c:f>category!$B$2:$B$5</c:f>
              <c:numCache>
                <c:formatCode>0.00%</c:formatCode>
                <c:ptCount val="4"/>
                <c:pt idx="0">
                  <c:v>0.26800000000000002</c:v>
                </c:pt>
                <c:pt idx="1">
                  <c:v>0.246</c:v>
                </c:pt>
                <c:pt idx="2">
                  <c:v>0.22600000000000001</c:v>
                </c:pt>
                <c:pt idx="3">
                  <c:v>0.26</c:v>
                </c:pt>
              </c:numCache>
            </c:numRef>
          </c:val>
          <c:extLst>
            <c:ext xmlns:c16="http://schemas.microsoft.com/office/drawing/2014/chart" uri="{C3380CC4-5D6E-409C-BE32-E72D297353CC}">
              <c16:uniqueId val="{00000008-3B3D-4DD3-92A6-EEAD507274C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[sales_data.xlsm]region!PivotTable11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per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region!$B$8</c:f>
              <c:strCache>
                <c:ptCount val="1"/>
                <c:pt idx="0">
                  <c:v>Total</c:v>
                </c:pt>
              </c:strCache>
            </c:strRef>
          </c:tx>
          <c:spPr>
            <a:solidFill>
              <a:schemeClr val="accent5"/>
            </a:solidFill>
            <a:ln>
              <a:noFill/>
            </a:ln>
            <a:effectLst/>
          </c:spPr>
          <c:invertIfNegative val="0"/>
          <c:cat>
            <c:strRef>
              <c:f>region!$A$9:$A$13</c:f>
              <c:strCache>
                <c:ptCount val="4"/>
                <c:pt idx="0">
                  <c:v>North</c:v>
                </c:pt>
                <c:pt idx="1">
                  <c:v>West</c:v>
                </c:pt>
                <c:pt idx="2">
                  <c:v>East</c:v>
                </c:pt>
                <c:pt idx="3">
                  <c:v>South</c:v>
                </c:pt>
              </c:strCache>
            </c:strRef>
          </c:cat>
          <c:val>
            <c:numRef>
              <c:f>region!$B$9:$B$13</c:f>
              <c:numCache>
                <c:formatCode>_("$"* #,##0_);_("$"* \(#,##0\);_("$"* "-"??_);_(@_)</c:formatCode>
                <c:ptCount val="4"/>
                <c:pt idx="0">
                  <c:v>1661461.1999999941</c:v>
                </c:pt>
                <c:pt idx="1">
                  <c:v>1656091.7699999954</c:v>
                </c:pt>
                <c:pt idx="2">
                  <c:v>1650557.1999999934</c:v>
                </c:pt>
                <c:pt idx="3">
                  <c:v>1519736.8999999929</c:v>
                </c:pt>
              </c:numCache>
            </c:numRef>
          </c:val>
          <c:extLst>
            <c:ext xmlns:c16="http://schemas.microsoft.com/office/drawing/2014/chart" uri="{C3380CC4-5D6E-409C-BE32-E72D297353CC}">
              <c16:uniqueId val="{00000000-445E-44AC-B17D-7D149CC3BE53}"/>
            </c:ext>
          </c:extLst>
        </c:ser>
        <c:dLbls>
          <c:showLegendKey val="0"/>
          <c:showVal val="0"/>
          <c:showCatName val="0"/>
          <c:showSerName val="0"/>
          <c:showPercent val="0"/>
          <c:showBubbleSize val="0"/>
        </c:dLbls>
        <c:gapWidth val="219"/>
        <c:overlap val="-27"/>
        <c:axId val="1697635088"/>
        <c:axId val="1299499664"/>
      </c:barChart>
      <c:catAx>
        <c:axId val="169763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99664"/>
        <c:crosses val="autoZero"/>
        <c:auto val="1"/>
        <c:lblAlgn val="ctr"/>
        <c:lblOffset val="100"/>
        <c:noMultiLvlLbl val="0"/>
      </c:catAx>
      <c:valAx>
        <c:axId val="12994996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635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[sales_data.xlsm]region!PivotTable12</c:name>
    <c:fmtId val="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Monthly Profit Trend by Region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3"/>
            </a:solidFill>
            <a:round/>
          </a:ln>
          <a:effectLst/>
        </c:spPr>
        <c:marker>
          <c:symbol val="diamond"/>
          <c:size val="6"/>
          <c:spPr>
            <a:solidFill>
              <a:schemeClr val="accent3">
                <a:tint val="58000"/>
              </a:schemeClr>
            </a:solidFill>
            <a:ln w="9525">
              <a:solidFill>
                <a:schemeClr val="accent3">
                  <a:tint val="58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a:solidFill>
              <a:schemeClr val="accent3"/>
            </a:solidFill>
            <a:round/>
          </a:ln>
          <a:effectLst/>
        </c:spPr>
        <c:marker>
          <c:symbol val="square"/>
          <c:size val="6"/>
          <c:spPr>
            <a:solidFill>
              <a:schemeClr val="accent3">
                <a:tint val="86000"/>
              </a:schemeClr>
            </a:solidFill>
            <a:ln w="9525">
              <a:solidFill>
                <a:schemeClr val="accent3">
                  <a:tint val="86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2225" cap="rnd">
            <a:solidFill>
              <a:schemeClr val="accent3"/>
            </a:solidFill>
            <a:round/>
          </a:ln>
          <a:effectLst/>
        </c:spPr>
        <c:marker>
          <c:symbol val="triangle"/>
          <c:size val="6"/>
          <c:spPr>
            <a:solidFill>
              <a:schemeClr val="accent3">
                <a:shade val="86000"/>
              </a:schemeClr>
            </a:solidFill>
            <a:ln w="9525">
              <a:solidFill>
                <a:schemeClr val="accent3">
                  <a:shade val="86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a:solidFill>
              <a:schemeClr val="accent3"/>
            </a:solidFill>
            <a:round/>
          </a:ln>
          <a:effectLst/>
        </c:spPr>
        <c:marker>
          <c:symbol val="x"/>
          <c:size val="6"/>
          <c:spPr>
            <a:noFill/>
            <a:ln w="9525">
              <a:solidFill>
                <a:schemeClr val="accent3">
                  <a:shade val="58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region!$B$16:$B$17</c:f>
              <c:strCache>
                <c:ptCount val="1"/>
                <c:pt idx="0">
                  <c:v>East</c:v>
                </c:pt>
              </c:strCache>
            </c:strRef>
          </c:tx>
          <c:spPr>
            <a:ln w="22225" cap="rnd">
              <a:solidFill>
                <a:schemeClr val="accent3">
                  <a:tint val="58000"/>
                </a:schemeClr>
              </a:solidFill>
              <a:round/>
            </a:ln>
            <a:effectLst/>
          </c:spPr>
          <c:marker>
            <c:symbol val="diamond"/>
            <c:size val="6"/>
            <c:spPr>
              <a:solidFill>
                <a:schemeClr val="accent3">
                  <a:tint val="58000"/>
                </a:schemeClr>
              </a:solidFill>
              <a:ln w="9525">
                <a:solidFill>
                  <a:schemeClr val="accent3">
                    <a:tint val="58000"/>
                  </a:schemeClr>
                </a:solidFill>
                <a:round/>
              </a:ln>
              <a:effectLst/>
            </c:spPr>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region!$B$18:$B$29</c:f>
              <c:numCache>
                <c:formatCode>General</c:formatCode>
                <c:ptCount val="12"/>
                <c:pt idx="0">
                  <c:v>200297.20999999883</c:v>
                </c:pt>
                <c:pt idx="1">
                  <c:v>154390.46999999962</c:v>
                </c:pt>
                <c:pt idx="2">
                  <c:v>139018.03999999951</c:v>
                </c:pt>
                <c:pt idx="3">
                  <c:v>122118.52999999917</c:v>
                </c:pt>
                <c:pt idx="4">
                  <c:v>130995.99999999948</c:v>
                </c:pt>
                <c:pt idx="5">
                  <c:v>156752.80999999936</c:v>
                </c:pt>
                <c:pt idx="6">
                  <c:v>185936.51999999944</c:v>
                </c:pt>
                <c:pt idx="7">
                  <c:v>94445.399999999514</c:v>
                </c:pt>
                <c:pt idx="8">
                  <c:v>105006.72000000003</c:v>
                </c:pt>
                <c:pt idx="9">
                  <c:v>147045.70999999973</c:v>
                </c:pt>
                <c:pt idx="10">
                  <c:v>92024.429999999382</c:v>
                </c:pt>
                <c:pt idx="11">
                  <c:v>122525.3599999993</c:v>
                </c:pt>
              </c:numCache>
            </c:numRef>
          </c:val>
          <c:smooth val="0"/>
          <c:extLst>
            <c:ext xmlns:c16="http://schemas.microsoft.com/office/drawing/2014/chart" uri="{C3380CC4-5D6E-409C-BE32-E72D297353CC}">
              <c16:uniqueId val="{00000000-7449-426D-A8AB-D4011D00D271}"/>
            </c:ext>
          </c:extLst>
        </c:ser>
        <c:ser>
          <c:idx val="1"/>
          <c:order val="1"/>
          <c:tx>
            <c:strRef>
              <c:f>region!$C$16:$C$17</c:f>
              <c:strCache>
                <c:ptCount val="1"/>
                <c:pt idx="0">
                  <c:v>North</c:v>
                </c:pt>
              </c:strCache>
            </c:strRef>
          </c:tx>
          <c:spPr>
            <a:ln w="22225" cap="rnd">
              <a:solidFill>
                <a:schemeClr val="accent3">
                  <a:tint val="86000"/>
                </a:schemeClr>
              </a:solidFill>
              <a:round/>
            </a:ln>
            <a:effectLst/>
          </c:spPr>
          <c:marker>
            <c:symbol val="square"/>
            <c:size val="6"/>
            <c:spPr>
              <a:solidFill>
                <a:schemeClr val="accent3">
                  <a:tint val="86000"/>
                </a:schemeClr>
              </a:solidFill>
              <a:ln w="9525">
                <a:solidFill>
                  <a:schemeClr val="accent3">
                    <a:tint val="86000"/>
                  </a:schemeClr>
                </a:solidFill>
                <a:round/>
              </a:ln>
              <a:effectLst/>
            </c:spPr>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region!$C$18:$C$29</c:f>
              <c:numCache>
                <c:formatCode>General</c:formatCode>
                <c:ptCount val="12"/>
                <c:pt idx="0">
                  <c:v>219899.89999999979</c:v>
                </c:pt>
                <c:pt idx="1">
                  <c:v>160874.85999999952</c:v>
                </c:pt>
                <c:pt idx="2">
                  <c:v>166113.03999999902</c:v>
                </c:pt>
                <c:pt idx="3">
                  <c:v>137887.13999999946</c:v>
                </c:pt>
                <c:pt idx="4">
                  <c:v>130969.84999999932</c:v>
                </c:pt>
                <c:pt idx="5">
                  <c:v>155768.11999999982</c:v>
                </c:pt>
                <c:pt idx="6">
                  <c:v>69147.389999999155</c:v>
                </c:pt>
                <c:pt idx="7">
                  <c:v>142983.56999999951</c:v>
                </c:pt>
                <c:pt idx="8">
                  <c:v>139966.55999999924</c:v>
                </c:pt>
                <c:pt idx="9">
                  <c:v>61368.569999999963</c:v>
                </c:pt>
                <c:pt idx="10">
                  <c:v>137188.18999999898</c:v>
                </c:pt>
                <c:pt idx="11">
                  <c:v>139294.00999999919</c:v>
                </c:pt>
              </c:numCache>
            </c:numRef>
          </c:val>
          <c:smooth val="0"/>
          <c:extLst>
            <c:ext xmlns:c16="http://schemas.microsoft.com/office/drawing/2014/chart" uri="{C3380CC4-5D6E-409C-BE32-E72D297353CC}">
              <c16:uniqueId val="{00000001-7449-426D-A8AB-D4011D00D271}"/>
            </c:ext>
          </c:extLst>
        </c:ser>
        <c:ser>
          <c:idx val="2"/>
          <c:order val="2"/>
          <c:tx>
            <c:strRef>
              <c:f>region!$D$16:$D$17</c:f>
              <c:strCache>
                <c:ptCount val="1"/>
                <c:pt idx="0">
                  <c:v>South</c:v>
                </c:pt>
              </c:strCache>
            </c:strRef>
          </c:tx>
          <c:spPr>
            <a:ln w="22225" cap="rnd">
              <a:solidFill>
                <a:schemeClr val="accent3">
                  <a:shade val="86000"/>
                </a:schemeClr>
              </a:solidFill>
              <a:round/>
            </a:ln>
            <a:effectLst/>
          </c:spPr>
          <c:marker>
            <c:symbol val="triangle"/>
            <c:size val="6"/>
            <c:spPr>
              <a:solidFill>
                <a:schemeClr val="accent3">
                  <a:shade val="86000"/>
                </a:schemeClr>
              </a:solidFill>
              <a:ln w="9525">
                <a:solidFill>
                  <a:schemeClr val="accent3">
                    <a:shade val="86000"/>
                  </a:schemeClr>
                </a:solidFill>
                <a:round/>
              </a:ln>
              <a:effectLst/>
            </c:spPr>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region!$D$18:$D$29</c:f>
              <c:numCache>
                <c:formatCode>General</c:formatCode>
                <c:ptCount val="12"/>
                <c:pt idx="0">
                  <c:v>149795.68999999933</c:v>
                </c:pt>
                <c:pt idx="1">
                  <c:v>155442.3699999986</c:v>
                </c:pt>
                <c:pt idx="2">
                  <c:v>112265.04999999894</c:v>
                </c:pt>
                <c:pt idx="3">
                  <c:v>141788.88999999998</c:v>
                </c:pt>
                <c:pt idx="4">
                  <c:v>126759.03000000001</c:v>
                </c:pt>
                <c:pt idx="5">
                  <c:v>120717.59999999966</c:v>
                </c:pt>
                <c:pt idx="6">
                  <c:v>168272.26999999859</c:v>
                </c:pt>
                <c:pt idx="7">
                  <c:v>116023.78</c:v>
                </c:pt>
                <c:pt idx="8">
                  <c:v>125604.54999999881</c:v>
                </c:pt>
                <c:pt idx="9">
                  <c:v>75923.109999999564</c:v>
                </c:pt>
                <c:pt idx="10">
                  <c:v>134886.03999999963</c:v>
                </c:pt>
                <c:pt idx="11">
                  <c:v>92258.519999999757</c:v>
                </c:pt>
              </c:numCache>
            </c:numRef>
          </c:val>
          <c:smooth val="0"/>
          <c:extLst>
            <c:ext xmlns:c16="http://schemas.microsoft.com/office/drawing/2014/chart" uri="{C3380CC4-5D6E-409C-BE32-E72D297353CC}">
              <c16:uniqueId val="{00000002-7449-426D-A8AB-D4011D00D271}"/>
            </c:ext>
          </c:extLst>
        </c:ser>
        <c:ser>
          <c:idx val="3"/>
          <c:order val="3"/>
          <c:tx>
            <c:strRef>
              <c:f>region!$E$16:$E$17</c:f>
              <c:strCache>
                <c:ptCount val="1"/>
                <c:pt idx="0">
                  <c:v>West</c:v>
                </c:pt>
              </c:strCache>
            </c:strRef>
          </c:tx>
          <c:spPr>
            <a:ln w="22225" cap="rnd">
              <a:solidFill>
                <a:schemeClr val="accent3">
                  <a:shade val="58000"/>
                </a:schemeClr>
              </a:solidFill>
              <a:round/>
            </a:ln>
            <a:effectLst/>
          </c:spPr>
          <c:marker>
            <c:symbol val="x"/>
            <c:size val="6"/>
            <c:spPr>
              <a:noFill/>
              <a:ln w="9525">
                <a:solidFill>
                  <a:schemeClr val="accent3">
                    <a:shade val="58000"/>
                  </a:schemeClr>
                </a:solidFill>
                <a:round/>
              </a:ln>
              <a:effectLst/>
            </c:spPr>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region!$E$18:$E$29</c:f>
              <c:numCache>
                <c:formatCode>General</c:formatCode>
                <c:ptCount val="12"/>
                <c:pt idx="0">
                  <c:v>107771.79999999976</c:v>
                </c:pt>
                <c:pt idx="1">
                  <c:v>135284.49999999971</c:v>
                </c:pt>
                <c:pt idx="2">
                  <c:v>173001.41999999969</c:v>
                </c:pt>
                <c:pt idx="3">
                  <c:v>182885.26999999964</c:v>
                </c:pt>
                <c:pt idx="4">
                  <c:v>169692.81</c:v>
                </c:pt>
                <c:pt idx="5">
                  <c:v>124573.52999999883</c:v>
                </c:pt>
                <c:pt idx="6">
                  <c:v>105275.62999999957</c:v>
                </c:pt>
                <c:pt idx="7">
                  <c:v>142554.06999999966</c:v>
                </c:pt>
                <c:pt idx="8">
                  <c:v>118894.3199999998</c:v>
                </c:pt>
                <c:pt idx="9">
                  <c:v>193715.68999999957</c:v>
                </c:pt>
                <c:pt idx="10">
                  <c:v>108841.85999999986</c:v>
                </c:pt>
                <c:pt idx="11">
                  <c:v>93600.87</c:v>
                </c:pt>
              </c:numCache>
            </c:numRef>
          </c:val>
          <c:smooth val="0"/>
          <c:extLst>
            <c:ext xmlns:c16="http://schemas.microsoft.com/office/drawing/2014/chart" uri="{C3380CC4-5D6E-409C-BE32-E72D297353CC}">
              <c16:uniqueId val="{00000003-7449-426D-A8AB-D4011D00D271}"/>
            </c:ext>
          </c:extLst>
        </c:ser>
        <c:dLbls>
          <c:showLegendKey val="0"/>
          <c:showVal val="0"/>
          <c:showCatName val="0"/>
          <c:showSerName val="0"/>
          <c:showPercent val="0"/>
          <c:showBubbleSize val="0"/>
        </c:dLbls>
        <c:marker val="1"/>
        <c:smooth val="0"/>
        <c:axId val="520084991"/>
        <c:axId val="1299504944"/>
      </c:lineChart>
      <c:catAx>
        <c:axId val="52008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299504944"/>
        <c:crosses val="autoZero"/>
        <c:auto val="1"/>
        <c:lblAlgn val="ctr"/>
        <c:lblOffset val="100"/>
        <c:noMultiLvlLbl val="0"/>
      </c:catAx>
      <c:valAx>
        <c:axId val="1299504944"/>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84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[sales_data.xlsm]region!PivotTable13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online Vs.</a:t>
            </a:r>
            <a:r>
              <a:rPr lang="en-US" baseline="0"/>
              <a:t> retail for each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region!$B$32:$B$33</c:f>
              <c:strCache>
                <c:ptCount val="1"/>
                <c:pt idx="0">
                  <c:v>Online</c:v>
                </c:pt>
              </c:strCache>
            </c:strRef>
          </c:tx>
          <c:spPr>
            <a:solidFill>
              <a:schemeClr val="accent5">
                <a:tint val="77000"/>
              </a:schemeClr>
            </a:solidFill>
            <a:ln>
              <a:noFill/>
            </a:ln>
            <a:effectLst/>
          </c:spPr>
          <c:invertIfNegative val="0"/>
          <c:cat>
            <c:strRef>
              <c:f>region!$A$34:$A$38</c:f>
              <c:strCache>
                <c:ptCount val="4"/>
                <c:pt idx="0">
                  <c:v>North</c:v>
                </c:pt>
                <c:pt idx="1">
                  <c:v>East</c:v>
                </c:pt>
                <c:pt idx="2">
                  <c:v>West</c:v>
                </c:pt>
                <c:pt idx="3">
                  <c:v>South</c:v>
                </c:pt>
              </c:strCache>
            </c:strRef>
          </c:cat>
          <c:val>
            <c:numRef>
              <c:f>region!$B$34:$B$38</c:f>
              <c:numCache>
                <c:formatCode>General</c:formatCode>
                <c:ptCount val="4"/>
                <c:pt idx="0">
                  <c:v>130</c:v>
                </c:pt>
                <c:pt idx="1">
                  <c:v>121</c:v>
                </c:pt>
                <c:pt idx="2">
                  <c:v>125</c:v>
                </c:pt>
                <c:pt idx="3">
                  <c:v>112</c:v>
                </c:pt>
              </c:numCache>
            </c:numRef>
          </c:val>
          <c:extLst>
            <c:ext xmlns:c16="http://schemas.microsoft.com/office/drawing/2014/chart" uri="{C3380CC4-5D6E-409C-BE32-E72D297353CC}">
              <c16:uniqueId val="{00000000-9956-4FE7-B769-A6919137CFB1}"/>
            </c:ext>
          </c:extLst>
        </c:ser>
        <c:ser>
          <c:idx val="1"/>
          <c:order val="1"/>
          <c:tx>
            <c:strRef>
              <c:f>region!$C$32:$C$33</c:f>
              <c:strCache>
                <c:ptCount val="1"/>
                <c:pt idx="0">
                  <c:v>Retail</c:v>
                </c:pt>
              </c:strCache>
            </c:strRef>
          </c:tx>
          <c:spPr>
            <a:solidFill>
              <a:schemeClr val="accent5">
                <a:shade val="76000"/>
              </a:schemeClr>
            </a:solidFill>
            <a:ln>
              <a:noFill/>
            </a:ln>
            <a:effectLst/>
          </c:spPr>
          <c:invertIfNegative val="0"/>
          <c:cat>
            <c:strRef>
              <c:f>region!$A$34:$A$38</c:f>
              <c:strCache>
                <c:ptCount val="4"/>
                <c:pt idx="0">
                  <c:v>North</c:v>
                </c:pt>
                <c:pt idx="1">
                  <c:v>East</c:v>
                </c:pt>
                <c:pt idx="2">
                  <c:v>West</c:v>
                </c:pt>
                <c:pt idx="3">
                  <c:v>South</c:v>
                </c:pt>
              </c:strCache>
            </c:strRef>
          </c:cat>
          <c:val>
            <c:numRef>
              <c:f>region!$C$34:$C$38</c:f>
              <c:numCache>
                <c:formatCode>General</c:formatCode>
                <c:ptCount val="4"/>
                <c:pt idx="0">
                  <c:v>137</c:v>
                </c:pt>
                <c:pt idx="1">
                  <c:v>142</c:v>
                </c:pt>
                <c:pt idx="2">
                  <c:v>119</c:v>
                </c:pt>
                <c:pt idx="3">
                  <c:v>114</c:v>
                </c:pt>
              </c:numCache>
            </c:numRef>
          </c:val>
          <c:extLst>
            <c:ext xmlns:c16="http://schemas.microsoft.com/office/drawing/2014/chart" uri="{C3380CC4-5D6E-409C-BE32-E72D297353CC}">
              <c16:uniqueId val="{00000001-9956-4FE7-B769-A6919137CFB1}"/>
            </c:ext>
          </c:extLst>
        </c:ser>
        <c:dLbls>
          <c:showLegendKey val="0"/>
          <c:showVal val="0"/>
          <c:showCatName val="0"/>
          <c:showSerName val="0"/>
          <c:showPercent val="0"/>
          <c:showBubbleSize val="0"/>
        </c:dLbls>
        <c:gapWidth val="219"/>
        <c:overlap val="-27"/>
        <c:axId val="1670346528"/>
        <c:axId val="1299463184"/>
      </c:barChart>
      <c:catAx>
        <c:axId val="167034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63184"/>
        <c:crosses val="autoZero"/>
        <c:auto val="1"/>
        <c:lblAlgn val="ctr"/>
        <c:lblOffset val="100"/>
        <c:noMultiLvlLbl val="0"/>
      </c:catAx>
      <c:valAx>
        <c:axId val="129946318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no.orders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34652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[sales_data.xlsm]region!PivotTable10</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percentage per Region by Channel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tint val="58000"/>
            </a:schemeClr>
          </a:solidFill>
          <a:ln w="19050">
            <a:solidFill>
              <a:schemeClr val="lt1"/>
            </a:solidFill>
          </a:ln>
          <a:effectLst/>
        </c:spPr>
      </c:pivotFmt>
      <c:pivotFmt>
        <c:idx val="8"/>
        <c:spPr>
          <a:solidFill>
            <a:schemeClr val="accent5">
              <a:tint val="86000"/>
            </a:schemeClr>
          </a:solidFill>
          <a:ln w="19050">
            <a:solidFill>
              <a:schemeClr val="lt1"/>
            </a:solidFill>
          </a:ln>
          <a:effectLst/>
        </c:spPr>
      </c:pivotFmt>
      <c:pivotFmt>
        <c:idx val="9"/>
        <c:spPr>
          <a:solidFill>
            <a:schemeClr val="accent5">
              <a:shade val="86000"/>
            </a:schemeClr>
          </a:solidFill>
          <a:ln w="19050">
            <a:solidFill>
              <a:schemeClr val="lt1"/>
            </a:solidFill>
          </a:ln>
          <a:effectLst/>
        </c:spPr>
      </c:pivotFmt>
      <c:pivotFmt>
        <c:idx val="10"/>
        <c:spPr>
          <a:solidFill>
            <a:schemeClr val="accent5">
              <a:shade val="58000"/>
            </a:schemeClr>
          </a:solidFill>
          <a:ln w="19050">
            <a:solidFill>
              <a:schemeClr val="lt1"/>
            </a:solidFill>
          </a:ln>
          <a:effectLst/>
        </c:spPr>
      </c:pivotFmt>
    </c:pivotFmts>
    <c:plotArea>
      <c:layout/>
      <c:pieChart>
        <c:varyColors val="1"/>
        <c:ser>
          <c:idx val="0"/>
          <c:order val="0"/>
          <c:tx>
            <c:strRef>
              <c:f>region!$B$1</c:f>
              <c:strCache>
                <c:ptCount val="1"/>
                <c:pt idx="0">
                  <c:v>Total</c:v>
                </c:pt>
              </c:strCache>
            </c:strRef>
          </c:tx>
          <c:dPt>
            <c:idx val="0"/>
            <c:bubble3D val="0"/>
            <c:spPr>
              <a:solidFill>
                <a:schemeClr val="accent5">
                  <a:tint val="58000"/>
                </a:schemeClr>
              </a:solidFill>
              <a:ln w="19050">
                <a:solidFill>
                  <a:schemeClr val="lt1"/>
                </a:solidFill>
              </a:ln>
              <a:effectLst/>
            </c:spPr>
            <c:extLst>
              <c:ext xmlns:c16="http://schemas.microsoft.com/office/drawing/2014/chart" uri="{C3380CC4-5D6E-409C-BE32-E72D297353CC}">
                <c16:uniqueId val="{00000001-B374-4EEE-8008-7EF1C1A9BD49}"/>
              </c:ext>
            </c:extLst>
          </c:dPt>
          <c:dPt>
            <c:idx val="1"/>
            <c:bubble3D val="0"/>
            <c:spPr>
              <a:solidFill>
                <a:schemeClr val="accent5">
                  <a:tint val="86000"/>
                </a:schemeClr>
              </a:solidFill>
              <a:ln w="19050">
                <a:solidFill>
                  <a:schemeClr val="lt1"/>
                </a:solidFill>
              </a:ln>
              <a:effectLst/>
            </c:spPr>
            <c:extLst>
              <c:ext xmlns:c16="http://schemas.microsoft.com/office/drawing/2014/chart" uri="{C3380CC4-5D6E-409C-BE32-E72D297353CC}">
                <c16:uniqueId val="{00000003-B374-4EEE-8008-7EF1C1A9BD49}"/>
              </c:ext>
            </c:extLst>
          </c:dPt>
          <c:dPt>
            <c:idx val="2"/>
            <c:bubble3D val="0"/>
            <c:spPr>
              <a:solidFill>
                <a:schemeClr val="accent5">
                  <a:shade val="86000"/>
                </a:schemeClr>
              </a:solidFill>
              <a:ln w="19050">
                <a:solidFill>
                  <a:schemeClr val="lt1"/>
                </a:solidFill>
              </a:ln>
              <a:effectLst/>
            </c:spPr>
            <c:extLst>
              <c:ext xmlns:c16="http://schemas.microsoft.com/office/drawing/2014/chart" uri="{C3380CC4-5D6E-409C-BE32-E72D297353CC}">
                <c16:uniqueId val="{00000005-B374-4EEE-8008-7EF1C1A9BD49}"/>
              </c:ext>
            </c:extLst>
          </c:dPt>
          <c:dPt>
            <c:idx val="3"/>
            <c:bubble3D val="0"/>
            <c:spPr>
              <a:solidFill>
                <a:schemeClr val="accent5">
                  <a:shade val="58000"/>
                </a:schemeClr>
              </a:solidFill>
              <a:ln w="19050">
                <a:solidFill>
                  <a:schemeClr val="lt1"/>
                </a:solidFill>
              </a:ln>
              <a:effectLst/>
            </c:spPr>
            <c:extLst>
              <c:ext xmlns:c16="http://schemas.microsoft.com/office/drawing/2014/chart" uri="{C3380CC4-5D6E-409C-BE32-E72D297353CC}">
                <c16:uniqueId val="{00000007-B374-4EEE-8008-7EF1C1A9BD4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region!$A$2:$A$6</c:f>
              <c:strCache>
                <c:ptCount val="4"/>
                <c:pt idx="0">
                  <c:v>North</c:v>
                </c:pt>
                <c:pt idx="1">
                  <c:v>East</c:v>
                </c:pt>
                <c:pt idx="2">
                  <c:v>West</c:v>
                </c:pt>
                <c:pt idx="3">
                  <c:v>South</c:v>
                </c:pt>
              </c:strCache>
            </c:strRef>
          </c:cat>
          <c:val>
            <c:numRef>
              <c:f>region!$B$2:$B$6</c:f>
              <c:numCache>
                <c:formatCode>0.00%</c:formatCode>
                <c:ptCount val="4"/>
                <c:pt idx="0">
                  <c:v>0.26700000000000002</c:v>
                </c:pt>
                <c:pt idx="1">
                  <c:v>0.26300000000000001</c:v>
                </c:pt>
                <c:pt idx="2">
                  <c:v>0.24399999999999999</c:v>
                </c:pt>
                <c:pt idx="3">
                  <c:v>0.22600000000000001</c:v>
                </c:pt>
              </c:numCache>
            </c:numRef>
          </c:val>
          <c:extLst>
            <c:ext xmlns:c16="http://schemas.microsoft.com/office/drawing/2014/chart" uri="{C3380CC4-5D6E-409C-BE32-E72D297353CC}">
              <c16:uniqueId val="{00000008-B374-4EEE-8008-7EF1C1A9BD4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5181991585882555"/>
          <c:y val="0.30692002041411492"/>
          <c:w val="0.13546378608583337"/>
          <c:h val="0.409724409448818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[sales_data.xlsm]sales_rep!PivotTable3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sales_rep!$B$1:$B$2</c:f>
              <c:strCache>
                <c:ptCount val="1"/>
                <c:pt idx="0">
                  <c:v>Clothing</c:v>
                </c:pt>
              </c:strCache>
            </c:strRef>
          </c:tx>
          <c:spPr>
            <a:solidFill>
              <a:schemeClr val="accent1"/>
            </a:solidFill>
            <a:ln>
              <a:noFill/>
            </a:ln>
            <a:effectLst/>
          </c:spPr>
          <c:invertIfNegative val="0"/>
          <c:cat>
            <c:strRef>
              <c:f>sales_rep!$A$3:$A$8</c:f>
              <c:strCache>
                <c:ptCount val="5"/>
                <c:pt idx="0">
                  <c:v>David</c:v>
                </c:pt>
                <c:pt idx="1">
                  <c:v>Eve</c:v>
                </c:pt>
                <c:pt idx="2">
                  <c:v>Bob</c:v>
                </c:pt>
                <c:pt idx="3">
                  <c:v>Alice</c:v>
                </c:pt>
                <c:pt idx="4">
                  <c:v>Charlie</c:v>
                </c:pt>
              </c:strCache>
            </c:strRef>
          </c:cat>
          <c:val>
            <c:numRef>
              <c:f>sales_rep!$B$3:$B$8</c:f>
              <c:numCache>
                <c:formatCode>General</c:formatCode>
                <c:ptCount val="5"/>
                <c:pt idx="0">
                  <c:v>3263949.847899999</c:v>
                </c:pt>
                <c:pt idx="1">
                  <c:v>4175283.0013999986</c:v>
                </c:pt>
                <c:pt idx="2">
                  <c:v>2894176.0933999997</c:v>
                </c:pt>
                <c:pt idx="3">
                  <c:v>2877741.545799999</c:v>
                </c:pt>
                <c:pt idx="4">
                  <c:v>3149694.1361999987</c:v>
                </c:pt>
              </c:numCache>
            </c:numRef>
          </c:val>
          <c:extLst>
            <c:ext xmlns:c16="http://schemas.microsoft.com/office/drawing/2014/chart" uri="{C3380CC4-5D6E-409C-BE32-E72D297353CC}">
              <c16:uniqueId val="{00000000-08D0-4A24-B5AF-2552E457A677}"/>
            </c:ext>
          </c:extLst>
        </c:ser>
        <c:ser>
          <c:idx val="1"/>
          <c:order val="1"/>
          <c:tx>
            <c:strRef>
              <c:f>sales_rep!$C$1:$C$2</c:f>
              <c:strCache>
                <c:ptCount val="1"/>
                <c:pt idx="0">
                  <c:v>Electronics</c:v>
                </c:pt>
              </c:strCache>
            </c:strRef>
          </c:tx>
          <c:spPr>
            <a:solidFill>
              <a:schemeClr val="accent2"/>
            </a:solidFill>
            <a:ln>
              <a:noFill/>
            </a:ln>
            <a:effectLst/>
          </c:spPr>
          <c:invertIfNegative val="0"/>
          <c:cat>
            <c:strRef>
              <c:f>sales_rep!$A$3:$A$8</c:f>
              <c:strCache>
                <c:ptCount val="5"/>
                <c:pt idx="0">
                  <c:v>David</c:v>
                </c:pt>
                <c:pt idx="1">
                  <c:v>Eve</c:v>
                </c:pt>
                <c:pt idx="2">
                  <c:v>Bob</c:v>
                </c:pt>
                <c:pt idx="3">
                  <c:v>Alice</c:v>
                </c:pt>
                <c:pt idx="4">
                  <c:v>Charlie</c:v>
                </c:pt>
              </c:strCache>
            </c:strRef>
          </c:cat>
          <c:val>
            <c:numRef>
              <c:f>sales_rep!$C$3:$C$8</c:f>
              <c:numCache>
                <c:formatCode>General</c:formatCode>
                <c:ptCount val="5"/>
                <c:pt idx="0">
                  <c:v>4084496.5045999982</c:v>
                </c:pt>
                <c:pt idx="1">
                  <c:v>3257944.7370999982</c:v>
                </c:pt>
                <c:pt idx="2">
                  <c:v>2434542.6403999981</c:v>
                </c:pt>
                <c:pt idx="3">
                  <c:v>2862984.8391999984</c:v>
                </c:pt>
                <c:pt idx="4">
                  <c:v>2513256.5641000001</c:v>
                </c:pt>
              </c:numCache>
            </c:numRef>
          </c:val>
          <c:extLst>
            <c:ext xmlns:c16="http://schemas.microsoft.com/office/drawing/2014/chart" uri="{C3380CC4-5D6E-409C-BE32-E72D297353CC}">
              <c16:uniqueId val="{0000001A-08D0-4A24-B5AF-2552E457A677}"/>
            </c:ext>
          </c:extLst>
        </c:ser>
        <c:ser>
          <c:idx val="2"/>
          <c:order val="2"/>
          <c:tx>
            <c:strRef>
              <c:f>sales_rep!$D$1:$D$2</c:f>
              <c:strCache>
                <c:ptCount val="1"/>
                <c:pt idx="0">
                  <c:v>Food</c:v>
                </c:pt>
              </c:strCache>
            </c:strRef>
          </c:tx>
          <c:spPr>
            <a:solidFill>
              <a:schemeClr val="accent3"/>
            </a:solidFill>
            <a:ln>
              <a:noFill/>
            </a:ln>
            <a:effectLst/>
          </c:spPr>
          <c:invertIfNegative val="0"/>
          <c:cat>
            <c:strRef>
              <c:f>sales_rep!$A$3:$A$8</c:f>
              <c:strCache>
                <c:ptCount val="5"/>
                <c:pt idx="0">
                  <c:v>David</c:v>
                </c:pt>
                <c:pt idx="1">
                  <c:v>Eve</c:v>
                </c:pt>
                <c:pt idx="2">
                  <c:v>Bob</c:v>
                </c:pt>
                <c:pt idx="3">
                  <c:v>Alice</c:v>
                </c:pt>
                <c:pt idx="4">
                  <c:v>Charlie</c:v>
                </c:pt>
              </c:strCache>
            </c:strRef>
          </c:cat>
          <c:val>
            <c:numRef>
              <c:f>sales_rep!$D$3:$D$8</c:f>
              <c:numCache>
                <c:formatCode>General</c:formatCode>
                <c:ptCount val="5"/>
                <c:pt idx="0">
                  <c:v>2777481.269799998</c:v>
                </c:pt>
                <c:pt idx="1">
                  <c:v>2313587.6339000002</c:v>
                </c:pt>
                <c:pt idx="2">
                  <c:v>2716241.9251999981</c:v>
                </c:pt>
                <c:pt idx="3">
                  <c:v>2950272.9675999992</c:v>
                </c:pt>
                <c:pt idx="4">
                  <c:v>2050742.4342999991</c:v>
                </c:pt>
              </c:numCache>
            </c:numRef>
          </c:val>
          <c:extLst>
            <c:ext xmlns:c16="http://schemas.microsoft.com/office/drawing/2014/chart" uri="{C3380CC4-5D6E-409C-BE32-E72D297353CC}">
              <c16:uniqueId val="{0000001B-08D0-4A24-B5AF-2552E457A677}"/>
            </c:ext>
          </c:extLst>
        </c:ser>
        <c:ser>
          <c:idx val="3"/>
          <c:order val="3"/>
          <c:tx>
            <c:strRef>
              <c:f>sales_rep!$E$1:$E$2</c:f>
              <c:strCache>
                <c:ptCount val="1"/>
                <c:pt idx="0">
                  <c:v>Furniture</c:v>
                </c:pt>
              </c:strCache>
            </c:strRef>
          </c:tx>
          <c:spPr>
            <a:solidFill>
              <a:schemeClr val="accent4"/>
            </a:solidFill>
            <a:ln>
              <a:noFill/>
            </a:ln>
            <a:effectLst/>
          </c:spPr>
          <c:invertIfNegative val="0"/>
          <c:cat>
            <c:strRef>
              <c:f>sales_rep!$A$3:$A$8</c:f>
              <c:strCache>
                <c:ptCount val="5"/>
                <c:pt idx="0">
                  <c:v>David</c:v>
                </c:pt>
                <c:pt idx="1">
                  <c:v>Eve</c:v>
                </c:pt>
                <c:pt idx="2">
                  <c:v>Bob</c:v>
                </c:pt>
                <c:pt idx="3">
                  <c:v>Alice</c:v>
                </c:pt>
                <c:pt idx="4">
                  <c:v>Charlie</c:v>
                </c:pt>
              </c:strCache>
            </c:strRef>
          </c:cat>
          <c:val>
            <c:numRef>
              <c:f>sales_rep!$E$3:$E$8</c:f>
              <c:numCache>
                <c:formatCode>General</c:formatCode>
                <c:ptCount val="5"/>
                <c:pt idx="0">
                  <c:v>3548481.5795999989</c:v>
                </c:pt>
                <c:pt idx="1">
                  <c:v>3191908.5866999989</c:v>
                </c:pt>
                <c:pt idx="2">
                  <c:v>3723743.0496999989</c:v>
                </c:pt>
                <c:pt idx="3">
                  <c:v>2785646.2106999997</c:v>
                </c:pt>
                <c:pt idx="4">
                  <c:v>2113997.7160999998</c:v>
                </c:pt>
              </c:numCache>
            </c:numRef>
          </c:val>
          <c:extLst>
            <c:ext xmlns:c16="http://schemas.microsoft.com/office/drawing/2014/chart" uri="{C3380CC4-5D6E-409C-BE32-E72D297353CC}">
              <c16:uniqueId val="{0000001C-08D0-4A24-B5AF-2552E457A677}"/>
            </c:ext>
          </c:extLst>
        </c:ser>
        <c:dLbls>
          <c:showLegendKey val="0"/>
          <c:showVal val="0"/>
          <c:showCatName val="0"/>
          <c:showSerName val="0"/>
          <c:showPercent val="0"/>
          <c:showBubbleSize val="0"/>
        </c:dLbls>
        <c:gapWidth val="219"/>
        <c:overlap val="-27"/>
        <c:axId val="1414511967"/>
        <c:axId val="1299581264"/>
      </c:barChart>
      <c:catAx>
        <c:axId val="141451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81264"/>
        <c:crosses val="autoZero"/>
        <c:auto val="1"/>
        <c:lblAlgn val="ctr"/>
        <c:lblOffset val="100"/>
        <c:noMultiLvlLbl val="0"/>
      </c:catAx>
      <c:valAx>
        <c:axId val="129958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511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[sales_data.xlsm]sales_rep!PivotTable8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new and returning customers for each sales rep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sales_rep!$B$15:$B$16</c:f>
              <c:strCache>
                <c:ptCount val="1"/>
                <c:pt idx="0">
                  <c:v>New</c:v>
                </c:pt>
              </c:strCache>
            </c:strRef>
          </c:tx>
          <c:spPr>
            <a:solidFill>
              <a:schemeClr val="accent1"/>
            </a:solidFill>
            <a:ln>
              <a:noFill/>
            </a:ln>
            <a:effectLst/>
          </c:spPr>
          <c:invertIfNegative val="0"/>
          <c:cat>
            <c:strRef>
              <c:f>sales_rep!$A$17:$A$22</c:f>
              <c:strCache>
                <c:ptCount val="5"/>
                <c:pt idx="0">
                  <c:v>Alice</c:v>
                </c:pt>
                <c:pt idx="1">
                  <c:v>Bob</c:v>
                </c:pt>
                <c:pt idx="2">
                  <c:v>Charlie</c:v>
                </c:pt>
                <c:pt idx="3">
                  <c:v>David</c:v>
                </c:pt>
                <c:pt idx="4">
                  <c:v>Eve</c:v>
                </c:pt>
              </c:strCache>
            </c:strRef>
          </c:cat>
          <c:val>
            <c:numRef>
              <c:f>sales_rep!$B$17:$B$22</c:f>
              <c:numCache>
                <c:formatCode>General</c:formatCode>
                <c:ptCount val="5"/>
                <c:pt idx="0">
                  <c:v>96</c:v>
                </c:pt>
                <c:pt idx="1">
                  <c:v>97</c:v>
                </c:pt>
                <c:pt idx="2">
                  <c:v>84</c:v>
                </c:pt>
                <c:pt idx="3">
                  <c:v>117</c:v>
                </c:pt>
                <c:pt idx="4">
                  <c:v>110</c:v>
                </c:pt>
              </c:numCache>
            </c:numRef>
          </c:val>
          <c:extLst>
            <c:ext xmlns:c16="http://schemas.microsoft.com/office/drawing/2014/chart" uri="{C3380CC4-5D6E-409C-BE32-E72D297353CC}">
              <c16:uniqueId val="{00000000-B348-4074-9215-976DD85E7F38}"/>
            </c:ext>
          </c:extLst>
        </c:ser>
        <c:ser>
          <c:idx val="1"/>
          <c:order val="1"/>
          <c:tx>
            <c:strRef>
              <c:f>sales_rep!$C$15:$C$16</c:f>
              <c:strCache>
                <c:ptCount val="1"/>
                <c:pt idx="0">
                  <c:v>Returning</c:v>
                </c:pt>
              </c:strCache>
            </c:strRef>
          </c:tx>
          <c:spPr>
            <a:solidFill>
              <a:schemeClr val="accent2"/>
            </a:solidFill>
            <a:ln>
              <a:noFill/>
            </a:ln>
            <a:effectLst/>
          </c:spPr>
          <c:invertIfNegative val="0"/>
          <c:cat>
            <c:strRef>
              <c:f>sales_rep!$A$17:$A$22</c:f>
              <c:strCache>
                <c:ptCount val="5"/>
                <c:pt idx="0">
                  <c:v>Alice</c:v>
                </c:pt>
                <c:pt idx="1">
                  <c:v>Bob</c:v>
                </c:pt>
                <c:pt idx="2">
                  <c:v>Charlie</c:v>
                </c:pt>
                <c:pt idx="3">
                  <c:v>David</c:v>
                </c:pt>
                <c:pt idx="4">
                  <c:v>Eve</c:v>
                </c:pt>
              </c:strCache>
            </c:strRef>
          </c:cat>
          <c:val>
            <c:numRef>
              <c:f>sales_rep!$C$17:$C$22</c:f>
              <c:numCache>
                <c:formatCode>General</c:formatCode>
                <c:ptCount val="5"/>
                <c:pt idx="0">
                  <c:v>96</c:v>
                </c:pt>
                <c:pt idx="1">
                  <c:v>111</c:v>
                </c:pt>
                <c:pt idx="2">
                  <c:v>85</c:v>
                </c:pt>
                <c:pt idx="3">
                  <c:v>105</c:v>
                </c:pt>
                <c:pt idx="4">
                  <c:v>99</c:v>
                </c:pt>
              </c:numCache>
            </c:numRef>
          </c:val>
          <c:extLst>
            <c:ext xmlns:c16="http://schemas.microsoft.com/office/drawing/2014/chart" uri="{C3380CC4-5D6E-409C-BE32-E72D297353CC}">
              <c16:uniqueId val="{0000000A-B348-4074-9215-976DD85E7F38}"/>
            </c:ext>
          </c:extLst>
        </c:ser>
        <c:dLbls>
          <c:showLegendKey val="0"/>
          <c:showVal val="0"/>
          <c:showCatName val="0"/>
          <c:showSerName val="0"/>
          <c:showPercent val="0"/>
          <c:showBubbleSize val="0"/>
        </c:dLbls>
        <c:gapWidth val="219"/>
        <c:overlap val="-27"/>
        <c:axId val="1697632768"/>
        <c:axId val="1299513584"/>
      </c:barChart>
      <c:catAx>
        <c:axId val="169763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13584"/>
        <c:crosses val="autoZero"/>
        <c:auto val="1"/>
        <c:lblAlgn val="ctr"/>
        <c:lblOffset val="100"/>
        <c:noMultiLvlLbl val="0"/>
      </c:catAx>
      <c:valAx>
        <c:axId val="1299513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632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[sales_data.xlsm]sales_rep!PivotTable9</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sales_rep!$B$30:$B$31</c:f>
              <c:strCache>
                <c:ptCount val="1"/>
                <c:pt idx="0">
                  <c:v>Credit Card</c:v>
                </c:pt>
              </c:strCache>
            </c:strRef>
          </c:tx>
          <c:spPr>
            <a:solidFill>
              <a:schemeClr val="accent1"/>
            </a:solidFill>
            <a:ln>
              <a:noFill/>
            </a:ln>
            <a:effectLst/>
          </c:spPr>
          <c:invertIfNegative val="0"/>
          <c:cat>
            <c:strRef>
              <c:f>sales_rep!$A$32:$A$37</c:f>
              <c:strCache>
                <c:ptCount val="5"/>
                <c:pt idx="0">
                  <c:v>David</c:v>
                </c:pt>
                <c:pt idx="1">
                  <c:v>Eve</c:v>
                </c:pt>
                <c:pt idx="2">
                  <c:v>Bob</c:v>
                </c:pt>
                <c:pt idx="3">
                  <c:v>Alice</c:v>
                </c:pt>
                <c:pt idx="4">
                  <c:v>Charlie</c:v>
                </c:pt>
              </c:strCache>
            </c:strRef>
          </c:cat>
          <c:val>
            <c:numRef>
              <c:f>sales_rep!$B$32:$B$37</c:f>
              <c:numCache>
                <c:formatCode>General</c:formatCode>
                <c:ptCount val="5"/>
                <c:pt idx="0">
                  <c:v>78</c:v>
                </c:pt>
                <c:pt idx="1">
                  <c:v>76</c:v>
                </c:pt>
                <c:pt idx="2">
                  <c:v>66</c:v>
                </c:pt>
                <c:pt idx="3">
                  <c:v>65</c:v>
                </c:pt>
                <c:pt idx="4">
                  <c:v>60</c:v>
                </c:pt>
              </c:numCache>
            </c:numRef>
          </c:val>
          <c:extLst>
            <c:ext xmlns:c16="http://schemas.microsoft.com/office/drawing/2014/chart" uri="{C3380CC4-5D6E-409C-BE32-E72D297353CC}">
              <c16:uniqueId val="{00000000-74F9-49C4-8938-B078B210E414}"/>
            </c:ext>
          </c:extLst>
        </c:ser>
        <c:ser>
          <c:idx val="1"/>
          <c:order val="1"/>
          <c:tx>
            <c:strRef>
              <c:f>sales_rep!$C$30:$C$31</c:f>
              <c:strCache>
                <c:ptCount val="1"/>
                <c:pt idx="0">
                  <c:v>Bank Transfer</c:v>
                </c:pt>
              </c:strCache>
            </c:strRef>
          </c:tx>
          <c:spPr>
            <a:solidFill>
              <a:schemeClr val="accent2"/>
            </a:solidFill>
            <a:ln>
              <a:noFill/>
            </a:ln>
            <a:effectLst/>
          </c:spPr>
          <c:invertIfNegative val="0"/>
          <c:cat>
            <c:strRef>
              <c:f>sales_rep!$A$32:$A$37</c:f>
              <c:strCache>
                <c:ptCount val="5"/>
                <c:pt idx="0">
                  <c:v>David</c:v>
                </c:pt>
                <c:pt idx="1">
                  <c:v>Eve</c:v>
                </c:pt>
                <c:pt idx="2">
                  <c:v>Bob</c:v>
                </c:pt>
                <c:pt idx="3">
                  <c:v>Alice</c:v>
                </c:pt>
                <c:pt idx="4">
                  <c:v>Charlie</c:v>
                </c:pt>
              </c:strCache>
            </c:strRef>
          </c:cat>
          <c:val>
            <c:numRef>
              <c:f>sales_rep!$C$32:$C$37</c:f>
              <c:numCache>
                <c:formatCode>General</c:formatCode>
                <c:ptCount val="5"/>
                <c:pt idx="0">
                  <c:v>69</c:v>
                </c:pt>
                <c:pt idx="1">
                  <c:v>74</c:v>
                </c:pt>
                <c:pt idx="2">
                  <c:v>70</c:v>
                </c:pt>
                <c:pt idx="3">
                  <c:v>70</c:v>
                </c:pt>
                <c:pt idx="4">
                  <c:v>59</c:v>
                </c:pt>
              </c:numCache>
            </c:numRef>
          </c:val>
          <c:extLst>
            <c:ext xmlns:c16="http://schemas.microsoft.com/office/drawing/2014/chart" uri="{C3380CC4-5D6E-409C-BE32-E72D297353CC}">
              <c16:uniqueId val="{0000000F-74F9-49C4-8938-B078B210E414}"/>
            </c:ext>
          </c:extLst>
        </c:ser>
        <c:ser>
          <c:idx val="2"/>
          <c:order val="2"/>
          <c:tx>
            <c:strRef>
              <c:f>sales_rep!$D$30:$D$31</c:f>
              <c:strCache>
                <c:ptCount val="1"/>
                <c:pt idx="0">
                  <c:v>Cash</c:v>
                </c:pt>
              </c:strCache>
            </c:strRef>
          </c:tx>
          <c:spPr>
            <a:solidFill>
              <a:schemeClr val="accent3"/>
            </a:solidFill>
            <a:ln>
              <a:noFill/>
            </a:ln>
            <a:effectLst/>
          </c:spPr>
          <c:invertIfNegative val="0"/>
          <c:cat>
            <c:strRef>
              <c:f>sales_rep!$A$32:$A$37</c:f>
              <c:strCache>
                <c:ptCount val="5"/>
                <c:pt idx="0">
                  <c:v>David</c:v>
                </c:pt>
                <c:pt idx="1">
                  <c:v>Eve</c:v>
                </c:pt>
                <c:pt idx="2">
                  <c:v>Bob</c:v>
                </c:pt>
                <c:pt idx="3">
                  <c:v>Alice</c:v>
                </c:pt>
                <c:pt idx="4">
                  <c:v>Charlie</c:v>
                </c:pt>
              </c:strCache>
            </c:strRef>
          </c:cat>
          <c:val>
            <c:numRef>
              <c:f>sales_rep!$D$32:$D$37</c:f>
              <c:numCache>
                <c:formatCode>General</c:formatCode>
                <c:ptCount val="5"/>
                <c:pt idx="0">
                  <c:v>75</c:v>
                </c:pt>
                <c:pt idx="1">
                  <c:v>59</c:v>
                </c:pt>
                <c:pt idx="2">
                  <c:v>72</c:v>
                </c:pt>
                <c:pt idx="3">
                  <c:v>57</c:v>
                </c:pt>
                <c:pt idx="4">
                  <c:v>50</c:v>
                </c:pt>
              </c:numCache>
            </c:numRef>
          </c:val>
          <c:extLst>
            <c:ext xmlns:c16="http://schemas.microsoft.com/office/drawing/2014/chart" uri="{C3380CC4-5D6E-409C-BE32-E72D297353CC}">
              <c16:uniqueId val="{00000011-74F9-49C4-8938-B078B210E414}"/>
            </c:ext>
          </c:extLst>
        </c:ser>
        <c:dLbls>
          <c:showLegendKey val="0"/>
          <c:showVal val="0"/>
          <c:showCatName val="0"/>
          <c:showSerName val="0"/>
          <c:showPercent val="0"/>
          <c:showBubbleSize val="0"/>
        </c:dLbls>
        <c:gapWidth val="219"/>
        <c:overlap val="-27"/>
        <c:axId val="1543538160"/>
        <c:axId val="1299509744"/>
      </c:barChart>
      <c:catAx>
        <c:axId val="154353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09744"/>
        <c:crosses val="autoZero"/>
        <c:auto val="1"/>
        <c:lblAlgn val="ctr"/>
        <c:lblOffset val="100"/>
        <c:noMultiLvlLbl val="0"/>
      </c:catAx>
      <c:valAx>
        <c:axId val="129950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538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[sales_data.xlsm]time_series!PivotTable4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profit by sales rep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time_series!$B$1:$B$2</c:f>
              <c:strCache>
                <c:ptCount val="1"/>
                <c:pt idx="0">
                  <c:v>David</c:v>
                </c:pt>
              </c:strCache>
            </c:strRef>
          </c:tx>
          <c:spPr>
            <a:solidFill>
              <a:schemeClr val="accent1"/>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time_series!$B$3:$B$15</c:f>
              <c:numCache>
                <c:formatCode>General</c:formatCode>
                <c:ptCount val="12"/>
                <c:pt idx="0">
                  <c:v>112079.6299999992</c:v>
                </c:pt>
                <c:pt idx="1">
                  <c:v>95519.619999999195</c:v>
                </c:pt>
                <c:pt idx="2">
                  <c:v>144882.20999999915</c:v>
                </c:pt>
                <c:pt idx="3">
                  <c:v>205117.13999999923</c:v>
                </c:pt>
                <c:pt idx="4">
                  <c:v>121114.87999999976</c:v>
                </c:pt>
                <c:pt idx="5">
                  <c:v>158087.17999999956</c:v>
                </c:pt>
                <c:pt idx="6">
                  <c:v>137144.93999999913</c:v>
                </c:pt>
                <c:pt idx="7">
                  <c:v>103477.51999999968</c:v>
                </c:pt>
                <c:pt idx="8">
                  <c:v>120691.1499999997</c:v>
                </c:pt>
                <c:pt idx="9">
                  <c:v>131910.11999999956</c:v>
                </c:pt>
                <c:pt idx="10">
                  <c:v>79588.30999999991</c:v>
                </c:pt>
                <c:pt idx="11">
                  <c:v>92137.059999999692</c:v>
                </c:pt>
              </c:numCache>
            </c:numRef>
          </c:val>
          <c:extLst>
            <c:ext xmlns:c16="http://schemas.microsoft.com/office/drawing/2014/chart" uri="{C3380CC4-5D6E-409C-BE32-E72D297353CC}">
              <c16:uniqueId val="{00000000-217C-4696-AD59-28DFF2DA5647}"/>
            </c:ext>
          </c:extLst>
        </c:ser>
        <c:ser>
          <c:idx val="1"/>
          <c:order val="1"/>
          <c:tx>
            <c:strRef>
              <c:f>time_series!$C$1:$C$2</c:f>
              <c:strCache>
                <c:ptCount val="1"/>
                <c:pt idx="0">
                  <c:v>Eve</c:v>
                </c:pt>
              </c:strCache>
            </c:strRef>
          </c:tx>
          <c:spPr>
            <a:solidFill>
              <a:schemeClr val="accent2"/>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time_series!$C$3:$C$15</c:f>
              <c:numCache>
                <c:formatCode>General</c:formatCode>
                <c:ptCount val="12"/>
                <c:pt idx="0">
                  <c:v>173374.53999999978</c:v>
                </c:pt>
                <c:pt idx="1">
                  <c:v>195530.15999999884</c:v>
                </c:pt>
                <c:pt idx="2">
                  <c:v>84523.89999999998</c:v>
                </c:pt>
                <c:pt idx="3">
                  <c:v>110513.37999999977</c:v>
                </c:pt>
                <c:pt idx="4">
                  <c:v>110143.64999999973</c:v>
                </c:pt>
                <c:pt idx="5">
                  <c:v>79262.829999999929</c:v>
                </c:pt>
                <c:pt idx="6">
                  <c:v>155676.329999999</c:v>
                </c:pt>
                <c:pt idx="7">
                  <c:v>130899.87999999974</c:v>
                </c:pt>
                <c:pt idx="8">
                  <c:v>76386.779999999795</c:v>
                </c:pt>
                <c:pt idx="9">
                  <c:v>85253.749999999956</c:v>
                </c:pt>
                <c:pt idx="10">
                  <c:v>127931.82999999981</c:v>
                </c:pt>
                <c:pt idx="11">
                  <c:v>119584.86999999931</c:v>
                </c:pt>
              </c:numCache>
            </c:numRef>
          </c:val>
          <c:extLst>
            <c:ext xmlns:c16="http://schemas.microsoft.com/office/drawing/2014/chart" uri="{C3380CC4-5D6E-409C-BE32-E72D297353CC}">
              <c16:uniqueId val="{00000001-217C-4696-AD59-28DFF2DA5647}"/>
            </c:ext>
          </c:extLst>
        </c:ser>
        <c:ser>
          <c:idx val="2"/>
          <c:order val="2"/>
          <c:tx>
            <c:strRef>
              <c:f>time_series!$D$1:$D$2</c:f>
              <c:strCache>
                <c:ptCount val="1"/>
                <c:pt idx="0">
                  <c:v>Alice</c:v>
                </c:pt>
              </c:strCache>
            </c:strRef>
          </c:tx>
          <c:spPr>
            <a:solidFill>
              <a:schemeClr val="accent3"/>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time_series!$D$3:$D$15</c:f>
              <c:numCache>
                <c:formatCode>General</c:formatCode>
                <c:ptCount val="12"/>
                <c:pt idx="0">
                  <c:v>67943.030000000013</c:v>
                </c:pt>
                <c:pt idx="1">
                  <c:v>101946.52999999998</c:v>
                </c:pt>
                <c:pt idx="2">
                  <c:v>170531.55999999918</c:v>
                </c:pt>
                <c:pt idx="3">
                  <c:v>97087.459999999628</c:v>
                </c:pt>
                <c:pt idx="4">
                  <c:v>135654.82999999999</c:v>
                </c:pt>
                <c:pt idx="5">
                  <c:v>153004.52999999942</c:v>
                </c:pt>
                <c:pt idx="6">
                  <c:v>96694.089999999618</c:v>
                </c:pt>
                <c:pt idx="7">
                  <c:v>84702.869999999733</c:v>
                </c:pt>
                <c:pt idx="8">
                  <c:v>98176.629999998826</c:v>
                </c:pt>
                <c:pt idx="9">
                  <c:v>124001.65000000004</c:v>
                </c:pt>
                <c:pt idx="10">
                  <c:v>48558.049999999959</c:v>
                </c:pt>
                <c:pt idx="11">
                  <c:v>116520.78</c:v>
                </c:pt>
              </c:numCache>
            </c:numRef>
          </c:val>
          <c:extLst>
            <c:ext xmlns:c16="http://schemas.microsoft.com/office/drawing/2014/chart" uri="{C3380CC4-5D6E-409C-BE32-E72D297353CC}">
              <c16:uniqueId val="{00000002-217C-4696-AD59-28DFF2DA5647}"/>
            </c:ext>
          </c:extLst>
        </c:ser>
        <c:ser>
          <c:idx val="3"/>
          <c:order val="3"/>
          <c:tx>
            <c:strRef>
              <c:f>time_series!$E$1:$E$2</c:f>
              <c:strCache>
                <c:ptCount val="1"/>
                <c:pt idx="0">
                  <c:v>Bob</c:v>
                </c:pt>
              </c:strCache>
            </c:strRef>
          </c:tx>
          <c:spPr>
            <a:solidFill>
              <a:schemeClr val="accent4"/>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time_series!$E$3:$E$15</c:f>
              <c:numCache>
                <c:formatCode>General</c:formatCode>
                <c:ptCount val="12"/>
                <c:pt idx="0">
                  <c:v>157772.33999999921</c:v>
                </c:pt>
                <c:pt idx="1">
                  <c:v>136283.20999999961</c:v>
                </c:pt>
                <c:pt idx="2">
                  <c:v>115929.59999999891</c:v>
                </c:pt>
                <c:pt idx="3">
                  <c:v>99339.589999999589</c:v>
                </c:pt>
                <c:pt idx="4">
                  <c:v>117342.30999999976</c:v>
                </c:pt>
                <c:pt idx="5">
                  <c:v>78991.83999999876</c:v>
                </c:pt>
                <c:pt idx="6">
                  <c:v>84130.539999999397</c:v>
                </c:pt>
                <c:pt idx="7">
                  <c:v>35884.089999999989</c:v>
                </c:pt>
                <c:pt idx="8">
                  <c:v>124038.79999999958</c:v>
                </c:pt>
                <c:pt idx="9">
                  <c:v>67098.239999999554</c:v>
                </c:pt>
                <c:pt idx="10">
                  <c:v>99030.889999998501</c:v>
                </c:pt>
                <c:pt idx="11">
                  <c:v>54958.789999999419</c:v>
                </c:pt>
              </c:numCache>
            </c:numRef>
          </c:val>
          <c:extLst>
            <c:ext xmlns:c16="http://schemas.microsoft.com/office/drawing/2014/chart" uri="{C3380CC4-5D6E-409C-BE32-E72D297353CC}">
              <c16:uniqueId val="{00000003-217C-4696-AD59-28DFF2DA5647}"/>
            </c:ext>
          </c:extLst>
        </c:ser>
        <c:ser>
          <c:idx val="4"/>
          <c:order val="4"/>
          <c:tx>
            <c:strRef>
              <c:f>time_series!$F$1:$F$2</c:f>
              <c:strCache>
                <c:ptCount val="1"/>
                <c:pt idx="0">
                  <c:v>Charlie</c:v>
                </c:pt>
              </c:strCache>
            </c:strRef>
          </c:tx>
          <c:spPr>
            <a:solidFill>
              <a:schemeClr val="accent5"/>
            </a:solidFill>
            <a:ln>
              <a:noFill/>
            </a:ln>
            <a:effectLst/>
          </c:spPr>
          <c:invertIfNegative val="0"/>
          <c:cat>
            <c:strRef>
              <c:f>time_series!$A$3:$A$15</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time_series!$F$3:$F$15</c:f>
              <c:numCache>
                <c:formatCode>General</c:formatCode>
                <c:ptCount val="12"/>
                <c:pt idx="0">
                  <c:v>166595.0599999995</c:v>
                </c:pt>
                <c:pt idx="1">
                  <c:v>76712.679999999833</c:v>
                </c:pt>
                <c:pt idx="2">
                  <c:v>74530.28</c:v>
                </c:pt>
                <c:pt idx="3">
                  <c:v>72622.260000000009</c:v>
                </c:pt>
                <c:pt idx="4">
                  <c:v>74162.019999999597</c:v>
                </c:pt>
                <c:pt idx="5">
                  <c:v>88465.679999999978</c:v>
                </c:pt>
                <c:pt idx="6">
                  <c:v>54985.909999999589</c:v>
                </c:pt>
                <c:pt idx="7">
                  <c:v>141042.45999999958</c:v>
                </c:pt>
                <c:pt idx="8">
                  <c:v>70178.789999999979</c:v>
                </c:pt>
                <c:pt idx="9">
                  <c:v>69789.319999999701</c:v>
                </c:pt>
                <c:pt idx="10">
                  <c:v>117831.43999999964</c:v>
                </c:pt>
                <c:pt idx="11">
                  <c:v>64477.259999999842</c:v>
                </c:pt>
              </c:numCache>
            </c:numRef>
          </c:val>
          <c:extLst>
            <c:ext xmlns:c16="http://schemas.microsoft.com/office/drawing/2014/chart" uri="{C3380CC4-5D6E-409C-BE32-E72D297353CC}">
              <c16:uniqueId val="{00000004-217C-4696-AD59-28DFF2DA5647}"/>
            </c:ext>
          </c:extLst>
        </c:ser>
        <c:dLbls>
          <c:showLegendKey val="0"/>
          <c:showVal val="0"/>
          <c:showCatName val="0"/>
          <c:showSerName val="0"/>
          <c:showPercent val="0"/>
          <c:showBubbleSize val="0"/>
        </c:dLbls>
        <c:gapWidth val="219"/>
        <c:overlap val="100"/>
        <c:axId val="520077103"/>
        <c:axId val="1299497744"/>
      </c:barChart>
      <c:catAx>
        <c:axId val="52007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97744"/>
        <c:crosses val="autoZero"/>
        <c:auto val="1"/>
        <c:lblAlgn val="ctr"/>
        <c:lblOffset val="100"/>
        <c:noMultiLvlLbl val="0"/>
      </c:catAx>
      <c:valAx>
        <c:axId val="129949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7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[sales_data.xlsm]time_series!PivotTable7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profit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time_series!$B$17:$B$18</c:f>
              <c:strCache>
                <c:ptCount val="1"/>
                <c:pt idx="0">
                  <c:v>Clothing</c:v>
                </c:pt>
              </c:strCache>
            </c:strRef>
          </c:tx>
          <c:spPr>
            <a:solidFill>
              <a:schemeClr val="accent1"/>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time_series!$B$19:$B$31</c:f>
              <c:numCache>
                <c:formatCode>General</c:formatCode>
                <c:ptCount val="12"/>
                <c:pt idx="0">
                  <c:v>187197.18999999939</c:v>
                </c:pt>
                <c:pt idx="1">
                  <c:v>98797.379999999554</c:v>
                </c:pt>
                <c:pt idx="2">
                  <c:v>134579.30999999956</c:v>
                </c:pt>
                <c:pt idx="3">
                  <c:v>133204.75999999966</c:v>
                </c:pt>
                <c:pt idx="4">
                  <c:v>91182.009999999544</c:v>
                </c:pt>
                <c:pt idx="5">
                  <c:v>173598.88999999966</c:v>
                </c:pt>
                <c:pt idx="6">
                  <c:v>85480.659999999276</c:v>
                </c:pt>
                <c:pt idx="7">
                  <c:v>214744.93999999957</c:v>
                </c:pt>
                <c:pt idx="8">
                  <c:v>134194.58999999889</c:v>
                </c:pt>
                <c:pt idx="9">
                  <c:v>127011.54999999951</c:v>
                </c:pt>
                <c:pt idx="10">
                  <c:v>149150.60999999911</c:v>
                </c:pt>
                <c:pt idx="11">
                  <c:v>183815.90999999948</c:v>
                </c:pt>
              </c:numCache>
            </c:numRef>
          </c:val>
          <c:extLst>
            <c:ext xmlns:c16="http://schemas.microsoft.com/office/drawing/2014/chart" uri="{C3380CC4-5D6E-409C-BE32-E72D297353CC}">
              <c16:uniqueId val="{00000000-85A9-4D65-B91F-2BE7BCB99325}"/>
            </c:ext>
          </c:extLst>
        </c:ser>
        <c:ser>
          <c:idx val="1"/>
          <c:order val="1"/>
          <c:tx>
            <c:strRef>
              <c:f>time_series!$C$17:$C$18</c:f>
              <c:strCache>
                <c:ptCount val="1"/>
                <c:pt idx="0">
                  <c:v>Electronics</c:v>
                </c:pt>
              </c:strCache>
            </c:strRef>
          </c:tx>
          <c:spPr>
            <a:solidFill>
              <a:schemeClr val="accent2"/>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time_series!$C$19:$C$31</c:f>
              <c:numCache>
                <c:formatCode>General</c:formatCode>
                <c:ptCount val="12"/>
                <c:pt idx="0">
                  <c:v>121973.41999999975</c:v>
                </c:pt>
                <c:pt idx="1">
                  <c:v>121765.63999999974</c:v>
                </c:pt>
                <c:pt idx="2">
                  <c:v>119132.76999999939</c:v>
                </c:pt>
                <c:pt idx="3">
                  <c:v>152470.59999999939</c:v>
                </c:pt>
                <c:pt idx="4">
                  <c:v>101146.65999999914</c:v>
                </c:pt>
                <c:pt idx="5">
                  <c:v>120192.98999999932</c:v>
                </c:pt>
                <c:pt idx="6">
                  <c:v>162502.82999999987</c:v>
                </c:pt>
                <c:pt idx="7">
                  <c:v>79938.30999999959</c:v>
                </c:pt>
                <c:pt idx="8">
                  <c:v>118202.93999999999</c:v>
                </c:pt>
                <c:pt idx="9">
                  <c:v>179123.1499999995</c:v>
                </c:pt>
                <c:pt idx="10">
                  <c:v>146080.79999999967</c:v>
                </c:pt>
                <c:pt idx="11">
                  <c:v>151789.94999999803</c:v>
                </c:pt>
              </c:numCache>
            </c:numRef>
          </c:val>
          <c:extLst>
            <c:ext xmlns:c16="http://schemas.microsoft.com/office/drawing/2014/chart" uri="{C3380CC4-5D6E-409C-BE32-E72D297353CC}">
              <c16:uniqueId val="{00000001-85A9-4D65-B91F-2BE7BCB99325}"/>
            </c:ext>
          </c:extLst>
        </c:ser>
        <c:ser>
          <c:idx val="2"/>
          <c:order val="2"/>
          <c:tx>
            <c:strRef>
              <c:f>time_series!$D$17:$D$18</c:f>
              <c:strCache>
                <c:ptCount val="1"/>
                <c:pt idx="0">
                  <c:v>Food</c:v>
                </c:pt>
              </c:strCache>
            </c:strRef>
          </c:tx>
          <c:spPr>
            <a:solidFill>
              <a:schemeClr val="accent3"/>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time_series!$D$19:$D$31</c:f>
              <c:numCache>
                <c:formatCode>General</c:formatCode>
                <c:ptCount val="12"/>
                <c:pt idx="0">
                  <c:v>161815.93999999919</c:v>
                </c:pt>
                <c:pt idx="1">
                  <c:v>95226.949999999983</c:v>
                </c:pt>
                <c:pt idx="2">
                  <c:v>139301.98999999894</c:v>
                </c:pt>
                <c:pt idx="3">
                  <c:v>76498.219999999899</c:v>
                </c:pt>
                <c:pt idx="4">
                  <c:v>142303.98999999918</c:v>
                </c:pt>
                <c:pt idx="5">
                  <c:v>93898.359999999535</c:v>
                </c:pt>
                <c:pt idx="6">
                  <c:v>89478.14999999979</c:v>
                </c:pt>
                <c:pt idx="7">
                  <c:v>137395.65999999977</c:v>
                </c:pt>
                <c:pt idx="8">
                  <c:v>130682.95999999953</c:v>
                </c:pt>
                <c:pt idx="9">
                  <c:v>128151.31999999958</c:v>
                </c:pt>
                <c:pt idx="10">
                  <c:v>109892.51999999941</c:v>
                </c:pt>
                <c:pt idx="11">
                  <c:v>116461.98999999986</c:v>
                </c:pt>
              </c:numCache>
            </c:numRef>
          </c:val>
          <c:extLst>
            <c:ext xmlns:c16="http://schemas.microsoft.com/office/drawing/2014/chart" uri="{C3380CC4-5D6E-409C-BE32-E72D297353CC}">
              <c16:uniqueId val="{00000002-85A9-4D65-B91F-2BE7BCB99325}"/>
            </c:ext>
          </c:extLst>
        </c:ser>
        <c:ser>
          <c:idx val="3"/>
          <c:order val="3"/>
          <c:tx>
            <c:strRef>
              <c:f>time_series!$E$17:$E$18</c:f>
              <c:strCache>
                <c:ptCount val="1"/>
                <c:pt idx="0">
                  <c:v>Furniture</c:v>
                </c:pt>
              </c:strCache>
            </c:strRef>
          </c:tx>
          <c:spPr>
            <a:solidFill>
              <a:schemeClr val="accent4"/>
            </a:solidFill>
            <a:ln>
              <a:noFill/>
            </a:ln>
            <a:effectLst/>
          </c:spPr>
          <c:invertIfNegative val="0"/>
          <c:cat>
            <c:strRef>
              <c:f>time_series!$A$19:$A$31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time_series!$E$19:$E$31</c:f>
              <c:numCache>
                <c:formatCode>General</c:formatCode>
                <c:ptCount val="12"/>
                <c:pt idx="0">
                  <c:v>206778.04999999946</c:v>
                </c:pt>
                <c:pt idx="1">
                  <c:v>162263.10999999949</c:v>
                </c:pt>
                <c:pt idx="2">
                  <c:v>135617.73999999886</c:v>
                </c:pt>
                <c:pt idx="3">
                  <c:v>133833.2399999997</c:v>
                </c:pt>
                <c:pt idx="4">
                  <c:v>154839.49</c:v>
                </c:pt>
                <c:pt idx="5">
                  <c:v>218301.95999999897</c:v>
                </c:pt>
                <c:pt idx="6">
                  <c:v>110217.11999999931</c:v>
                </c:pt>
                <c:pt idx="7">
                  <c:v>126338.77999999998</c:v>
                </c:pt>
                <c:pt idx="8">
                  <c:v>89860.029999999402</c:v>
                </c:pt>
                <c:pt idx="9">
                  <c:v>150393.80999999959</c:v>
                </c:pt>
                <c:pt idx="10">
                  <c:v>152688.12999999945</c:v>
                </c:pt>
                <c:pt idx="11">
                  <c:v>138329.69999999978</c:v>
                </c:pt>
              </c:numCache>
            </c:numRef>
          </c:val>
          <c:extLst>
            <c:ext xmlns:c16="http://schemas.microsoft.com/office/drawing/2014/chart" uri="{C3380CC4-5D6E-409C-BE32-E72D297353CC}">
              <c16:uniqueId val="{00000003-85A9-4D65-B91F-2BE7BCB99325}"/>
            </c:ext>
          </c:extLst>
        </c:ser>
        <c:dLbls>
          <c:showLegendKey val="0"/>
          <c:showVal val="0"/>
          <c:showCatName val="0"/>
          <c:showSerName val="0"/>
          <c:showPercent val="0"/>
          <c:showBubbleSize val="0"/>
        </c:dLbls>
        <c:gapWidth val="219"/>
        <c:overlap val="-27"/>
        <c:axId val="434923551"/>
        <c:axId val="1152094800"/>
      </c:barChart>
      <c:catAx>
        <c:axId val="434923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094800"/>
        <c:crosses val="autoZero"/>
        <c:auto val="1"/>
        <c:lblAlgn val="ctr"/>
        <c:lblOffset val="100"/>
        <c:noMultiLvlLbl val="0"/>
      </c:catAx>
      <c:valAx>
        <c:axId val="115209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23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[sales_data.xlsm]time_series!PivotTable17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orders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time_series!$B$34</c:f>
              <c:strCache>
                <c:ptCount val="1"/>
                <c:pt idx="0">
                  <c:v>Total</c:v>
                </c:pt>
              </c:strCache>
            </c:strRef>
          </c:tx>
          <c:spPr>
            <a:ln w="28575" cap="rnd">
              <a:solidFill>
                <a:schemeClr val="accent1"/>
              </a:solidFill>
              <a:round/>
            </a:ln>
            <a:effectLst/>
          </c:spPr>
          <c:marker>
            <c:symbol val="none"/>
          </c:marker>
          <c:cat>
            <c:strRef>
              <c:f>time_series!$A$35:$A$47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time_series!$B$35:$B$47</c:f>
              <c:numCache>
                <c:formatCode>General</c:formatCode>
                <c:ptCount val="12"/>
                <c:pt idx="0">
                  <c:v>103</c:v>
                </c:pt>
                <c:pt idx="1">
                  <c:v>75</c:v>
                </c:pt>
                <c:pt idx="2">
                  <c:v>80</c:v>
                </c:pt>
                <c:pt idx="3">
                  <c:v>81</c:v>
                </c:pt>
                <c:pt idx="4">
                  <c:v>72</c:v>
                </c:pt>
                <c:pt idx="5">
                  <c:v>92</c:v>
                </c:pt>
                <c:pt idx="6">
                  <c:v>68</c:v>
                </c:pt>
                <c:pt idx="7">
                  <c:v>93</c:v>
                </c:pt>
                <c:pt idx="8">
                  <c:v>68</c:v>
                </c:pt>
                <c:pt idx="9">
                  <c:v>88</c:v>
                </c:pt>
                <c:pt idx="10">
                  <c:v>95</c:v>
                </c:pt>
                <c:pt idx="11">
                  <c:v>85</c:v>
                </c:pt>
              </c:numCache>
            </c:numRef>
          </c:val>
          <c:smooth val="0"/>
          <c:extLst>
            <c:ext xmlns:c16="http://schemas.microsoft.com/office/drawing/2014/chart" uri="{C3380CC4-5D6E-409C-BE32-E72D297353CC}">
              <c16:uniqueId val="{00000000-BD34-419D-B4C1-FA116B1A9751}"/>
            </c:ext>
          </c:extLst>
        </c:ser>
        <c:dLbls>
          <c:showLegendKey val="0"/>
          <c:showVal val="0"/>
          <c:showCatName val="0"/>
          <c:showSerName val="0"/>
          <c:showPercent val="0"/>
          <c:showBubbleSize val="0"/>
        </c:dLbls>
        <c:smooth val="0"/>
        <c:axId val="1831731680"/>
        <c:axId val="1152152400"/>
      </c:lineChart>
      <c:catAx>
        <c:axId val="183173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152400"/>
        <c:crosses val="autoZero"/>
        <c:auto val="1"/>
        <c:lblAlgn val="ctr"/>
        <c:lblOffset val="100"/>
        <c:noMultiLvlLbl val="0"/>
      </c:catAx>
      <c:valAx>
        <c:axId val="115215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731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[sales_data.xlsm]time_series!PivotTable20</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time_series!$B$51:$B$52</c:f>
              <c:strCache>
                <c:ptCount val="1"/>
                <c:pt idx="0">
                  <c:v>0</c:v>
                </c:pt>
              </c:strCache>
            </c:strRef>
          </c:tx>
          <c:spPr>
            <a:solidFill>
              <a:schemeClr val="accent1"/>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time_series!$B$53:$B$64</c:f>
              <c:numCache>
                <c:formatCode>General</c:formatCode>
                <c:ptCount val="12"/>
                <c:pt idx="0">
                  <c:v>24899.610000000011</c:v>
                </c:pt>
                <c:pt idx="2">
                  <c:v>4243.5999999999985</c:v>
                </c:pt>
                <c:pt idx="3">
                  <c:v>1235.0499999999988</c:v>
                </c:pt>
                <c:pt idx="5">
                  <c:v>12544.010000000002</c:v>
                </c:pt>
                <c:pt idx="7">
                  <c:v>18018.939999999995</c:v>
                </c:pt>
                <c:pt idx="9">
                  <c:v>24243.089999999786</c:v>
                </c:pt>
                <c:pt idx="10">
                  <c:v>1680.5199999998445</c:v>
                </c:pt>
                <c:pt idx="11">
                  <c:v>13980.459999999986</c:v>
                </c:pt>
              </c:numCache>
            </c:numRef>
          </c:val>
          <c:extLst>
            <c:ext xmlns:c16="http://schemas.microsoft.com/office/drawing/2014/chart" uri="{C3380CC4-5D6E-409C-BE32-E72D297353CC}">
              <c16:uniqueId val="{00000000-0279-4CBE-B0DE-1E31760D5487}"/>
            </c:ext>
          </c:extLst>
        </c:ser>
        <c:ser>
          <c:idx val="1"/>
          <c:order val="1"/>
          <c:tx>
            <c:strRef>
              <c:f>time_series!$C$51:$C$52</c:f>
              <c:strCache>
                <c:ptCount val="1"/>
                <c:pt idx="0">
                  <c:v>0.01</c:v>
                </c:pt>
              </c:strCache>
            </c:strRef>
          </c:tx>
          <c:spPr>
            <a:solidFill>
              <a:schemeClr val="accent2"/>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time_series!$C$53:$C$64</c:f>
              <c:numCache>
                <c:formatCode>General</c:formatCode>
                <c:ptCount val="12"/>
                <c:pt idx="0">
                  <c:v>54904.869999999588</c:v>
                </c:pt>
                <c:pt idx="1">
                  <c:v>23465.949999999993</c:v>
                </c:pt>
                <c:pt idx="2">
                  <c:v>20265.319999999992</c:v>
                </c:pt>
                <c:pt idx="3">
                  <c:v>22232.239999999994</c:v>
                </c:pt>
                <c:pt idx="4">
                  <c:v>11441.279999999813</c:v>
                </c:pt>
                <c:pt idx="5">
                  <c:v>10807.019999999993</c:v>
                </c:pt>
                <c:pt idx="6">
                  <c:v>1287.2700000000004</c:v>
                </c:pt>
                <c:pt idx="7">
                  <c:v>28980.929999999993</c:v>
                </c:pt>
                <c:pt idx="8">
                  <c:v>12950.619999999994</c:v>
                </c:pt>
                <c:pt idx="9">
                  <c:v>70653.189999999639</c:v>
                </c:pt>
                <c:pt idx="10">
                  <c:v>26615.119999999592</c:v>
                </c:pt>
                <c:pt idx="11">
                  <c:v>16938.439999999981</c:v>
                </c:pt>
              </c:numCache>
            </c:numRef>
          </c:val>
          <c:extLst>
            <c:ext xmlns:c16="http://schemas.microsoft.com/office/drawing/2014/chart" uri="{C3380CC4-5D6E-409C-BE32-E72D297353CC}">
              <c16:uniqueId val="{00000036-0279-4CBE-B0DE-1E31760D5487}"/>
            </c:ext>
          </c:extLst>
        </c:ser>
        <c:ser>
          <c:idx val="2"/>
          <c:order val="2"/>
          <c:tx>
            <c:strRef>
              <c:f>time_series!$D$51:$D$52</c:f>
              <c:strCache>
                <c:ptCount val="1"/>
                <c:pt idx="0">
                  <c:v>0.02</c:v>
                </c:pt>
              </c:strCache>
            </c:strRef>
          </c:tx>
          <c:spPr>
            <a:solidFill>
              <a:schemeClr val="accent3"/>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time_series!$D$53:$D$64</c:f>
              <c:numCache>
                <c:formatCode>General</c:formatCode>
                <c:ptCount val="12"/>
                <c:pt idx="0">
                  <c:v>3489.8599999999965</c:v>
                </c:pt>
                <c:pt idx="1">
                  <c:v>25453.579999999973</c:v>
                </c:pt>
                <c:pt idx="4">
                  <c:v>5638.839999999992</c:v>
                </c:pt>
                <c:pt idx="5">
                  <c:v>16440.689999999799</c:v>
                </c:pt>
                <c:pt idx="6">
                  <c:v>513.39999999999691</c:v>
                </c:pt>
                <c:pt idx="7">
                  <c:v>25529.05000000001</c:v>
                </c:pt>
                <c:pt idx="8">
                  <c:v>15985.17</c:v>
                </c:pt>
                <c:pt idx="9">
                  <c:v>10776.550000000014</c:v>
                </c:pt>
                <c:pt idx="10">
                  <c:v>2023.3200000000015</c:v>
                </c:pt>
                <c:pt idx="11">
                  <c:v>17282.57</c:v>
                </c:pt>
              </c:numCache>
            </c:numRef>
          </c:val>
          <c:extLst>
            <c:ext xmlns:c16="http://schemas.microsoft.com/office/drawing/2014/chart" uri="{C3380CC4-5D6E-409C-BE32-E72D297353CC}">
              <c16:uniqueId val="{00000037-0279-4CBE-B0DE-1E31760D5487}"/>
            </c:ext>
          </c:extLst>
        </c:ser>
        <c:ser>
          <c:idx val="3"/>
          <c:order val="3"/>
          <c:tx>
            <c:strRef>
              <c:f>time_series!$E$51:$E$52</c:f>
              <c:strCache>
                <c:ptCount val="1"/>
                <c:pt idx="0">
                  <c:v>0.03</c:v>
                </c:pt>
              </c:strCache>
            </c:strRef>
          </c:tx>
          <c:spPr>
            <a:solidFill>
              <a:schemeClr val="accent4"/>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time_series!$E$53:$E$64</c:f>
              <c:numCache>
                <c:formatCode>General</c:formatCode>
                <c:ptCount val="12"/>
                <c:pt idx="0">
                  <c:v>30161.559999999994</c:v>
                </c:pt>
                <c:pt idx="1">
                  <c:v>9264.3900000000031</c:v>
                </c:pt>
                <c:pt idx="2">
                  <c:v>30436.579999999722</c:v>
                </c:pt>
                <c:pt idx="3">
                  <c:v>598.08000000000038</c:v>
                </c:pt>
                <c:pt idx="4">
                  <c:v>15357.04</c:v>
                </c:pt>
                <c:pt idx="5">
                  <c:v>18463.28999999999</c:v>
                </c:pt>
                <c:pt idx="6">
                  <c:v>14691.929999999991</c:v>
                </c:pt>
                <c:pt idx="7">
                  <c:v>14137.190000000002</c:v>
                </c:pt>
                <c:pt idx="8">
                  <c:v>22398.049999999988</c:v>
                </c:pt>
                <c:pt idx="9">
                  <c:v>20544.669999999998</c:v>
                </c:pt>
                <c:pt idx="10">
                  <c:v>27486.479999999992</c:v>
                </c:pt>
                <c:pt idx="11">
                  <c:v>4474.9600000000046</c:v>
                </c:pt>
              </c:numCache>
            </c:numRef>
          </c:val>
          <c:extLst>
            <c:ext xmlns:c16="http://schemas.microsoft.com/office/drawing/2014/chart" uri="{C3380CC4-5D6E-409C-BE32-E72D297353CC}">
              <c16:uniqueId val="{00000038-0279-4CBE-B0DE-1E31760D5487}"/>
            </c:ext>
          </c:extLst>
        </c:ser>
        <c:ser>
          <c:idx val="4"/>
          <c:order val="4"/>
          <c:tx>
            <c:strRef>
              <c:f>time_series!$F$51:$F$52</c:f>
              <c:strCache>
                <c:ptCount val="1"/>
                <c:pt idx="0">
                  <c:v>0.04</c:v>
                </c:pt>
              </c:strCache>
            </c:strRef>
          </c:tx>
          <c:spPr>
            <a:solidFill>
              <a:schemeClr val="accent5"/>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time_series!$F$53:$F$64</c:f>
              <c:numCache>
                <c:formatCode>General</c:formatCode>
                <c:ptCount val="12"/>
                <c:pt idx="0">
                  <c:v>18837.349999999955</c:v>
                </c:pt>
                <c:pt idx="1">
                  <c:v>24535.72999999996</c:v>
                </c:pt>
                <c:pt idx="2">
                  <c:v>24710.199999999113</c:v>
                </c:pt>
                <c:pt idx="3">
                  <c:v>29232.720000000005</c:v>
                </c:pt>
                <c:pt idx="4">
                  <c:v>21554.569999999789</c:v>
                </c:pt>
                <c:pt idx="5">
                  <c:v>49526.489999999962</c:v>
                </c:pt>
                <c:pt idx="6">
                  <c:v>24886.890000000003</c:v>
                </c:pt>
                <c:pt idx="7">
                  <c:v>5141.760000000002</c:v>
                </c:pt>
                <c:pt idx="9">
                  <c:v>22490.559999999998</c:v>
                </c:pt>
                <c:pt idx="10">
                  <c:v>24789.609999999997</c:v>
                </c:pt>
                <c:pt idx="11">
                  <c:v>21334.12000000001</c:v>
                </c:pt>
              </c:numCache>
            </c:numRef>
          </c:val>
          <c:extLst>
            <c:ext xmlns:c16="http://schemas.microsoft.com/office/drawing/2014/chart" uri="{C3380CC4-5D6E-409C-BE32-E72D297353CC}">
              <c16:uniqueId val="{00000039-0279-4CBE-B0DE-1E31760D5487}"/>
            </c:ext>
          </c:extLst>
        </c:ser>
        <c:ser>
          <c:idx val="5"/>
          <c:order val="5"/>
          <c:tx>
            <c:strRef>
              <c:f>time_series!$G$51:$G$52</c:f>
              <c:strCache>
                <c:ptCount val="1"/>
                <c:pt idx="0">
                  <c:v>0.05</c:v>
                </c:pt>
              </c:strCache>
            </c:strRef>
          </c:tx>
          <c:spPr>
            <a:solidFill>
              <a:schemeClr val="accent6"/>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time_series!$G$53:$G$64</c:f>
              <c:numCache>
                <c:formatCode>General</c:formatCode>
                <c:ptCount val="12"/>
                <c:pt idx="0">
                  <c:v>27661.52999999981</c:v>
                </c:pt>
                <c:pt idx="1">
                  <c:v>20777.359999999997</c:v>
                </c:pt>
                <c:pt idx="2">
                  <c:v>5083.8800000000028</c:v>
                </c:pt>
                <c:pt idx="3">
                  <c:v>19487.260000000009</c:v>
                </c:pt>
                <c:pt idx="4">
                  <c:v>46206.770000000004</c:v>
                </c:pt>
                <c:pt idx="5">
                  <c:v>35144.069999999316</c:v>
                </c:pt>
                <c:pt idx="6">
                  <c:v>1047.3999999999942</c:v>
                </c:pt>
                <c:pt idx="7">
                  <c:v>14195.540000000008</c:v>
                </c:pt>
                <c:pt idx="8">
                  <c:v>20049.3</c:v>
                </c:pt>
                <c:pt idx="9">
                  <c:v>9712.440000000006</c:v>
                </c:pt>
                <c:pt idx="11">
                  <c:v>9475.350000000004</c:v>
                </c:pt>
              </c:numCache>
            </c:numRef>
          </c:val>
          <c:extLst>
            <c:ext xmlns:c16="http://schemas.microsoft.com/office/drawing/2014/chart" uri="{C3380CC4-5D6E-409C-BE32-E72D297353CC}">
              <c16:uniqueId val="{0000003A-0279-4CBE-B0DE-1E31760D5487}"/>
            </c:ext>
          </c:extLst>
        </c:ser>
        <c:ser>
          <c:idx val="6"/>
          <c:order val="6"/>
          <c:tx>
            <c:strRef>
              <c:f>time_series!$H$51:$H$52</c:f>
              <c:strCache>
                <c:ptCount val="1"/>
                <c:pt idx="0">
                  <c:v>0.06</c:v>
                </c:pt>
              </c:strCache>
            </c:strRef>
          </c:tx>
          <c:spPr>
            <a:solidFill>
              <a:schemeClr val="accent1">
                <a:lumMod val="6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time_series!$H$53:$H$64</c:f>
              <c:numCache>
                <c:formatCode>General</c:formatCode>
                <c:ptCount val="12"/>
                <c:pt idx="0">
                  <c:v>13136.460000000005</c:v>
                </c:pt>
                <c:pt idx="1">
                  <c:v>7733.8499999999876</c:v>
                </c:pt>
                <c:pt idx="2">
                  <c:v>25286.489999999776</c:v>
                </c:pt>
                <c:pt idx="3">
                  <c:v>18734.749999999993</c:v>
                </c:pt>
                <c:pt idx="4">
                  <c:v>24380.41999999966</c:v>
                </c:pt>
                <c:pt idx="5">
                  <c:v>32635.299999999981</c:v>
                </c:pt>
                <c:pt idx="6">
                  <c:v>17048.399999999707</c:v>
                </c:pt>
                <c:pt idx="7">
                  <c:v>20654.919999999998</c:v>
                </c:pt>
                <c:pt idx="8">
                  <c:v>14129.279999999995</c:v>
                </c:pt>
                <c:pt idx="9">
                  <c:v>11352.119999999994</c:v>
                </c:pt>
                <c:pt idx="11">
                  <c:v>31248.599999999984</c:v>
                </c:pt>
              </c:numCache>
            </c:numRef>
          </c:val>
          <c:extLst>
            <c:ext xmlns:c16="http://schemas.microsoft.com/office/drawing/2014/chart" uri="{C3380CC4-5D6E-409C-BE32-E72D297353CC}">
              <c16:uniqueId val="{0000003B-0279-4CBE-B0DE-1E31760D5487}"/>
            </c:ext>
          </c:extLst>
        </c:ser>
        <c:ser>
          <c:idx val="7"/>
          <c:order val="7"/>
          <c:tx>
            <c:strRef>
              <c:f>time_series!$I$51:$I$52</c:f>
              <c:strCache>
                <c:ptCount val="1"/>
                <c:pt idx="0">
                  <c:v>0.07</c:v>
                </c:pt>
              </c:strCache>
            </c:strRef>
          </c:tx>
          <c:spPr>
            <a:solidFill>
              <a:schemeClr val="accent2">
                <a:lumMod val="6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time_series!$I$53:$I$64</c:f>
              <c:numCache>
                <c:formatCode>General</c:formatCode>
                <c:ptCount val="12"/>
                <c:pt idx="0">
                  <c:v>18863.169999999765</c:v>
                </c:pt>
                <c:pt idx="1">
                  <c:v>21912.100000000006</c:v>
                </c:pt>
                <c:pt idx="2">
                  <c:v>22800.73000000001</c:v>
                </c:pt>
                <c:pt idx="3">
                  <c:v>33893.810000000005</c:v>
                </c:pt>
                <c:pt idx="4">
                  <c:v>4005.1199999999862</c:v>
                </c:pt>
                <c:pt idx="5">
                  <c:v>1904.2799999999979</c:v>
                </c:pt>
                <c:pt idx="6">
                  <c:v>21393.10999999979</c:v>
                </c:pt>
                <c:pt idx="7">
                  <c:v>31956.969999999721</c:v>
                </c:pt>
                <c:pt idx="8">
                  <c:v>1191.9599999999964</c:v>
                </c:pt>
                <c:pt idx="9">
                  <c:v>2501.9400000000196</c:v>
                </c:pt>
                <c:pt idx="10">
                  <c:v>27416.029999999751</c:v>
                </c:pt>
                <c:pt idx="11">
                  <c:v>7658.0000000000064</c:v>
                </c:pt>
              </c:numCache>
            </c:numRef>
          </c:val>
          <c:extLst>
            <c:ext xmlns:c16="http://schemas.microsoft.com/office/drawing/2014/chart" uri="{C3380CC4-5D6E-409C-BE32-E72D297353CC}">
              <c16:uniqueId val="{0000003C-0279-4CBE-B0DE-1E31760D5487}"/>
            </c:ext>
          </c:extLst>
        </c:ser>
        <c:ser>
          <c:idx val="8"/>
          <c:order val="8"/>
          <c:tx>
            <c:strRef>
              <c:f>time_series!$J$51:$J$52</c:f>
              <c:strCache>
                <c:ptCount val="1"/>
                <c:pt idx="0">
                  <c:v>0.08</c:v>
                </c:pt>
              </c:strCache>
            </c:strRef>
          </c:tx>
          <c:spPr>
            <a:solidFill>
              <a:schemeClr val="accent3">
                <a:lumMod val="6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time_series!$J$53:$J$64</c:f>
              <c:numCache>
                <c:formatCode>General</c:formatCode>
                <c:ptCount val="12"/>
                <c:pt idx="0">
                  <c:v>27220.570000000003</c:v>
                </c:pt>
                <c:pt idx="1">
                  <c:v>10120.949999999997</c:v>
                </c:pt>
                <c:pt idx="2">
                  <c:v>13542.019999999655</c:v>
                </c:pt>
                <c:pt idx="3">
                  <c:v>318.42000000000098</c:v>
                </c:pt>
                <c:pt idx="4">
                  <c:v>9562.0799999999981</c:v>
                </c:pt>
                <c:pt idx="5">
                  <c:v>2064.8800000000047</c:v>
                </c:pt>
                <c:pt idx="6">
                  <c:v>23142.35</c:v>
                </c:pt>
                <c:pt idx="7">
                  <c:v>16546.919999999998</c:v>
                </c:pt>
                <c:pt idx="8">
                  <c:v>25558.459999999985</c:v>
                </c:pt>
                <c:pt idx="9">
                  <c:v>30440</c:v>
                </c:pt>
                <c:pt idx="10">
                  <c:v>11964.989999999991</c:v>
                </c:pt>
                <c:pt idx="11">
                  <c:v>59325.149999999572</c:v>
                </c:pt>
              </c:numCache>
            </c:numRef>
          </c:val>
          <c:extLst>
            <c:ext xmlns:c16="http://schemas.microsoft.com/office/drawing/2014/chart" uri="{C3380CC4-5D6E-409C-BE32-E72D297353CC}">
              <c16:uniqueId val="{0000003D-0279-4CBE-B0DE-1E31760D5487}"/>
            </c:ext>
          </c:extLst>
        </c:ser>
        <c:ser>
          <c:idx val="9"/>
          <c:order val="9"/>
          <c:tx>
            <c:strRef>
              <c:f>time_series!$K$51:$K$52</c:f>
              <c:strCache>
                <c:ptCount val="1"/>
                <c:pt idx="0">
                  <c:v>0.09</c:v>
                </c:pt>
              </c:strCache>
            </c:strRef>
          </c:tx>
          <c:spPr>
            <a:solidFill>
              <a:schemeClr val="accent4">
                <a:lumMod val="6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time_series!$K$53:$K$64</c:f>
              <c:numCache>
                <c:formatCode>General</c:formatCode>
                <c:ptCount val="12"/>
                <c:pt idx="0">
                  <c:v>11364.54</c:v>
                </c:pt>
                <c:pt idx="1">
                  <c:v>15405.979999999996</c:v>
                </c:pt>
                <c:pt idx="2">
                  <c:v>23863.619999999992</c:v>
                </c:pt>
                <c:pt idx="3">
                  <c:v>10217.999999999995</c:v>
                </c:pt>
                <c:pt idx="4">
                  <c:v>37341.520000000004</c:v>
                </c:pt>
                <c:pt idx="5">
                  <c:v>40461.769999999931</c:v>
                </c:pt>
                <c:pt idx="6">
                  <c:v>29574.979999999658</c:v>
                </c:pt>
                <c:pt idx="7">
                  <c:v>30903.809999999998</c:v>
                </c:pt>
                <c:pt idx="8">
                  <c:v>1538.9999999998554</c:v>
                </c:pt>
                <c:pt idx="9">
                  <c:v>14431.759999999998</c:v>
                </c:pt>
                <c:pt idx="10">
                  <c:v>15018.450000000003</c:v>
                </c:pt>
                <c:pt idx="11">
                  <c:v>7689.6599999998753</c:v>
                </c:pt>
              </c:numCache>
            </c:numRef>
          </c:val>
          <c:extLst>
            <c:ext xmlns:c16="http://schemas.microsoft.com/office/drawing/2014/chart" uri="{C3380CC4-5D6E-409C-BE32-E72D297353CC}">
              <c16:uniqueId val="{0000003E-0279-4CBE-B0DE-1E31760D5487}"/>
            </c:ext>
          </c:extLst>
        </c:ser>
        <c:ser>
          <c:idx val="10"/>
          <c:order val="10"/>
          <c:tx>
            <c:strRef>
              <c:f>time_series!$L$51:$L$52</c:f>
              <c:strCache>
                <c:ptCount val="1"/>
                <c:pt idx="0">
                  <c:v>0.1</c:v>
                </c:pt>
              </c:strCache>
            </c:strRef>
          </c:tx>
          <c:spPr>
            <a:solidFill>
              <a:schemeClr val="accent5">
                <a:lumMod val="6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time_series!$L$53:$L$64</c:f>
              <c:numCache>
                <c:formatCode>General</c:formatCode>
                <c:ptCount val="12"/>
                <c:pt idx="0">
                  <c:v>37970.07999999982</c:v>
                </c:pt>
                <c:pt idx="1">
                  <c:v>28714.039999999586</c:v>
                </c:pt>
                <c:pt idx="2">
                  <c:v>22123.729999999661</c:v>
                </c:pt>
                <c:pt idx="3">
                  <c:v>2730.6600000000026</c:v>
                </c:pt>
                <c:pt idx="5">
                  <c:v>75366.939999999551</c:v>
                </c:pt>
                <c:pt idx="6">
                  <c:v>6775.89</c:v>
                </c:pt>
                <c:pt idx="7">
                  <c:v>24855.020000000004</c:v>
                </c:pt>
                <c:pt idx="8">
                  <c:v>8643.970000000003</c:v>
                </c:pt>
                <c:pt idx="9">
                  <c:v>16817.62999999979</c:v>
                </c:pt>
                <c:pt idx="10">
                  <c:v>28551.450000000004</c:v>
                </c:pt>
                <c:pt idx="11">
                  <c:v>22395.660000000003</c:v>
                </c:pt>
              </c:numCache>
            </c:numRef>
          </c:val>
          <c:extLst>
            <c:ext xmlns:c16="http://schemas.microsoft.com/office/drawing/2014/chart" uri="{C3380CC4-5D6E-409C-BE32-E72D297353CC}">
              <c16:uniqueId val="{0000003F-0279-4CBE-B0DE-1E31760D5487}"/>
            </c:ext>
          </c:extLst>
        </c:ser>
        <c:ser>
          <c:idx val="11"/>
          <c:order val="11"/>
          <c:tx>
            <c:strRef>
              <c:f>time_series!$M$51:$M$52</c:f>
              <c:strCache>
                <c:ptCount val="1"/>
                <c:pt idx="0">
                  <c:v>0.11</c:v>
                </c:pt>
              </c:strCache>
            </c:strRef>
          </c:tx>
          <c:spPr>
            <a:solidFill>
              <a:schemeClr val="accent6">
                <a:lumMod val="6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time_series!$M$53:$M$64</c:f>
              <c:numCache>
                <c:formatCode>General</c:formatCode>
                <c:ptCount val="12"/>
                <c:pt idx="0">
                  <c:v>34311.379999999634</c:v>
                </c:pt>
                <c:pt idx="3">
                  <c:v>20335.369999999992</c:v>
                </c:pt>
                <c:pt idx="4">
                  <c:v>8158.6999999999625</c:v>
                </c:pt>
                <c:pt idx="5">
                  <c:v>2086.9299999999998</c:v>
                </c:pt>
                <c:pt idx="6">
                  <c:v>17480.279999999992</c:v>
                </c:pt>
                <c:pt idx="7">
                  <c:v>15425.849999999999</c:v>
                </c:pt>
                <c:pt idx="8">
                  <c:v>8081.2999999995654</c:v>
                </c:pt>
                <c:pt idx="9">
                  <c:v>4023.5599999999972</c:v>
                </c:pt>
                <c:pt idx="10">
                  <c:v>2297.1999999999243</c:v>
                </c:pt>
                <c:pt idx="11">
                  <c:v>26109.43</c:v>
                </c:pt>
              </c:numCache>
            </c:numRef>
          </c:val>
          <c:extLst>
            <c:ext xmlns:c16="http://schemas.microsoft.com/office/drawing/2014/chart" uri="{C3380CC4-5D6E-409C-BE32-E72D297353CC}">
              <c16:uniqueId val="{00000040-0279-4CBE-B0DE-1E31760D5487}"/>
            </c:ext>
          </c:extLst>
        </c:ser>
        <c:ser>
          <c:idx val="12"/>
          <c:order val="12"/>
          <c:tx>
            <c:strRef>
              <c:f>time_series!$N$51:$N$52</c:f>
              <c:strCache>
                <c:ptCount val="1"/>
                <c:pt idx="0">
                  <c:v>0.12</c:v>
                </c:pt>
              </c:strCache>
            </c:strRef>
          </c:tx>
          <c:spPr>
            <a:solidFill>
              <a:schemeClr val="accent1">
                <a:lumMod val="80000"/>
                <a:lumOff val="2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time_series!$N$53:$N$64</c:f>
              <c:numCache>
                <c:formatCode>General</c:formatCode>
                <c:ptCount val="12"/>
                <c:pt idx="0">
                  <c:v>29416.009999999951</c:v>
                </c:pt>
                <c:pt idx="1">
                  <c:v>6331.6799999999812</c:v>
                </c:pt>
                <c:pt idx="2">
                  <c:v>39706.859999999288</c:v>
                </c:pt>
                <c:pt idx="3">
                  <c:v>10573.9399999999</c:v>
                </c:pt>
                <c:pt idx="4">
                  <c:v>454.7800000000002</c:v>
                </c:pt>
                <c:pt idx="5">
                  <c:v>38980.649999999994</c:v>
                </c:pt>
                <c:pt idx="6">
                  <c:v>27646.94000000001</c:v>
                </c:pt>
                <c:pt idx="7">
                  <c:v>22845.010000000002</c:v>
                </c:pt>
                <c:pt idx="8">
                  <c:v>27720.69999999999</c:v>
                </c:pt>
                <c:pt idx="9">
                  <c:v>26737.1</c:v>
                </c:pt>
                <c:pt idx="10">
                  <c:v>398.58000000000038</c:v>
                </c:pt>
                <c:pt idx="11">
                  <c:v>9462.6600000000017</c:v>
                </c:pt>
              </c:numCache>
            </c:numRef>
          </c:val>
          <c:extLst>
            <c:ext xmlns:c16="http://schemas.microsoft.com/office/drawing/2014/chart" uri="{C3380CC4-5D6E-409C-BE32-E72D297353CC}">
              <c16:uniqueId val="{00000041-0279-4CBE-B0DE-1E31760D5487}"/>
            </c:ext>
          </c:extLst>
        </c:ser>
        <c:ser>
          <c:idx val="13"/>
          <c:order val="13"/>
          <c:tx>
            <c:strRef>
              <c:f>time_series!$O$51:$O$52</c:f>
              <c:strCache>
                <c:ptCount val="1"/>
                <c:pt idx="0">
                  <c:v>0.13</c:v>
                </c:pt>
              </c:strCache>
            </c:strRef>
          </c:tx>
          <c:spPr>
            <a:solidFill>
              <a:schemeClr val="accent2">
                <a:lumMod val="80000"/>
                <a:lumOff val="2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time_series!$O$53:$O$64</c:f>
              <c:numCache>
                <c:formatCode>General</c:formatCode>
                <c:ptCount val="12"/>
                <c:pt idx="0">
                  <c:v>11175.5</c:v>
                </c:pt>
                <c:pt idx="2">
                  <c:v>1985.579999999999</c:v>
                </c:pt>
                <c:pt idx="3">
                  <c:v>32914.999999999665</c:v>
                </c:pt>
                <c:pt idx="5">
                  <c:v>4797.4999999999927</c:v>
                </c:pt>
                <c:pt idx="6">
                  <c:v>19629.059999999856</c:v>
                </c:pt>
                <c:pt idx="7">
                  <c:v>33557.629999999997</c:v>
                </c:pt>
                <c:pt idx="8">
                  <c:v>7562.4500000000007</c:v>
                </c:pt>
                <c:pt idx="9">
                  <c:v>49343.090000000011</c:v>
                </c:pt>
                <c:pt idx="10">
                  <c:v>28715.769999999633</c:v>
                </c:pt>
                <c:pt idx="11">
                  <c:v>49628.88999999941</c:v>
                </c:pt>
              </c:numCache>
            </c:numRef>
          </c:val>
          <c:extLst>
            <c:ext xmlns:c16="http://schemas.microsoft.com/office/drawing/2014/chart" uri="{C3380CC4-5D6E-409C-BE32-E72D297353CC}">
              <c16:uniqueId val="{00000042-0279-4CBE-B0DE-1E31760D5487}"/>
            </c:ext>
          </c:extLst>
        </c:ser>
        <c:ser>
          <c:idx val="14"/>
          <c:order val="14"/>
          <c:tx>
            <c:strRef>
              <c:f>time_series!$P$51:$P$52</c:f>
              <c:strCache>
                <c:ptCount val="1"/>
                <c:pt idx="0">
                  <c:v>0.14</c:v>
                </c:pt>
              </c:strCache>
            </c:strRef>
          </c:tx>
          <c:spPr>
            <a:solidFill>
              <a:schemeClr val="accent3">
                <a:lumMod val="80000"/>
                <a:lumOff val="2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time_series!$P$53:$P$64</c:f>
              <c:numCache>
                <c:formatCode>General</c:formatCode>
                <c:ptCount val="12"/>
                <c:pt idx="0">
                  <c:v>16721.709999999985</c:v>
                </c:pt>
                <c:pt idx="1">
                  <c:v>8777.8899999997629</c:v>
                </c:pt>
                <c:pt idx="3">
                  <c:v>15830.989999999996</c:v>
                </c:pt>
                <c:pt idx="4">
                  <c:v>20555.349999999664</c:v>
                </c:pt>
                <c:pt idx="5">
                  <c:v>22236.350000000006</c:v>
                </c:pt>
                <c:pt idx="6">
                  <c:v>12596.780000000006</c:v>
                </c:pt>
                <c:pt idx="7">
                  <c:v>16433.199999999997</c:v>
                </c:pt>
                <c:pt idx="8">
                  <c:v>49433.979999999588</c:v>
                </c:pt>
                <c:pt idx="9">
                  <c:v>19269.000000000004</c:v>
                </c:pt>
                <c:pt idx="10">
                  <c:v>5132.2399999999034</c:v>
                </c:pt>
                <c:pt idx="11">
                  <c:v>31668.279999999668</c:v>
                </c:pt>
              </c:numCache>
            </c:numRef>
          </c:val>
          <c:extLst>
            <c:ext xmlns:c16="http://schemas.microsoft.com/office/drawing/2014/chart" uri="{C3380CC4-5D6E-409C-BE32-E72D297353CC}">
              <c16:uniqueId val="{00000043-0279-4CBE-B0DE-1E31760D5487}"/>
            </c:ext>
          </c:extLst>
        </c:ser>
        <c:ser>
          <c:idx val="15"/>
          <c:order val="15"/>
          <c:tx>
            <c:strRef>
              <c:f>time_series!$Q$51:$Q$52</c:f>
              <c:strCache>
                <c:ptCount val="1"/>
                <c:pt idx="0">
                  <c:v>0.15</c:v>
                </c:pt>
              </c:strCache>
            </c:strRef>
          </c:tx>
          <c:spPr>
            <a:solidFill>
              <a:schemeClr val="accent4">
                <a:lumMod val="80000"/>
                <a:lumOff val="2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time_series!$Q$53:$Q$64</c:f>
              <c:numCache>
                <c:formatCode>General</c:formatCode>
                <c:ptCount val="12"/>
                <c:pt idx="0">
                  <c:v>17566.36</c:v>
                </c:pt>
                <c:pt idx="1">
                  <c:v>818.69999999999993</c:v>
                </c:pt>
                <c:pt idx="2">
                  <c:v>14035.28000000001</c:v>
                </c:pt>
                <c:pt idx="3">
                  <c:v>14891.080000000002</c:v>
                </c:pt>
                <c:pt idx="4">
                  <c:v>22108.950000000019</c:v>
                </c:pt>
                <c:pt idx="5">
                  <c:v>7290.6799999999985</c:v>
                </c:pt>
                <c:pt idx="6">
                  <c:v>29246.690000000006</c:v>
                </c:pt>
                <c:pt idx="7">
                  <c:v>2826.7800000000025</c:v>
                </c:pt>
                <c:pt idx="8">
                  <c:v>12883.459999999719</c:v>
                </c:pt>
                <c:pt idx="9">
                  <c:v>8495.1599999999944</c:v>
                </c:pt>
                <c:pt idx="10">
                  <c:v>25166.699999999993</c:v>
                </c:pt>
                <c:pt idx="11">
                  <c:v>6783.979999999985</c:v>
                </c:pt>
              </c:numCache>
            </c:numRef>
          </c:val>
          <c:extLst>
            <c:ext xmlns:c16="http://schemas.microsoft.com/office/drawing/2014/chart" uri="{C3380CC4-5D6E-409C-BE32-E72D297353CC}">
              <c16:uniqueId val="{00000044-0279-4CBE-B0DE-1E31760D5487}"/>
            </c:ext>
          </c:extLst>
        </c:ser>
        <c:ser>
          <c:idx val="16"/>
          <c:order val="16"/>
          <c:tx>
            <c:strRef>
              <c:f>time_series!$R$51:$R$52</c:f>
              <c:strCache>
                <c:ptCount val="1"/>
                <c:pt idx="0">
                  <c:v>0.16</c:v>
                </c:pt>
              </c:strCache>
            </c:strRef>
          </c:tx>
          <c:spPr>
            <a:solidFill>
              <a:schemeClr val="accent5">
                <a:lumMod val="80000"/>
                <a:lumOff val="2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time_series!$R$53:$R$64</c:f>
              <c:numCache>
                <c:formatCode>General</c:formatCode>
                <c:ptCount val="12"/>
                <c:pt idx="0">
                  <c:v>8957.5800000000017</c:v>
                </c:pt>
                <c:pt idx="1">
                  <c:v>20053.589999999997</c:v>
                </c:pt>
                <c:pt idx="2">
                  <c:v>21896.730000000003</c:v>
                </c:pt>
                <c:pt idx="5">
                  <c:v>7914.1800000000112</c:v>
                </c:pt>
                <c:pt idx="6">
                  <c:v>3303.9499999998361</c:v>
                </c:pt>
                <c:pt idx="7">
                  <c:v>2654.2799999999997</c:v>
                </c:pt>
                <c:pt idx="8">
                  <c:v>12743.379999999986</c:v>
                </c:pt>
                <c:pt idx="9">
                  <c:v>16336.869999999495</c:v>
                </c:pt>
                <c:pt idx="10">
                  <c:v>7173.6000000000022</c:v>
                </c:pt>
                <c:pt idx="11">
                  <c:v>13728.699999999997</c:v>
                </c:pt>
              </c:numCache>
            </c:numRef>
          </c:val>
          <c:extLst>
            <c:ext xmlns:c16="http://schemas.microsoft.com/office/drawing/2014/chart" uri="{C3380CC4-5D6E-409C-BE32-E72D297353CC}">
              <c16:uniqueId val="{00000045-0279-4CBE-B0DE-1E31760D5487}"/>
            </c:ext>
          </c:extLst>
        </c:ser>
        <c:ser>
          <c:idx val="17"/>
          <c:order val="17"/>
          <c:tx>
            <c:strRef>
              <c:f>time_series!$S$51:$S$52</c:f>
              <c:strCache>
                <c:ptCount val="1"/>
                <c:pt idx="0">
                  <c:v>0.17</c:v>
                </c:pt>
              </c:strCache>
            </c:strRef>
          </c:tx>
          <c:spPr>
            <a:solidFill>
              <a:schemeClr val="accent6">
                <a:lumMod val="80000"/>
                <a:lumOff val="2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time_series!$S$53:$S$64</c:f>
              <c:numCache>
                <c:formatCode>General</c:formatCode>
                <c:ptCount val="12"/>
                <c:pt idx="0">
                  <c:v>52276.37000000001</c:v>
                </c:pt>
                <c:pt idx="1">
                  <c:v>32869.229999999996</c:v>
                </c:pt>
                <c:pt idx="2">
                  <c:v>3125.7200000000021</c:v>
                </c:pt>
                <c:pt idx="3">
                  <c:v>3855.8199999999983</c:v>
                </c:pt>
                <c:pt idx="4">
                  <c:v>14902.559999999992</c:v>
                </c:pt>
                <c:pt idx="5">
                  <c:v>8715.3299999997471</c:v>
                </c:pt>
                <c:pt idx="6">
                  <c:v>5640.3200000000015</c:v>
                </c:pt>
                <c:pt idx="7">
                  <c:v>40056.539999999746</c:v>
                </c:pt>
                <c:pt idx="8">
                  <c:v>3181.2100000000019</c:v>
                </c:pt>
                <c:pt idx="9">
                  <c:v>17745.059999999983</c:v>
                </c:pt>
                <c:pt idx="10">
                  <c:v>25860.89999999955</c:v>
                </c:pt>
                <c:pt idx="11">
                  <c:v>25912.979999999974</c:v>
                </c:pt>
              </c:numCache>
            </c:numRef>
          </c:val>
          <c:extLst>
            <c:ext xmlns:c16="http://schemas.microsoft.com/office/drawing/2014/chart" uri="{C3380CC4-5D6E-409C-BE32-E72D297353CC}">
              <c16:uniqueId val="{00000046-0279-4CBE-B0DE-1E31760D5487}"/>
            </c:ext>
          </c:extLst>
        </c:ser>
        <c:ser>
          <c:idx val="18"/>
          <c:order val="18"/>
          <c:tx>
            <c:strRef>
              <c:f>time_series!$T$51:$T$52</c:f>
              <c:strCache>
                <c:ptCount val="1"/>
                <c:pt idx="0">
                  <c:v>0.18</c:v>
                </c:pt>
              </c:strCache>
            </c:strRef>
          </c:tx>
          <c:spPr>
            <a:solidFill>
              <a:schemeClr val="accent1">
                <a:lumMod val="8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time_series!$T$53:$T$64</c:f>
              <c:numCache>
                <c:formatCode>General</c:formatCode>
                <c:ptCount val="12"/>
                <c:pt idx="0">
                  <c:v>2209.2799999999988</c:v>
                </c:pt>
                <c:pt idx="2">
                  <c:v>39650.959999999999</c:v>
                </c:pt>
                <c:pt idx="3">
                  <c:v>24660.64999999971</c:v>
                </c:pt>
                <c:pt idx="4">
                  <c:v>4897.1999999997224</c:v>
                </c:pt>
                <c:pt idx="5">
                  <c:v>18611.930000000015</c:v>
                </c:pt>
                <c:pt idx="6">
                  <c:v>7494.5000000000109</c:v>
                </c:pt>
                <c:pt idx="7">
                  <c:v>11866.670000000006</c:v>
                </c:pt>
                <c:pt idx="8">
                  <c:v>19524.420000000002</c:v>
                </c:pt>
                <c:pt idx="9">
                  <c:v>27448.499999999971</c:v>
                </c:pt>
                <c:pt idx="10">
                  <c:v>26541.820000000003</c:v>
                </c:pt>
                <c:pt idx="11">
                  <c:v>36437.359999999542</c:v>
                </c:pt>
              </c:numCache>
            </c:numRef>
          </c:val>
          <c:extLst>
            <c:ext xmlns:c16="http://schemas.microsoft.com/office/drawing/2014/chart" uri="{C3380CC4-5D6E-409C-BE32-E72D297353CC}">
              <c16:uniqueId val="{00000047-0279-4CBE-B0DE-1E31760D5487}"/>
            </c:ext>
          </c:extLst>
        </c:ser>
        <c:ser>
          <c:idx val="19"/>
          <c:order val="19"/>
          <c:tx>
            <c:strRef>
              <c:f>time_series!$U$51:$U$52</c:f>
              <c:strCache>
                <c:ptCount val="1"/>
                <c:pt idx="0">
                  <c:v>0.19</c:v>
                </c:pt>
              </c:strCache>
            </c:strRef>
          </c:tx>
          <c:spPr>
            <a:solidFill>
              <a:schemeClr val="accent2">
                <a:lumMod val="8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time_series!$U$53:$U$64</c:f>
              <c:numCache>
                <c:formatCode>General</c:formatCode>
                <c:ptCount val="12"/>
                <c:pt idx="0">
                  <c:v>2419.5499999999993</c:v>
                </c:pt>
                <c:pt idx="1">
                  <c:v>735</c:v>
                </c:pt>
                <c:pt idx="2">
                  <c:v>53975.76999999999</c:v>
                </c:pt>
                <c:pt idx="3">
                  <c:v>16132.859999999995</c:v>
                </c:pt>
                <c:pt idx="4">
                  <c:v>22626.639999999978</c:v>
                </c:pt>
                <c:pt idx="5">
                  <c:v>15518.55999999999</c:v>
                </c:pt>
                <c:pt idx="6">
                  <c:v>24966.299999999992</c:v>
                </c:pt>
                <c:pt idx="7">
                  <c:v>23783.679999999993</c:v>
                </c:pt>
                <c:pt idx="9">
                  <c:v>3461.970000000003</c:v>
                </c:pt>
                <c:pt idx="10">
                  <c:v>8113.6800000000039</c:v>
                </c:pt>
                <c:pt idx="11">
                  <c:v>3940.26999999999</c:v>
                </c:pt>
              </c:numCache>
            </c:numRef>
          </c:val>
          <c:extLst>
            <c:ext xmlns:c16="http://schemas.microsoft.com/office/drawing/2014/chart" uri="{C3380CC4-5D6E-409C-BE32-E72D297353CC}">
              <c16:uniqueId val="{00000048-0279-4CBE-B0DE-1E31760D5487}"/>
            </c:ext>
          </c:extLst>
        </c:ser>
        <c:ser>
          <c:idx val="20"/>
          <c:order val="20"/>
          <c:tx>
            <c:strRef>
              <c:f>time_series!$V$51:$V$52</c:f>
              <c:strCache>
                <c:ptCount val="1"/>
                <c:pt idx="0">
                  <c:v>0.2</c:v>
                </c:pt>
              </c:strCache>
            </c:strRef>
          </c:tx>
          <c:spPr>
            <a:solidFill>
              <a:schemeClr val="accent3">
                <a:lumMod val="8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time_series!$V$53:$V$64</c:f>
              <c:numCache>
                <c:formatCode>General</c:formatCode>
                <c:ptCount val="12"/>
                <c:pt idx="0">
                  <c:v>23695.499999999989</c:v>
                </c:pt>
                <c:pt idx="1">
                  <c:v>11576.659999999556</c:v>
                </c:pt>
                <c:pt idx="2">
                  <c:v>11211.349999999989</c:v>
                </c:pt>
                <c:pt idx="3">
                  <c:v>18671.329999999998</c:v>
                </c:pt>
                <c:pt idx="4">
                  <c:v>8651.1999999999989</c:v>
                </c:pt>
                <c:pt idx="5">
                  <c:v>584.79999999990196</c:v>
                </c:pt>
                <c:pt idx="6">
                  <c:v>21713.399999999994</c:v>
                </c:pt>
                <c:pt idx="7">
                  <c:v>15707.310000000019</c:v>
                </c:pt>
                <c:pt idx="8">
                  <c:v>4926.4499999999989</c:v>
                </c:pt>
                <c:pt idx="9">
                  <c:v>17754.87999999999</c:v>
                </c:pt>
                <c:pt idx="10">
                  <c:v>14512.639999999992</c:v>
                </c:pt>
                <c:pt idx="11">
                  <c:v>44197.779999999831</c:v>
                </c:pt>
              </c:numCache>
            </c:numRef>
          </c:val>
          <c:extLst>
            <c:ext xmlns:c16="http://schemas.microsoft.com/office/drawing/2014/chart" uri="{C3380CC4-5D6E-409C-BE32-E72D297353CC}">
              <c16:uniqueId val="{00000049-0279-4CBE-B0DE-1E31760D5487}"/>
            </c:ext>
          </c:extLst>
        </c:ser>
        <c:ser>
          <c:idx val="21"/>
          <c:order val="21"/>
          <c:tx>
            <c:strRef>
              <c:f>time_series!$W$51:$W$52</c:f>
              <c:strCache>
                <c:ptCount val="1"/>
                <c:pt idx="0">
                  <c:v>0.21</c:v>
                </c:pt>
              </c:strCache>
            </c:strRef>
          </c:tx>
          <c:spPr>
            <a:solidFill>
              <a:schemeClr val="accent4">
                <a:lumMod val="8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time_series!$W$53:$W$64</c:f>
              <c:numCache>
                <c:formatCode>General</c:formatCode>
                <c:ptCount val="12"/>
                <c:pt idx="0">
                  <c:v>10579.239999999983</c:v>
                </c:pt>
                <c:pt idx="1">
                  <c:v>31106.159999999989</c:v>
                </c:pt>
                <c:pt idx="2">
                  <c:v>14620.36</c:v>
                </c:pt>
                <c:pt idx="4">
                  <c:v>29109.249999999542</c:v>
                </c:pt>
                <c:pt idx="5">
                  <c:v>17165.579999999864</c:v>
                </c:pt>
                <c:pt idx="6">
                  <c:v>17705.949999999815</c:v>
                </c:pt>
                <c:pt idx="7">
                  <c:v>4026.0999999999976</c:v>
                </c:pt>
                <c:pt idx="8">
                  <c:v>4459.4399999996367</c:v>
                </c:pt>
                <c:pt idx="9">
                  <c:v>23900.759999999951</c:v>
                </c:pt>
                <c:pt idx="10">
                  <c:v>27830.519999999997</c:v>
                </c:pt>
                <c:pt idx="11">
                  <c:v>22797.179999999575</c:v>
                </c:pt>
              </c:numCache>
            </c:numRef>
          </c:val>
          <c:extLst>
            <c:ext xmlns:c16="http://schemas.microsoft.com/office/drawing/2014/chart" uri="{C3380CC4-5D6E-409C-BE32-E72D297353CC}">
              <c16:uniqueId val="{0000004A-0279-4CBE-B0DE-1E31760D5487}"/>
            </c:ext>
          </c:extLst>
        </c:ser>
        <c:ser>
          <c:idx val="22"/>
          <c:order val="22"/>
          <c:tx>
            <c:strRef>
              <c:f>time_series!$X$51:$X$52</c:f>
              <c:strCache>
                <c:ptCount val="1"/>
                <c:pt idx="0">
                  <c:v>0.22</c:v>
                </c:pt>
              </c:strCache>
            </c:strRef>
          </c:tx>
          <c:spPr>
            <a:solidFill>
              <a:schemeClr val="accent5">
                <a:lumMod val="8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time_series!$X$53:$X$64</c:f>
              <c:numCache>
                <c:formatCode>General</c:formatCode>
                <c:ptCount val="12"/>
                <c:pt idx="0">
                  <c:v>2615.2999999999938</c:v>
                </c:pt>
                <c:pt idx="1">
                  <c:v>32499.159999999993</c:v>
                </c:pt>
                <c:pt idx="2">
                  <c:v>10298.61</c:v>
                </c:pt>
                <c:pt idx="3">
                  <c:v>16994.929999999978</c:v>
                </c:pt>
                <c:pt idx="4">
                  <c:v>19250.930000000004</c:v>
                </c:pt>
                <c:pt idx="5">
                  <c:v>34123.329999999645</c:v>
                </c:pt>
                <c:pt idx="6">
                  <c:v>10613.120000000003</c:v>
                </c:pt>
                <c:pt idx="7">
                  <c:v>19051.669999999995</c:v>
                </c:pt>
                <c:pt idx="8">
                  <c:v>24201.26999999996</c:v>
                </c:pt>
                <c:pt idx="9">
                  <c:v>24729.64</c:v>
                </c:pt>
                <c:pt idx="10">
                  <c:v>54958.19999999967</c:v>
                </c:pt>
                <c:pt idx="11">
                  <c:v>13522.520000000008</c:v>
                </c:pt>
              </c:numCache>
            </c:numRef>
          </c:val>
          <c:extLst>
            <c:ext xmlns:c16="http://schemas.microsoft.com/office/drawing/2014/chart" uri="{C3380CC4-5D6E-409C-BE32-E72D297353CC}">
              <c16:uniqueId val="{0000004B-0279-4CBE-B0DE-1E31760D5487}"/>
            </c:ext>
          </c:extLst>
        </c:ser>
        <c:ser>
          <c:idx val="23"/>
          <c:order val="23"/>
          <c:tx>
            <c:strRef>
              <c:f>time_series!$Y$51:$Y$52</c:f>
              <c:strCache>
                <c:ptCount val="1"/>
                <c:pt idx="0">
                  <c:v>0.23</c:v>
                </c:pt>
              </c:strCache>
            </c:strRef>
          </c:tx>
          <c:spPr>
            <a:solidFill>
              <a:schemeClr val="accent6">
                <a:lumMod val="8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time_series!$Y$53:$Y$64</c:f>
              <c:numCache>
                <c:formatCode>General</c:formatCode>
                <c:ptCount val="12"/>
                <c:pt idx="0">
                  <c:v>7764.75</c:v>
                </c:pt>
                <c:pt idx="1">
                  <c:v>11013.650000000001</c:v>
                </c:pt>
                <c:pt idx="2">
                  <c:v>28731.879999999997</c:v>
                </c:pt>
                <c:pt idx="3">
                  <c:v>11715.839999999993</c:v>
                </c:pt>
                <c:pt idx="4">
                  <c:v>14499.170000000004</c:v>
                </c:pt>
                <c:pt idx="5">
                  <c:v>1337.4400000000014</c:v>
                </c:pt>
                <c:pt idx="6">
                  <c:v>23269.869999999624</c:v>
                </c:pt>
                <c:pt idx="8">
                  <c:v>14435.749999999767</c:v>
                </c:pt>
                <c:pt idx="10">
                  <c:v>40853.539999999834</c:v>
                </c:pt>
                <c:pt idx="11">
                  <c:v>17063.269999999993</c:v>
                </c:pt>
              </c:numCache>
            </c:numRef>
          </c:val>
          <c:extLst>
            <c:ext xmlns:c16="http://schemas.microsoft.com/office/drawing/2014/chart" uri="{C3380CC4-5D6E-409C-BE32-E72D297353CC}">
              <c16:uniqueId val="{0000004C-0279-4CBE-B0DE-1E31760D5487}"/>
            </c:ext>
          </c:extLst>
        </c:ser>
        <c:ser>
          <c:idx val="24"/>
          <c:order val="24"/>
          <c:tx>
            <c:strRef>
              <c:f>time_series!$Z$51:$Z$52</c:f>
              <c:strCache>
                <c:ptCount val="1"/>
                <c:pt idx="0">
                  <c:v>0.24</c:v>
                </c:pt>
              </c:strCache>
            </c:strRef>
          </c:tx>
          <c:spPr>
            <a:solidFill>
              <a:schemeClr val="accent1">
                <a:lumMod val="60000"/>
                <a:lumOff val="4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time_series!$Z$53:$Z$64</c:f>
              <c:numCache>
                <c:formatCode>General</c:formatCode>
                <c:ptCount val="12"/>
                <c:pt idx="0">
                  <c:v>68521.269999999393</c:v>
                </c:pt>
                <c:pt idx="1">
                  <c:v>1654.399999999999</c:v>
                </c:pt>
                <c:pt idx="2">
                  <c:v>30358.589999999629</c:v>
                </c:pt>
                <c:pt idx="3">
                  <c:v>6307.5300000000025</c:v>
                </c:pt>
                <c:pt idx="4">
                  <c:v>42619.070000000022</c:v>
                </c:pt>
                <c:pt idx="5">
                  <c:v>19299.280000000013</c:v>
                </c:pt>
                <c:pt idx="6">
                  <c:v>20875.800000000003</c:v>
                </c:pt>
                <c:pt idx="7">
                  <c:v>20679.409999999851</c:v>
                </c:pt>
                <c:pt idx="8">
                  <c:v>25907.329999999856</c:v>
                </c:pt>
                <c:pt idx="9">
                  <c:v>41280.069999999971</c:v>
                </c:pt>
                <c:pt idx="10">
                  <c:v>15837.980000000003</c:v>
                </c:pt>
                <c:pt idx="11">
                  <c:v>3786.98</c:v>
                </c:pt>
              </c:numCache>
            </c:numRef>
          </c:val>
          <c:extLst>
            <c:ext xmlns:c16="http://schemas.microsoft.com/office/drawing/2014/chart" uri="{C3380CC4-5D6E-409C-BE32-E72D297353CC}">
              <c16:uniqueId val="{0000004D-0279-4CBE-B0DE-1E31760D5487}"/>
            </c:ext>
          </c:extLst>
        </c:ser>
        <c:ser>
          <c:idx val="25"/>
          <c:order val="25"/>
          <c:tx>
            <c:strRef>
              <c:f>time_series!$AA$51:$AA$52</c:f>
              <c:strCache>
                <c:ptCount val="1"/>
                <c:pt idx="0">
                  <c:v>0.25</c:v>
                </c:pt>
              </c:strCache>
            </c:strRef>
          </c:tx>
          <c:spPr>
            <a:solidFill>
              <a:schemeClr val="accent2">
                <a:lumMod val="60000"/>
                <a:lumOff val="4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time_series!$AA$53:$AA$64</c:f>
              <c:numCache>
                <c:formatCode>General</c:formatCode>
                <c:ptCount val="12"/>
                <c:pt idx="0">
                  <c:v>17087.029999999992</c:v>
                </c:pt>
                <c:pt idx="1">
                  <c:v>22594.569999999992</c:v>
                </c:pt>
                <c:pt idx="2">
                  <c:v>26872.80000000001</c:v>
                </c:pt>
                <c:pt idx="3">
                  <c:v>13998.770000000004</c:v>
                </c:pt>
                <c:pt idx="4">
                  <c:v>17485.319999999709</c:v>
                </c:pt>
                <c:pt idx="5">
                  <c:v>29783.549999999996</c:v>
                </c:pt>
                <c:pt idx="6">
                  <c:v>16187.669999999991</c:v>
                </c:pt>
                <c:pt idx="7">
                  <c:v>31776.169999999758</c:v>
                </c:pt>
                <c:pt idx="8">
                  <c:v>29013.619999999995</c:v>
                </c:pt>
                <c:pt idx="9">
                  <c:v>4546.4400000000123</c:v>
                </c:pt>
                <c:pt idx="10">
                  <c:v>20455.259999999995</c:v>
                </c:pt>
                <c:pt idx="11">
                  <c:v>35112.89</c:v>
                </c:pt>
              </c:numCache>
            </c:numRef>
          </c:val>
          <c:extLst>
            <c:ext xmlns:c16="http://schemas.microsoft.com/office/drawing/2014/chart" uri="{C3380CC4-5D6E-409C-BE32-E72D297353CC}">
              <c16:uniqueId val="{0000004E-0279-4CBE-B0DE-1E31760D5487}"/>
            </c:ext>
          </c:extLst>
        </c:ser>
        <c:ser>
          <c:idx val="26"/>
          <c:order val="26"/>
          <c:tx>
            <c:strRef>
              <c:f>time_series!$AB$51:$AB$52</c:f>
              <c:strCache>
                <c:ptCount val="1"/>
                <c:pt idx="0">
                  <c:v>0.26</c:v>
                </c:pt>
              </c:strCache>
            </c:strRef>
          </c:tx>
          <c:spPr>
            <a:solidFill>
              <a:schemeClr val="accent3">
                <a:lumMod val="60000"/>
                <a:lumOff val="4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time_series!$AB$53:$AB$64</c:f>
              <c:numCache>
                <c:formatCode>General</c:formatCode>
                <c:ptCount val="12"/>
                <c:pt idx="0">
                  <c:v>19129.499999999796</c:v>
                </c:pt>
                <c:pt idx="1">
                  <c:v>18797.550000000003</c:v>
                </c:pt>
                <c:pt idx="2">
                  <c:v>17833.8</c:v>
                </c:pt>
                <c:pt idx="3">
                  <c:v>16041.650000000005</c:v>
                </c:pt>
                <c:pt idx="4">
                  <c:v>9902.3099999999959</c:v>
                </c:pt>
                <c:pt idx="5">
                  <c:v>26423.949999999953</c:v>
                </c:pt>
                <c:pt idx="6">
                  <c:v>17163.709999999985</c:v>
                </c:pt>
                <c:pt idx="7">
                  <c:v>17015.480000000003</c:v>
                </c:pt>
                <c:pt idx="8">
                  <c:v>40815.419999999962</c:v>
                </c:pt>
                <c:pt idx="9">
                  <c:v>16595.470000000005</c:v>
                </c:pt>
                <c:pt idx="10">
                  <c:v>19968.689999999995</c:v>
                </c:pt>
                <c:pt idx="11">
                  <c:v>4863.5099999999966</c:v>
                </c:pt>
              </c:numCache>
            </c:numRef>
          </c:val>
          <c:extLst>
            <c:ext xmlns:c16="http://schemas.microsoft.com/office/drawing/2014/chart" uri="{C3380CC4-5D6E-409C-BE32-E72D297353CC}">
              <c16:uniqueId val="{0000004F-0279-4CBE-B0DE-1E31760D5487}"/>
            </c:ext>
          </c:extLst>
        </c:ser>
        <c:ser>
          <c:idx val="27"/>
          <c:order val="27"/>
          <c:tx>
            <c:strRef>
              <c:f>time_series!$AC$51:$AC$52</c:f>
              <c:strCache>
                <c:ptCount val="1"/>
                <c:pt idx="0">
                  <c:v>0.27</c:v>
                </c:pt>
              </c:strCache>
            </c:strRef>
          </c:tx>
          <c:spPr>
            <a:solidFill>
              <a:schemeClr val="accent4">
                <a:lumMod val="60000"/>
                <a:lumOff val="4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time_series!$AC$53:$AC$64</c:f>
              <c:numCache>
                <c:formatCode>General</c:formatCode>
                <c:ptCount val="12"/>
                <c:pt idx="0">
                  <c:v>22643.329999999998</c:v>
                </c:pt>
                <c:pt idx="1">
                  <c:v>73698.320000000007</c:v>
                </c:pt>
                <c:pt idx="2">
                  <c:v>3512.8399999999983</c:v>
                </c:pt>
                <c:pt idx="3">
                  <c:v>31130.289999999775</c:v>
                </c:pt>
                <c:pt idx="4">
                  <c:v>3351.0000000000036</c:v>
                </c:pt>
                <c:pt idx="5">
                  <c:v>25292.669999999849</c:v>
                </c:pt>
                <c:pt idx="6">
                  <c:v>10526.869999999992</c:v>
                </c:pt>
                <c:pt idx="7">
                  <c:v>1137.3599999997296</c:v>
                </c:pt>
                <c:pt idx="8">
                  <c:v>33693.509999999995</c:v>
                </c:pt>
                <c:pt idx="9">
                  <c:v>14495.949999999622</c:v>
                </c:pt>
                <c:pt idx="10">
                  <c:v>8582.3799999999992</c:v>
                </c:pt>
                <c:pt idx="11">
                  <c:v>4107.2199999998393</c:v>
                </c:pt>
              </c:numCache>
            </c:numRef>
          </c:val>
          <c:extLst>
            <c:ext xmlns:c16="http://schemas.microsoft.com/office/drawing/2014/chart" uri="{C3380CC4-5D6E-409C-BE32-E72D297353CC}">
              <c16:uniqueId val="{00000059-0279-4CBE-B0DE-1E31760D5487}"/>
            </c:ext>
          </c:extLst>
        </c:ser>
        <c:ser>
          <c:idx val="28"/>
          <c:order val="28"/>
          <c:tx>
            <c:strRef>
              <c:f>time_series!$AD$51:$AD$52</c:f>
              <c:strCache>
                <c:ptCount val="1"/>
                <c:pt idx="0">
                  <c:v>0.28</c:v>
                </c:pt>
              </c:strCache>
            </c:strRef>
          </c:tx>
          <c:spPr>
            <a:solidFill>
              <a:schemeClr val="accent5">
                <a:lumMod val="60000"/>
                <a:lumOff val="4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time_series!$AD$53:$AD$64</c:f>
              <c:numCache>
                <c:formatCode>General</c:formatCode>
                <c:ptCount val="12"/>
                <c:pt idx="0">
                  <c:v>25134.519999999993</c:v>
                </c:pt>
                <c:pt idx="1">
                  <c:v>3678.0300000000007</c:v>
                </c:pt>
                <c:pt idx="2">
                  <c:v>899.79999999996107</c:v>
                </c:pt>
                <c:pt idx="3">
                  <c:v>16461.180000000008</c:v>
                </c:pt>
                <c:pt idx="4">
                  <c:v>54784.540000000008</c:v>
                </c:pt>
                <c:pt idx="5">
                  <c:v>21460.349999999962</c:v>
                </c:pt>
                <c:pt idx="6">
                  <c:v>1419.4499999999994</c:v>
                </c:pt>
                <c:pt idx="7">
                  <c:v>20545.779999999992</c:v>
                </c:pt>
                <c:pt idx="8">
                  <c:v>1145.600000000004</c:v>
                </c:pt>
                <c:pt idx="9">
                  <c:v>1644.0000000000055</c:v>
                </c:pt>
                <c:pt idx="10">
                  <c:v>16049.089999999991</c:v>
                </c:pt>
                <c:pt idx="11">
                  <c:v>7175.6399999999976</c:v>
                </c:pt>
              </c:numCache>
            </c:numRef>
          </c:val>
          <c:extLst>
            <c:ext xmlns:c16="http://schemas.microsoft.com/office/drawing/2014/chart" uri="{C3380CC4-5D6E-409C-BE32-E72D297353CC}">
              <c16:uniqueId val="{0000005A-0279-4CBE-B0DE-1E31760D5487}"/>
            </c:ext>
          </c:extLst>
        </c:ser>
        <c:ser>
          <c:idx val="29"/>
          <c:order val="29"/>
          <c:tx>
            <c:strRef>
              <c:f>time_series!$AE$51:$AE$52</c:f>
              <c:strCache>
                <c:ptCount val="1"/>
                <c:pt idx="0">
                  <c:v>0.29</c:v>
                </c:pt>
              </c:strCache>
            </c:strRef>
          </c:tx>
          <c:spPr>
            <a:solidFill>
              <a:schemeClr val="accent6">
                <a:lumMod val="60000"/>
                <a:lumOff val="4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time_series!$AE$53:$AE$64</c:f>
              <c:numCache>
                <c:formatCode>General</c:formatCode>
                <c:ptCount val="12"/>
                <c:pt idx="0">
                  <c:v>31776.44999999999</c:v>
                </c:pt>
                <c:pt idx="1">
                  <c:v>6337.7999999999929</c:v>
                </c:pt>
                <c:pt idx="2">
                  <c:v>17558.710000000006</c:v>
                </c:pt>
                <c:pt idx="3">
                  <c:v>82876.119999999632</c:v>
                </c:pt>
                <c:pt idx="4">
                  <c:v>17254.799999999996</c:v>
                </c:pt>
                <c:pt idx="6">
                  <c:v>712.32000000000664</c:v>
                </c:pt>
                <c:pt idx="7">
                  <c:v>7207.2600000000011</c:v>
                </c:pt>
                <c:pt idx="8">
                  <c:v>14859.7</c:v>
                </c:pt>
                <c:pt idx="9">
                  <c:v>16185.779999999982</c:v>
                </c:pt>
                <c:pt idx="10">
                  <c:v>26384.55999999999</c:v>
                </c:pt>
                <c:pt idx="11">
                  <c:v>15962.940000000006</c:v>
                </c:pt>
              </c:numCache>
            </c:numRef>
          </c:val>
          <c:extLst>
            <c:ext xmlns:c16="http://schemas.microsoft.com/office/drawing/2014/chart" uri="{C3380CC4-5D6E-409C-BE32-E72D297353CC}">
              <c16:uniqueId val="{0000005B-0279-4CBE-B0DE-1E31760D5487}"/>
            </c:ext>
          </c:extLst>
        </c:ser>
        <c:ser>
          <c:idx val="30"/>
          <c:order val="30"/>
          <c:tx>
            <c:strRef>
              <c:f>time_series!$AF$51:$AF$52</c:f>
              <c:strCache>
                <c:ptCount val="1"/>
                <c:pt idx="0">
                  <c:v>0.3</c:v>
                </c:pt>
              </c:strCache>
            </c:strRef>
          </c:tx>
          <c:spPr>
            <a:solidFill>
              <a:schemeClr val="accent1">
                <a:lumMod val="50000"/>
              </a:schemeClr>
            </a:solidFill>
            <a:ln>
              <a:noFill/>
            </a:ln>
            <a:effectLst/>
          </c:spPr>
          <c:invertIfNegative val="0"/>
          <c:cat>
            <c:strRef>
              <c:f>time_series!$A$53:$A$64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time_series!$AF$53:$AF$64</c:f>
              <c:numCache>
                <c:formatCode>General</c:formatCode>
                <c:ptCount val="12"/>
                <c:pt idx="0">
                  <c:v>5254.3700000000008</c:v>
                </c:pt>
                <c:pt idx="1">
                  <c:v>8126.76</c:v>
                </c:pt>
                <c:pt idx="3">
                  <c:v>3932.4800000000105</c:v>
                </c:pt>
                <c:pt idx="4">
                  <c:v>3372.7400000000011</c:v>
                </c:pt>
                <c:pt idx="5">
                  <c:v>9010.4</c:v>
                </c:pt>
                <c:pt idx="6">
                  <c:v>19124.160000000003</c:v>
                </c:pt>
                <c:pt idx="7">
                  <c:v>20900.459999999992</c:v>
                </c:pt>
                <c:pt idx="8">
                  <c:v>15905.720000000001</c:v>
                </c:pt>
                <c:pt idx="9">
                  <c:v>16722.579999999991</c:v>
                </c:pt>
                <c:pt idx="10">
                  <c:v>17432.739999999976</c:v>
                </c:pt>
                <c:pt idx="11">
                  <c:v>6332.0999999999985</c:v>
                </c:pt>
              </c:numCache>
            </c:numRef>
          </c:val>
          <c:extLst>
            <c:ext xmlns:c16="http://schemas.microsoft.com/office/drawing/2014/chart" uri="{C3380CC4-5D6E-409C-BE32-E72D297353CC}">
              <c16:uniqueId val="{0000005C-0279-4CBE-B0DE-1E31760D5487}"/>
            </c:ext>
          </c:extLst>
        </c:ser>
        <c:dLbls>
          <c:showLegendKey val="0"/>
          <c:showVal val="0"/>
          <c:showCatName val="0"/>
          <c:showSerName val="0"/>
          <c:showPercent val="0"/>
          <c:showBubbleSize val="0"/>
        </c:dLbls>
        <c:gapWidth val="219"/>
        <c:overlap val="-27"/>
        <c:axId val="1488963024"/>
        <c:axId val="1299539504"/>
      </c:barChart>
      <c:catAx>
        <c:axId val="148896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39504"/>
        <c:crosses val="autoZero"/>
        <c:auto val="1"/>
        <c:lblAlgn val="ctr"/>
        <c:lblOffset val="100"/>
        <c:noMultiLvlLbl val="0"/>
      </c:catAx>
      <c:valAx>
        <c:axId val="1299539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8963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[sales_data.xlsm]discount!PivotTable18</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discount!$B$1</c:f>
              <c:strCache>
                <c:ptCount val="1"/>
                <c:pt idx="0">
                  <c:v>Total</c:v>
                </c:pt>
              </c:strCache>
            </c:strRef>
          </c:tx>
          <c:spPr>
            <a:solidFill>
              <a:schemeClr val="accent1"/>
            </a:solidFill>
            <a:ln>
              <a:noFill/>
            </a:ln>
            <a:effectLst/>
          </c:spPr>
          <c:invertIfNegative val="0"/>
          <c:cat>
            <c:strRef>
              <c:f>discount!$A$2:$A$33</c:f>
              <c:strCache>
                <c:ptCount val="31"/>
                <c:pt idx="0">
                  <c:v>0.22</c:v>
                </c:pt>
                <c:pt idx="1">
                  <c:v>0.24</c:v>
                </c:pt>
                <c:pt idx="2">
                  <c:v>0.17</c:v>
                </c:pt>
                <c:pt idx="3">
                  <c:v>0.25</c:v>
                </c:pt>
                <c:pt idx="4">
                  <c:v>0.03</c:v>
                </c:pt>
                <c:pt idx="5">
                  <c:v>0.21</c:v>
                </c:pt>
                <c:pt idx="6">
                  <c:v>0.2</c:v>
                </c:pt>
                <c:pt idx="7">
                  <c:v>0.12</c:v>
                </c:pt>
                <c:pt idx="8">
                  <c:v>0.09</c:v>
                </c:pt>
                <c:pt idx="9">
                  <c:v>0.04</c:v>
                </c:pt>
                <c:pt idx="10">
                  <c:v>0.01</c:v>
                </c:pt>
                <c:pt idx="11">
                  <c:v>0.27</c:v>
                </c:pt>
                <c:pt idx="12">
                  <c:v>0.1</c:v>
                </c:pt>
                <c:pt idx="13">
                  <c:v>0.26</c:v>
                </c:pt>
                <c:pt idx="14">
                  <c:v>0.29</c:v>
                </c:pt>
                <c:pt idx="15">
                  <c:v>0.07</c:v>
                </c:pt>
                <c:pt idx="16">
                  <c:v>0.14</c:v>
                </c:pt>
                <c:pt idx="17">
                  <c:v>0.08</c:v>
                </c:pt>
                <c:pt idx="18">
                  <c:v>0.13</c:v>
                </c:pt>
                <c:pt idx="19">
                  <c:v>0.06</c:v>
                </c:pt>
                <c:pt idx="20">
                  <c:v>0.15</c:v>
                </c:pt>
                <c:pt idx="21">
                  <c:v>0.18</c:v>
                </c:pt>
                <c:pt idx="22">
                  <c:v>0.23</c:v>
                </c:pt>
                <c:pt idx="23">
                  <c:v>0.19</c:v>
                </c:pt>
                <c:pt idx="24">
                  <c:v>0.28</c:v>
                </c:pt>
                <c:pt idx="25">
                  <c:v>0.05</c:v>
                </c:pt>
                <c:pt idx="26">
                  <c:v>0.02</c:v>
                </c:pt>
                <c:pt idx="27">
                  <c:v>0.11</c:v>
                </c:pt>
                <c:pt idx="28">
                  <c:v>0.16</c:v>
                </c:pt>
                <c:pt idx="29">
                  <c:v>0.3</c:v>
                </c:pt>
                <c:pt idx="30">
                  <c:v>0</c:v>
                </c:pt>
              </c:strCache>
            </c:strRef>
          </c:cat>
          <c:val>
            <c:numRef>
              <c:f>discount!$B$2:$B$33</c:f>
              <c:numCache>
                <c:formatCode>General</c:formatCode>
                <c:ptCount val="31"/>
                <c:pt idx="0">
                  <c:v>44</c:v>
                </c:pt>
                <c:pt idx="1">
                  <c:v>42</c:v>
                </c:pt>
                <c:pt idx="2">
                  <c:v>42</c:v>
                </c:pt>
                <c:pt idx="3">
                  <c:v>40</c:v>
                </c:pt>
                <c:pt idx="4">
                  <c:v>39</c:v>
                </c:pt>
                <c:pt idx="5">
                  <c:v>39</c:v>
                </c:pt>
                <c:pt idx="6">
                  <c:v>39</c:v>
                </c:pt>
                <c:pt idx="7">
                  <c:v>39</c:v>
                </c:pt>
                <c:pt idx="8">
                  <c:v>38</c:v>
                </c:pt>
                <c:pt idx="9">
                  <c:v>38</c:v>
                </c:pt>
                <c:pt idx="10">
                  <c:v>37</c:v>
                </c:pt>
                <c:pt idx="11">
                  <c:v>37</c:v>
                </c:pt>
                <c:pt idx="12">
                  <c:v>37</c:v>
                </c:pt>
                <c:pt idx="13">
                  <c:v>33</c:v>
                </c:pt>
                <c:pt idx="14">
                  <c:v>33</c:v>
                </c:pt>
                <c:pt idx="15">
                  <c:v>33</c:v>
                </c:pt>
                <c:pt idx="16">
                  <c:v>31</c:v>
                </c:pt>
                <c:pt idx="17">
                  <c:v>31</c:v>
                </c:pt>
                <c:pt idx="18">
                  <c:v>31</c:v>
                </c:pt>
                <c:pt idx="19">
                  <c:v>31</c:v>
                </c:pt>
                <c:pt idx="20">
                  <c:v>29</c:v>
                </c:pt>
                <c:pt idx="21">
                  <c:v>28</c:v>
                </c:pt>
                <c:pt idx="22">
                  <c:v>28</c:v>
                </c:pt>
                <c:pt idx="23">
                  <c:v>27</c:v>
                </c:pt>
                <c:pt idx="24">
                  <c:v>27</c:v>
                </c:pt>
                <c:pt idx="25">
                  <c:v>26</c:v>
                </c:pt>
                <c:pt idx="26">
                  <c:v>24</c:v>
                </c:pt>
                <c:pt idx="27">
                  <c:v>22</c:v>
                </c:pt>
                <c:pt idx="28">
                  <c:v>21</c:v>
                </c:pt>
                <c:pt idx="29">
                  <c:v>18</c:v>
                </c:pt>
                <c:pt idx="30">
                  <c:v>16</c:v>
                </c:pt>
              </c:numCache>
            </c:numRef>
          </c:val>
          <c:extLst>
            <c:ext xmlns:c16="http://schemas.microsoft.com/office/drawing/2014/chart" uri="{C3380CC4-5D6E-409C-BE32-E72D297353CC}">
              <c16:uniqueId val="{00000000-B50D-4169-8E75-42CC85439B6C}"/>
            </c:ext>
          </c:extLst>
        </c:ser>
        <c:dLbls>
          <c:showLegendKey val="0"/>
          <c:showVal val="0"/>
          <c:showCatName val="0"/>
          <c:showSerName val="0"/>
          <c:showPercent val="0"/>
          <c:showBubbleSize val="0"/>
        </c:dLbls>
        <c:gapWidth val="219"/>
        <c:overlap val="-27"/>
        <c:axId val="1542519040"/>
        <c:axId val="1299527984"/>
      </c:barChart>
      <c:catAx>
        <c:axId val="154251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27984"/>
        <c:crosses val="autoZero"/>
        <c:auto val="1"/>
        <c:lblAlgn val="ctr"/>
        <c:lblOffset val="100"/>
        <c:noMultiLvlLbl val="0"/>
      </c:catAx>
      <c:valAx>
        <c:axId val="129952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519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[sales_data.xlsm]discount!PivotTable19</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discount!$E$1</c:f>
              <c:strCache>
                <c:ptCount val="1"/>
                <c:pt idx="0">
                  <c:v>Total</c:v>
                </c:pt>
              </c:strCache>
            </c:strRef>
          </c:tx>
          <c:spPr>
            <a:solidFill>
              <a:schemeClr val="accent1"/>
            </a:solidFill>
            <a:ln>
              <a:noFill/>
            </a:ln>
            <a:effectLst/>
          </c:spPr>
          <c:invertIfNegative val="0"/>
          <c:cat>
            <c:strRef>
              <c:f>discount!$D$2:$D$33</c:f>
              <c:strCache>
                <c:ptCount val="31"/>
                <c:pt idx="0">
                  <c:v>0.01</c:v>
                </c:pt>
                <c:pt idx="1">
                  <c:v>0.24</c:v>
                </c:pt>
                <c:pt idx="2">
                  <c:v>0.1</c:v>
                </c:pt>
                <c:pt idx="3">
                  <c:v>0.04</c:v>
                </c:pt>
                <c:pt idx="4">
                  <c:v>0.25</c:v>
                </c:pt>
                <c:pt idx="5">
                  <c:v>0.22</c:v>
                </c:pt>
                <c:pt idx="6">
                  <c:v>0.12</c:v>
                </c:pt>
                <c:pt idx="7">
                  <c:v>0.13</c:v>
                </c:pt>
                <c:pt idx="8">
                  <c:v>0.09</c:v>
                </c:pt>
                <c:pt idx="9">
                  <c:v>0.29</c:v>
                </c:pt>
                <c:pt idx="10">
                  <c:v>0.17</c:v>
                </c:pt>
                <c:pt idx="11">
                  <c:v>0.27</c:v>
                </c:pt>
                <c:pt idx="12">
                  <c:v>0.08</c:v>
                </c:pt>
                <c:pt idx="13">
                  <c:v>0.26</c:v>
                </c:pt>
                <c:pt idx="14">
                  <c:v>0.18</c:v>
                </c:pt>
                <c:pt idx="15">
                  <c:v>0.14</c:v>
                </c:pt>
                <c:pt idx="16">
                  <c:v>0.06</c:v>
                </c:pt>
                <c:pt idx="17">
                  <c:v>0.05</c:v>
                </c:pt>
                <c:pt idx="18">
                  <c:v>0.03</c:v>
                </c:pt>
                <c:pt idx="19">
                  <c:v>0.21</c:v>
                </c:pt>
                <c:pt idx="20">
                  <c:v>0.07</c:v>
                </c:pt>
                <c:pt idx="21">
                  <c:v>0.2</c:v>
                </c:pt>
                <c:pt idx="22">
                  <c:v>0.19</c:v>
                </c:pt>
                <c:pt idx="23">
                  <c:v>0.23</c:v>
                </c:pt>
                <c:pt idx="24">
                  <c:v>0.28</c:v>
                </c:pt>
                <c:pt idx="25">
                  <c:v>0.15</c:v>
                </c:pt>
                <c:pt idx="26">
                  <c:v>0.11</c:v>
                </c:pt>
                <c:pt idx="27">
                  <c:v>0.3</c:v>
                </c:pt>
                <c:pt idx="28">
                  <c:v>0.02</c:v>
                </c:pt>
                <c:pt idx="29">
                  <c:v>0.16</c:v>
                </c:pt>
                <c:pt idx="30">
                  <c:v>0</c:v>
                </c:pt>
              </c:strCache>
            </c:strRef>
          </c:cat>
          <c:val>
            <c:numRef>
              <c:f>discount!$E$2:$E$33</c:f>
              <c:numCache>
                <c:formatCode>_("$"* #,##0_);_("$"* \(#,##0\);_("$"* "-"??_);_(@_)</c:formatCode>
                <c:ptCount val="31"/>
                <c:pt idx="0">
                  <c:v>300542.24999999854</c:v>
                </c:pt>
                <c:pt idx="1">
                  <c:v>297127.70999999862</c:v>
                </c:pt>
                <c:pt idx="2">
                  <c:v>274945.06999999838</c:v>
                </c:pt>
                <c:pt idx="3">
                  <c:v>267039.99999999872</c:v>
                </c:pt>
                <c:pt idx="4">
                  <c:v>264914.08999999939</c:v>
                </c:pt>
                <c:pt idx="5">
                  <c:v>262858.67999999929</c:v>
                </c:pt>
                <c:pt idx="6">
                  <c:v>240274.90999999916</c:v>
                </c:pt>
                <c:pt idx="7">
                  <c:v>239310.46999999858</c:v>
                </c:pt>
                <c:pt idx="8">
                  <c:v>237813.08999999927</c:v>
                </c:pt>
                <c:pt idx="9">
                  <c:v>237116.43999999965</c:v>
                </c:pt>
                <c:pt idx="10">
                  <c:v>234142.03999999905</c:v>
                </c:pt>
                <c:pt idx="11">
                  <c:v>232171.7399999988</c:v>
                </c:pt>
                <c:pt idx="12">
                  <c:v>229806.78999999919</c:v>
                </c:pt>
                <c:pt idx="13">
                  <c:v>224551.03999999972</c:v>
                </c:pt>
                <c:pt idx="14">
                  <c:v>219343.28999999899</c:v>
                </c:pt>
                <c:pt idx="15">
                  <c:v>218655.76999999859</c:v>
                </c:pt>
                <c:pt idx="16">
                  <c:v>216340.58999999912</c:v>
                </c:pt>
                <c:pt idx="17">
                  <c:v>208840.89999999915</c:v>
                </c:pt>
                <c:pt idx="18">
                  <c:v>208014.21999999968</c:v>
                </c:pt>
                <c:pt idx="19">
                  <c:v>203300.53999999838</c:v>
                </c:pt>
                <c:pt idx="20">
                  <c:v>195497.21999999904</c:v>
                </c:pt>
                <c:pt idx="21">
                  <c:v>193203.29999999929</c:v>
                </c:pt>
                <c:pt idx="22">
                  <c:v>175674.27999999991</c:v>
                </c:pt>
                <c:pt idx="23">
                  <c:v>170685.15999999919</c:v>
                </c:pt>
                <c:pt idx="24">
                  <c:v>170397.97999999989</c:v>
                </c:pt>
                <c:pt idx="25">
                  <c:v>162113.81999999975</c:v>
                </c:pt>
                <c:pt idx="26">
                  <c:v>138309.99999999907</c:v>
                </c:pt>
                <c:pt idx="27">
                  <c:v>126114.50999999998</c:v>
                </c:pt>
                <c:pt idx="28">
                  <c:v>123133.0299999998</c:v>
                </c:pt>
                <c:pt idx="29">
                  <c:v>114762.85999999933</c:v>
                </c:pt>
                <c:pt idx="30">
                  <c:v>100845.27999999962</c:v>
                </c:pt>
              </c:numCache>
            </c:numRef>
          </c:val>
          <c:extLst>
            <c:ext xmlns:c16="http://schemas.microsoft.com/office/drawing/2014/chart" uri="{C3380CC4-5D6E-409C-BE32-E72D297353CC}">
              <c16:uniqueId val="{00000000-93AA-4B46-96AE-C328AF3A5D1F}"/>
            </c:ext>
          </c:extLst>
        </c:ser>
        <c:dLbls>
          <c:showLegendKey val="0"/>
          <c:showVal val="0"/>
          <c:showCatName val="0"/>
          <c:showSerName val="0"/>
          <c:showPercent val="0"/>
          <c:showBubbleSize val="0"/>
        </c:dLbls>
        <c:gapWidth val="219"/>
        <c:overlap val="-27"/>
        <c:axId val="1542497696"/>
        <c:axId val="1299550064"/>
      </c:barChart>
      <c:catAx>
        <c:axId val="154249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99550064"/>
        <c:crosses val="autoZero"/>
        <c:auto val="1"/>
        <c:lblAlgn val="ctr"/>
        <c:lblOffset val="100"/>
        <c:noMultiLvlLbl val="0"/>
      </c:catAx>
      <c:valAx>
        <c:axId val="129955006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497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[sales_data.xlsm]category!PivotTable14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category!$B$1</c:f>
              <c:strCache>
                <c:ptCount val="1"/>
                <c:pt idx="0">
                  <c:v>Total</c:v>
                </c:pt>
              </c:strCache>
            </c:strRef>
          </c:tx>
          <c:spPr>
            <a:solidFill>
              <a:schemeClr val="accent1"/>
            </a:solidFill>
            <a:ln>
              <a:noFill/>
            </a:ln>
            <a:effectLst/>
          </c:spPr>
          <c:invertIfNegative val="0"/>
          <c:cat>
            <c:strRef>
              <c:f>category!$A$2:$A$5</c:f>
              <c:strCache>
                <c:ptCount val="4"/>
                <c:pt idx="0">
                  <c:v>Clothing</c:v>
                </c:pt>
                <c:pt idx="1">
                  <c:v>Electronics</c:v>
                </c:pt>
                <c:pt idx="2">
                  <c:v>Food</c:v>
                </c:pt>
                <c:pt idx="3">
                  <c:v>Furniture</c:v>
                </c:pt>
              </c:strCache>
            </c:strRef>
          </c:cat>
          <c:val>
            <c:numRef>
              <c:f>category!$B$2:$B$5</c:f>
              <c:numCache>
                <c:formatCode>0.00%</c:formatCode>
                <c:ptCount val="4"/>
                <c:pt idx="0">
                  <c:v>0.26800000000000002</c:v>
                </c:pt>
                <c:pt idx="1">
                  <c:v>0.246</c:v>
                </c:pt>
                <c:pt idx="2">
                  <c:v>0.22600000000000001</c:v>
                </c:pt>
                <c:pt idx="3">
                  <c:v>0.26</c:v>
                </c:pt>
              </c:numCache>
            </c:numRef>
          </c:val>
          <c:extLst>
            <c:ext xmlns:c16="http://schemas.microsoft.com/office/drawing/2014/chart" uri="{C3380CC4-5D6E-409C-BE32-E72D297353CC}">
              <c16:uniqueId val="{00000000-8D03-4B84-9FEB-5A7858705EC1}"/>
            </c:ext>
          </c:extLst>
        </c:ser>
        <c:dLbls>
          <c:showLegendKey val="0"/>
          <c:showVal val="0"/>
          <c:showCatName val="0"/>
          <c:showSerName val="0"/>
          <c:showPercent val="0"/>
          <c:showBubbleSize val="0"/>
        </c:dLbls>
        <c:gapWidth val="219"/>
        <c:overlap val="-27"/>
        <c:axId val="434981551"/>
        <c:axId val="1299467024"/>
      </c:barChart>
      <c:catAx>
        <c:axId val="43498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67024"/>
        <c:crosses val="autoZero"/>
        <c:auto val="1"/>
        <c:lblAlgn val="ctr"/>
        <c:lblOffset val="100"/>
        <c:noMultiLvlLbl val="0"/>
      </c:catAx>
      <c:valAx>
        <c:axId val="1299467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81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[sales_data.xlsm]category!PivotTable15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for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category!$I$1</c:f>
              <c:strCache>
                <c:ptCount val="1"/>
                <c:pt idx="0">
                  <c:v>Total</c:v>
                </c:pt>
              </c:strCache>
            </c:strRef>
          </c:tx>
          <c:spPr>
            <a:solidFill>
              <a:schemeClr val="accent1"/>
            </a:solidFill>
            <a:ln>
              <a:noFill/>
            </a:ln>
            <a:effectLst/>
          </c:spPr>
          <c:invertIfNegative val="0"/>
          <c:cat>
            <c:strRef>
              <c:f>category!$H$2:$H$5</c:f>
              <c:strCache>
                <c:ptCount val="4"/>
                <c:pt idx="0">
                  <c:v>Clothing</c:v>
                </c:pt>
                <c:pt idx="1">
                  <c:v>Electronics</c:v>
                </c:pt>
                <c:pt idx="2">
                  <c:v>Food</c:v>
                </c:pt>
                <c:pt idx="3">
                  <c:v>Furniture</c:v>
                </c:pt>
              </c:strCache>
            </c:strRef>
          </c:cat>
          <c:val>
            <c:numRef>
              <c:f>category!$I$2:$I$5</c:f>
              <c:numCache>
                <c:formatCode>_("$"* #,##0_);_("$"* \(#,##0\);_("$"* "-"??_);_(@_)</c:formatCode>
                <c:ptCount val="4"/>
                <c:pt idx="0">
                  <c:v>1712957.7999999931</c:v>
                </c:pt>
                <c:pt idx="1">
                  <c:v>1574320.0599999935</c:v>
                </c:pt>
                <c:pt idx="2">
                  <c:v>1421108.0499999952</c:v>
                </c:pt>
                <c:pt idx="3">
                  <c:v>1779461.1599999934</c:v>
                </c:pt>
              </c:numCache>
            </c:numRef>
          </c:val>
          <c:extLst>
            <c:ext xmlns:c16="http://schemas.microsoft.com/office/drawing/2014/chart" uri="{C3380CC4-5D6E-409C-BE32-E72D297353CC}">
              <c16:uniqueId val="{00000000-494E-4A5C-9891-41AF0F0BA017}"/>
            </c:ext>
          </c:extLst>
        </c:ser>
        <c:dLbls>
          <c:showLegendKey val="0"/>
          <c:showVal val="0"/>
          <c:showCatName val="0"/>
          <c:showSerName val="0"/>
          <c:showPercent val="0"/>
          <c:showBubbleSize val="0"/>
        </c:dLbls>
        <c:gapWidth val="219"/>
        <c:overlap val="-27"/>
        <c:axId val="434945359"/>
        <c:axId val="1299520304"/>
      </c:barChart>
      <c:catAx>
        <c:axId val="43494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20304"/>
        <c:crosses val="autoZero"/>
        <c:auto val="1"/>
        <c:lblAlgn val="ctr"/>
        <c:lblOffset val="100"/>
        <c:noMultiLvlLbl val="0"/>
      </c:catAx>
      <c:valAx>
        <c:axId val="12995203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45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[sales_data.xlsm]category!PivotTable16</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category!$I$9:$I$10</c:f>
              <c:strCache>
                <c:ptCount val="1"/>
                <c:pt idx="0">
                  <c:v>Bank Transfer</c:v>
                </c:pt>
              </c:strCache>
            </c:strRef>
          </c:tx>
          <c:spPr>
            <a:solidFill>
              <a:schemeClr val="accent1"/>
            </a:solidFill>
            <a:ln>
              <a:noFill/>
            </a:ln>
            <a:effectLst/>
          </c:spPr>
          <c:invertIfNegative val="0"/>
          <c:cat>
            <c:strRef>
              <c:f>category!$H$11:$H$14</c:f>
              <c:strCache>
                <c:ptCount val="4"/>
                <c:pt idx="0">
                  <c:v>Clothing</c:v>
                </c:pt>
                <c:pt idx="1">
                  <c:v>Electronics</c:v>
                </c:pt>
                <c:pt idx="2">
                  <c:v>Food</c:v>
                </c:pt>
                <c:pt idx="3">
                  <c:v>Furniture</c:v>
                </c:pt>
              </c:strCache>
            </c:strRef>
          </c:cat>
          <c:val>
            <c:numRef>
              <c:f>category!$I$11:$I$14</c:f>
              <c:numCache>
                <c:formatCode>General</c:formatCode>
                <c:ptCount val="4"/>
                <c:pt idx="0">
                  <c:v>93</c:v>
                </c:pt>
                <c:pt idx="1">
                  <c:v>79</c:v>
                </c:pt>
                <c:pt idx="2">
                  <c:v>79</c:v>
                </c:pt>
                <c:pt idx="3">
                  <c:v>91</c:v>
                </c:pt>
              </c:numCache>
            </c:numRef>
          </c:val>
          <c:extLst>
            <c:ext xmlns:c16="http://schemas.microsoft.com/office/drawing/2014/chart" uri="{C3380CC4-5D6E-409C-BE32-E72D297353CC}">
              <c16:uniqueId val="{00000000-908F-4F0D-A9BE-68AC49EA2976}"/>
            </c:ext>
          </c:extLst>
        </c:ser>
        <c:ser>
          <c:idx val="1"/>
          <c:order val="1"/>
          <c:tx>
            <c:strRef>
              <c:f>category!$J$9:$J$10</c:f>
              <c:strCache>
                <c:ptCount val="1"/>
                <c:pt idx="0">
                  <c:v>Cash</c:v>
                </c:pt>
              </c:strCache>
            </c:strRef>
          </c:tx>
          <c:spPr>
            <a:solidFill>
              <a:schemeClr val="accent2"/>
            </a:solidFill>
            <a:ln>
              <a:noFill/>
            </a:ln>
            <a:effectLst/>
          </c:spPr>
          <c:invertIfNegative val="0"/>
          <c:cat>
            <c:strRef>
              <c:f>category!$H$11:$H$14</c:f>
              <c:strCache>
                <c:ptCount val="4"/>
                <c:pt idx="0">
                  <c:v>Clothing</c:v>
                </c:pt>
                <c:pt idx="1">
                  <c:v>Electronics</c:v>
                </c:pt>
                <c:pt idx="2">
                  <c:v>Food</c:v>
                </c:pt>
                <c:pt idx="3">
                  <c:v>Furniture</c:v>
                </c:pt>
              </c:strCache>
            </c:strRef>
          </c:cat>
          <c:val>
            <c:numRef>
              <c:f>category!$J$11:$J$14</c:f>
              <c:numCache>
                <c:formatCode>General</c:formatCode>
                <c:ptCount val="4"/>
                <c:pt idx="0">
                  <c:v>78</c:v>
                </c:pt>
                <c:pt idx="1">
                  <c:v>70</c:v>
                </c:pt>
                <c:pt idx="2">
                  <c:v>78</c:v>
                </c:pt>
                <c:pt idx="3">
                  <c:v>87</c:v>
                </c:pt>
              </c:numCache>
            </c:numRef>
          </c:val>
          <c:extLst>
            <c:ext xmlns:c16="http://schemas.microsoft.com/office/drawing/2014/chart" uri="{C3380CC4-5D6E-409C-BE32-E72D297353CC}">
              <c16:uniqueId val="{00000001-908F-4F0D-A9BE-68AC49EA2976}"/>
            </c:ext>
          </c:extLst>
        </c:ser>
        <c:ser>
          <c:idx val="2"/>
          <c:order val="2"/>
          <c:tx>
            <c:strRef>
              <c:f>category!$K$9:$K$10</c:f>
              <c:strCache>
                <c:ptCount val="1"/>
                <c:pt idx="0">
                  <c:v>Credit Card</c:v>
                </c:pt>
              </c:strCache>
            </c:strRef>
          </c:tx>
          <c:spPr>
            <a:solidFill>
              <a:schemeClr val="accent3"/>
            </a:solidFill>
            <a:ln>
              <a:noFill/>
            </a:ln>
            <a:effectLst/>
          </c:spPr>
          <c:invertIfNegative val="0"/>
          <c:cat>
            <c:strRef>
              <c:f>category!$H$11:$H$14</c:f>
              <c:strCache>
                <c:ptCount val="4"/>
                <c:pt idx="0">
                  <c:v>Clothing</c:v>
                </c:pt>
                <c:pt idx="1">
                  <c:v>Electronics</c:v>
                </c:pt>
                <c:pt idx="2">
                  <c:v>Food</c:v>
                </c:pt>
                <c:pt idx="3">
                  <c:v>Furniture</c:v>
                </c:pt>
              </c:strCache>
            </c:strRef>
          </c:cat>
          <c:val>
            <c:numRef>
              <c:f>category!$K$11:$K$14</c:f>
              <c:numCache>
                <c:formatCode>General</c:formatCode>
                <c:ptCount val="4"/>
                <c:pt idx="0">
                  <c:v>97</c:v>
                </c:pt>
                <c:pt idx="1">
                  <c:v>97</c:v>
                </c:pt>
                <c:pt idx="2">
                  <c:v>69</c:v>
                </c:pt>
                <c:pt idx="3">
                  <c:v>82</c:v>
                </c:pt>
              </c:numCache>
            </c:numRef>
          </c:val>
          <c:extLst>
            <c:ext xmlns:c16="http://schemas.microsoft.com/office/drawing/2014/chart" uri="{C3380CC4-5D6E-409C-BE32-E72D297353CC}">
              <c16:uniqueId val="{00000002-908F-4F0D-A9BE-68AC49EA2976}"/>
            </c:ext>
          </c:extLst>
        </c:ser>
        <c:dLbls>
          <c:showLegendKey val="0"/>
          <c:showVal val="0"/>
          <c:showCatName val="0"/>
          <c:showSerName val="0"/>
          <c:showPercent val="0"/>
          <c:showBubbleSize val="0"/>
        </c:dLbls>
        <c:gapWidth val="219"/>
        <c:overlap val="-27"/>
        <c:axId val="434975519"/>
        <c:axId val="1299470864"/>
      </c:barChart>
      <c:catAx>
        <c:axId val="43497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70864"/>
        <c:crosses val="autoZero"/>
        <c:auto val="1"/>
        <c:lblAlgn val="ctr"/>
        <c:lblOffset val="100"/>
        <c:noMultiLvlLbl val="0"/>
      </c:catAx>
      <c:valAx>
        <c:axId val="1299470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75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[sales_data.xlsm]category!PivotTable14</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category!$B$1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2E0-4F01-98BD-7701EF9DE7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2E0-4F01-98BD-7701EF9DE7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2E0-4F01-98BD-7701EF9DE70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2E0-4F01-98BD-7701EF9DE709}"/>
              </c:ext>
            </c:extLst>
          </c:dPt>
          <c:cat>
            <c:strRef>
              <c:f>category!$A$2:$A$5</c:f>
              <c:strCache>
                <c:ptCount val="4"/>
                <c:pt idx="0">
                  <c:v>Clothing</c:v>
                </c:pt>
                <c:pt idx="1">
                  <c:v>Electronics</c:v>
                </c:pt>
                <c:pt idx="2">
                  <c:v>Food</c:v>
                </c:pt>
                <c:pt idx="3">
                  <c:v>Furniture</c:v>
                </c:pt>
              </c:strCache>
            </c:strRef>
          </c:cat>
          <c:val>
            <c:numRef>
              <c:f>category!$B$2:$B$5</c:f>
              <c:numCache>
                <c:formatCode>0.00%</c:formatCode>
                <c:ptCount val="4"/>
                <c:pt idx="0">
                  <c:v>0.26800000000000002</c:v>
                </c:pt>
                <c:pt idx="1">
                  <c:v>0.246</c:v>
                </c:pt>
                <c:pt idx="2">
                  <c:v>0.22600000000000001</c:v>
                </c:pt>
                <c:pt idx="3">
                  <c:v>0.26</c:v>
                </c:pt>
              </c:numCache>
            </c:numRef>
          </c:val>
          <c:extLst>
            <c:ext xmlns:c16="http://schemas.microsoft.com/office/drawing/2014/chart" uri="{C3380CC4-5D6E-409C-BE32-E72D297353CC}">
              <c16:uniqueId val="{00000000-2A2E-47AA-AD22-4F741DBE3EB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[sales_data.xlsm]region!PivotTable10</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region!$B$1</c:f>
              <c:strCache>
                <c:ptCount val="1"/>
                <c:pt idx="0">
                  <c:v>Total</c:v>
                </c:pt>
              </c:strCache>
            </c:strRef>
          </c:tx>
          <c:spPr>
            <a:solidFill>
              <a:schemeClr val="accent1"/>
            </a:solidFill>
            <a:ln>
              <a:noFill/>
            </a:ln>
            <a:effectLst/>
          </c:spPr>
          <c:invertIfNegative val="0"/>
          <c:cat>
            <c:strRef>
              <c:f>region!$A$2:$A$6</c:f>
              <c:strCache>
                <c:ptCount val="4"/>
                <c:pt idx="0">
                  <c:v>North</c:v>
                </c:pt>
                <c:pt idx="1">
                  <c:v>East</c:v>
                </c:pt>
                <c:pt idx="2">
                  <c:v>West</c:v>
                </c:pt>
                <c:pt idx="3">
                  <c:v>South</c:v>
                </c:pt>
              </c:strCache>
            </c:strRef>
          </c:cat>
          <c:val>
            <c:numRef>
              <c:f>region!$B$2:$B$6</c:f>
              <c:numCache>
                <c:formatCode>0.00%</c:formatCode>
                <c:ptCount val="4"/>
                <c:pt idx="0">
                  <c:v>0.26700000000000002</c:v>
                </c:pt>
                <c:pt idx="1">
                  <c:v>0.26300000000000001</c:v>
                </c:pt>
                <c:pt idx="2">
                  <c:v>0.24399999999999999</c:v>
                </c:pt>
                <c:pt idx="3">
                  <c:v>0.22600000000000001</c:v>
                </c:pt>
              </c:numCache>
            </c:numRef>
          </c:val>
          <c:extLst>
            <c:ext xmlns:c16="http://schemas.microsoft.com/office/drawing/2014/chart" uri="{C3380CC4-5D6E-409C-BE32-E72D297353CC}">
              <c16:uniqueId val="{00000000-492D-4897-A198-CE579B388C39}"/>
            </c:ext>
          </c:extLst>
        </c:ser>
        <c:dLbls>
          <c:showLegendKey val="0"/>
          <c:showVal val="0"/>
          <c:showCatName val="0"/>
          <c:showSerName val="0"/>
          <c:showPercent val="0"/>
          <c:showBubbleSize val="0"/>
        </c:dLbls>
        <c:gapWidth val="219"/>
        <c:overlap val="-27"/>
        <c:axId val="1543535840"/>
        <c:axId val="1299465104"/>
      </c:barChart>
      <c:catAx>
        <c:axId val="1543535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65104"/>
        <c:crosses val="autoZero"/>
        <c:auto val="1"/>
        <c:lblAlgn val="ctr"/>
        <c:lblOffset val="100"/>
        <c:noMultiLvlLbl val="0"/>
      </c:catAx>
      <c:valAx>
        <c:axId val="1299465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535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[sales_data.xlsm]region!PivotTable11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region!$B$8</c:f>
              <c:strCache>
                <c:ptCount val="1"/>
                <c:pt idx="0">
                  <c:v>Total</c:v>
                </c:pt>
              </c:strCache>
            </c:strRef>
          </c:tx>
          <c:spPr>
            <a:solidFill>
              <a:schemeClr val="accent1"/>
            </a:solidFill>
            <a:ln>
              <a:noFill/>
            </a:ln>
            <a:effectLst/>
          </c:spPr>
          <c:invertIfNegative val="0"/>
          <c:cat>
            <c:strRef>
              <c:f>region!$A$9:$A$13</c:f>
              <c:strCache>
                <c:ptCount val="4"/>
                <c:pt idx="0">
                  <c:v>North</c:v>
                </c:pt>
                <c:pt idx="1">
                  <c:v>West</c:v>
                </c:pt>
                <c:pt idx="2">
                  <c:v>East</c:v>
                </c:pt>
                <c:pt idx="3">
                  <c:v>South</c:v>
                </c:pt>
              </c:strCache>
            </c:strRef>
          </c:cat>
          <c:val>
            <c:numRef>
              <c:f>region!$B$9:$B$13</c:f>
              <c:numCache>
                <c:formatCode>_("$"* #,##0_);_("$"* \(#,##0\);_("$"* "-"??_);_(@_)</c:formatCode>
                <c:ptCount val="4"/>
                <c:pt idx="0">
                  <c:v>1661461.1999999941</c:v>
                </c:pt>
                <c:pt idx="1">
                  <c:v>1656091.7699999954</c:v>
                </c:pt>
                <c:pt idx="2">
                  <c:v>1650557.1999999934</c:v>
                </c:pt>
                <c:pt idx="3">
                  <c:v>1519736.8999999929</c:v>
                </c:pt>
              </c:numCache>
            </c:numRef>
          </c:val>
          <c:extLst>
            <c:ext xmlns:c16="http://schemas.microsoft.com/office/drawing/2014/chart" uri="{C3380CC4-5D6E-409C-BE32-E72D297353CC}">
              <c16:uniqueId val="{00000000-6D1F-4C5A-AE58-8AA9EAEAC6B8}"/>
            </c:ext>
          </c:extLst>
        </c:ser>
        <c:dLbls>
          <c:showLegendKey val="0"/>
          <c:showVal val="0"/>
          <c:showCatName val="0"/>
          <c:showSerName val="0"/>
          <c:showPercent val="0"/>
          <c:showBubbleSize val="0"/>
        </c:dLbls>
        <c:gapWidth val="219"/>
        <c:overlap val="-27"/>
        <c:axId val="1697635088"/>
        <c:axId val="1299499664"/>
      </c:barChart>
      <c:catAx>
        <c:axId val="169763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99664"/>
        <c:crosses val="autoZero"/>
        <c:auto val="1"/>
        <c:lblAlgn val="ctr"/>
        <c:lblOffset val="100"/>
        <c:noMultiLvlLbl val="0"/>
      </c:catAx>
      <c:valAx>
        <c:axId val="129949966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635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[sales_data.xlsm]region!PivotTable12</c:name>
    <c:fmtId val="2"/>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region!$B$16:$B$17</c:f>
              <c:strCache>
                <c:ptCount val="1"/>
                <c:pt idx="0">
                  <c:v>East</c:v>
                </c:pt>
              </c:strCache>
            </c:strRef>
          </c:tx>
          <c:spPr>
            <a:ln w="28575" cap="rnd">
              <a:solidFill>
                <a:schemeClr val="accent1"/>
              </a:solidFill>
              <a:round/>
            </a:ln>
            <a:effectLst/>
          </c:spPr>
          <c:marker>
            <c:symbol val="none"/>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region!$B$18:$B$29</c:f>
              <c:numCache>
                <c:formatCode>General</c:formatCode>
                <c:ptCount val="12"/>
                <c:pt idx="0">
                  <c:v>200297.20999999883</c:v>
                </c:pt>
                <c:pt idx="1">
                  <c:v>154390.46999999962</c:v>
                </c:pt>
                <c:pt idx="2">
                  <c:v>139018.03999999951</c:v>
                </c:pt>
                <c:pt idx="3">
                  <c:v>122118.52999999917</c:v>
                </c:pt>
                <c:pt idx="4">
                  <c:v>130995.99999999948</c:v>
                </c:pt>
                <c:pt idx="5">
                  <c:v>156752.80999999936</c:v>
                </c:pt>
                <c:pt idx="6">
                  <c:v>185936.51999999944</c:v>
                </c:pt>
                <c:pt idx="7">
                  <c:v>94445.399999999514</c:v>
                </c:pt>
                <c:pt idx="8">
                  <c:v>105006.72000000003</c:v>
                </c:pt>
                <c:pt idx="9">
                  <c:v>147045.70999999973</c:v>
                </c:pt>
                <c:pt idx="10">
                  <c:v>92024.429999999382</c:v>
                </c:pt>
                <c:pt idx="11">
                  <c:v>122525.3599999993</c:v>
                </c:pt>
              </c:numCache>
            </c:numRef>
          </c:val>
          <c:smooth val="0"/>
          <c:extLst>
            <c:ext xmlns:c16="http://schemas.microsoft.com/office/drawing/2014/chart" uri="{C3380CC4-5D6E-409C-BE32-E72D297353CC}">
              <c16:uniqueId val="{00000000-F810-4AA8-9B03-842BEE05CCDC}"/>
            </c:ext>
          </c:extLst>
        </c:ser>
        <c:ser>
          <c:idx val="1"/>
          <c:order val="1"/>
          <c:tx>
            <c:strRef>
              <c:f>region!$C$16:$C$17</c:f>
              <c:strCache>
                <c:ptCount val="1"/>
                <c:pt idx="0">
                  <c:v>North</c:v>
                </c:pt>
              </c:strCache>
            </c:strRef>
          </c:tx>
          <c:spPr>
            <a:ln w="28575" cap="rnd">
              <a:solidFill>
                <a:schemeClr val="accent2"/>
              </a:solidFill>
              <a:round/>
            </a:ln>
            <a:effectLst/>
          </c:spPr>
          <c:marker>
            <c:symbol val="none"/>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region!$C$18:$C$29</c:f>
              <c:numCache>
                <c:formatCode>General</c:formatCode>
                <c:ptCount val="12"/>
                <c:pt idx="0">
                  <c:v>219899.89999999979</c:v>
                </c:pt>
                <c:pt idx="1">
                  <c:v>160874.85999999952</c:v>
                </c:pt>
                <c:pt idx="2">
                  <c:v>166113.03999999902</c:v>
                </c:pt>
                <c:pt idx="3">
                  <c:v>137887.13999999946</c:v>
                </c:pt>
                <c:pt idx="4">
                  <c:v>130969.84999999932</c:v>
                </c:pt>
                <c:pt idx="5">
                  <c:v>155768.11999999982</c:v>
                </c:pt>
                <c:pt idx="6">
                  <c:v>69147.389999999155</c:v>
                </c:pt>
                <c:pt idx="7">
                  <c:v>142983.56999999951</c:v>
                </c:pt>
                <c:pt idx="8">
                  <c:v>139966.55999999924</c:v>
                </c:pt>
                <c:pt idx="9">
                  <c:v>61368.569999999963</c:v>
                </c:pt>
                <c:pt idx="10">
                  <c:v>137188.18999999898</c:v>
                </c:pt>
                <c:pt idx="11">
                  <c:v>139294.00999999919</c:v>
                </c:pt>
              </c:numCache>
            </c:numRef>
          </c:val>
          <c:smooth val="0"/>
          <c:extLst>
            <c:ext xmlns:c16="http://schemas.microsoft.com/office/drawing/2014/chart" uri="{C3380CC4-5D6E-409C-BE32-E72D297353CC}">
              <c16:uniqueId val="{00000001-F810-4AA8-9B03-842BEE05CCDC}"/>
            </c:ext>
          </c:extLst>
        </c:ser>
        <c:ser>
          <c:idx val="2"/>
          <c:order val="2"/>
          <c:tx>
            <c:strRef>
              <c:f>region!$D$16:$D$17</c:f>
              <c:strCache>
                <c:ptCount val="1"/>
                <c:pt idx="0">
                  <c:v>South</c:v>
                </c:pt>
              </c:strCache>
            </c:strRef>
          </c:tx>
          <c:spPr>
            <a:ln w="28575" cap="rnd">
              <a:solidFill>
                <a:schemeClr val="accent3"/>
              </a:solidFill>
              <a:round/>
            </a:ln>
            <a:effectLst/>
          </c:spPr>
          <c:marker>
            <c:symbol val="none"/>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region!$D$18:$D$29</c:f>
              <c:numCache>
                <c:formatCode>General</c:formatCode>
                <c:ptCount val="12"/>
                <c:pt idx="0">
                  <c:v>149795.68999999933</c:v>
                </c:pt>
                <c:pt idx="1">
                  <c:v>155442.3699999986</c:v>
                </c:pt>
                <c:pt idx="2">
                  <c:v>112265.04999999894</c:v>
                </c:pt>
                <c:pt idx="3">
                  <c:v>141788.88999999998</c:v>
                </c:pt>
                <c:pt idx="4">
                  <c:v>126759.03000000001</c:v>
                </c:pt>
                <c:pt idx="5">
                  <c:v>120717.59999999966</c:v>
                </c:pt>
                <c:pt idx="6">
                  <c:v>168272.26999999859</c:v>
                </c:pt>
                <c:pt idx="7">
                  <c:v>116023.78</c:v>
                </c:pt>
                <c:pt idx="8">
                  <c:v>125604.54999999881</c:v>
                </c:pt>
                <c:pt idx="9">
                  <c:v>75923.109999999564</c:v>
                </c:pt>
                <c:pt idx="10">
                  <c:v>134886.03999999963</c:v>
                </c:pt>
                <c:pt idx="11">
                  <c:v>92258.519999999757</c:v>
                </c:pt>
              </c:numCache>
            </c:numRef>
          </c:val>
          <c:smooth val="0"/>
          <c:extLst>
            <c:ext xmlns:c16="http://schemas.microsoft.com/office/drawing/2014/chart" uri="{C3380CC4-5D6E-409C-BE32-E72D297353CC}">
              <c16:uniqueId val="{00000002-F810-4AA8-9B03-842BEE05CCDC}"/>
            </c:ext>
          </c:extLst>
        </c:ser>
        <c:ser>
          <c:idx val="3"/>
          <c:order val="3"/>
          <c:tx>
            <c:strRef>
              <c:f>region!$E$16:$E$17</c:f>
              <c:strCache>
                <c:ptCount val="1"/>
                <c:pt idx="0">
                  <c:v>West</c:v>
                </c:pt>
              </c:strCache>
            </c:strRef>
          </c:tx>
          <c:spPr>
            <a:ln w="28575" cap="rnd">
              <a:solidFill>
                <a:schemeClr val="accent4"/>
              </a:solidFill>
              <a:round/>
            </a:ln>
            <a:effectLst/>
          </c:spPr>
          <c:marker>
            <c:symbol val="none"/>
          </c:marker>
          <c:cat>
            <c:strRef>
              <c:f>region!$A$18:$A$29</c:f>
              <c:strCache>
                <c:ptCount val="12"/>
                <c:pt idx="0">
                  <c:v>Jan</c:v>
                </c:pt>
                <c:pt idx="1">
                  <c:v>Jun</c:v>
                </c:pt>
                <c:pt idx="2">
                  <c:v>Dec</c:v>
                </c:pt>
                <c:pt idx="3">
                  <c:v>Oct</c:v>
                </c:pt>
                <c:pt idx="4">
                  <c:v>Aug</c:v>
                </c:pt>
                <c:pt idx="5">
                  <c:v>Nov</c:v>
                </c:pt>
                <c:pt idx="6">
                  <c:v>Mar</c:v>
                </c:pt>
                <c:pt idx="7">
                  <c:v>Apr</c:v>
                </c:pt>
                <c:pt idx="8">
                  <c:v>May</c:v>
                </c:pt>
                <c:pt idx="9">
                  <c:v>Feb</c:v>
                </c:pt>
                <c:pt idx="10">
                  <c:v>Sep</c:v>
                </c:pt>
                <c:pt idx="11">
                  <c:v>Jul</c:v>
                </c:pt>
              </c:strCache>
            </c:strRef>
          </c:cat>
          <c:val>
            <c:numRef>
              <c:f>region!$E$18:$E$29</c:f>
              <c:numCache>
                <c:formatCode>General</c:formatCode>
                <c:ptCount val="12"/>
                <c:pt idx="0">
                  <c:v>107771.79999999976</c:v>
                </c:pt>
                <c:pt idx="1">
                  <c:v>135284.49999999971</c:v>
                </c:pt>
                <c:pt idx="2">
                  <c:v>173001.41999999969</c:v>
                </c:pt>
                <c:pt idx="3">
                  <c:v>182885.26999999964</c:v>
                </c:pt>
                <c:pt idx="4">
                  <c:v>169692.81</c:v>
                </c:pt>
                <c:pt idx="5">
                  <c:v>124573.52999999883</c:v>
                </c:pt>
                <c:pt idx="6">
                  <c:v>105275.62999999957</c:v>
                </c:pt>
                <c:pt idx="7">
                  <c:v>142554.06999999966</c:v>
                </c:pt>
                <c:pt idx="8">
                  <c:v>118894.3199999998</c:v>
                </c:pt>
                <c:pt idx="9">
                  <c:v>193715.68999999957</c:v>
                </c:pt>
                <c:pt idx="10">
                  <c:v>108841.85999999986</c:v>
                </c:pt>
                <c:pt idx="11">
                  <c:v>93600.87</c:v>
                </c:pt>
              </c:numCache>
            </c:numRef>
          </c:val>
          <c:smooth val="0"/>
          <c:extLst>
            <c:ext xmlns:c16="http://schemas.microsoft.com/office/drawing/2014/chart" uri="{C3380CC4-5D6E-409C-BE32-E72D297353CC}">
              <c16:uniqueId val="{00000003-F810-4AA8-9B03-842BEE05CCDC}"/>
            </c:ext>
          </c:extLst>
        </c:ser>
        <c:dLbls>
          <c:showLegendKey val="0"/>
          <c:showVal val="0"/>
          <c:showCatName val="0"/>
          <c:showSerName val="0"/>
          <c:showPercent val="0"/>
          <c:showBubbleSize val="0"/>
        </c:dLbls>
        <c:smooth val="0"/>
        <c:axId val="520084991"/>
        <c:axId val="1299504944"/>
      </c:lineChart>
      <c:catAx>
        <c:axId val="52008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504944"/>
        <c:crosses val="autoZero"/>
        <c:auto val="1"/>
        <c:lblAlgn val="ctr"/>
        <c:lblOffset val="100"/>
        <c:noMultiLvlLbl val="0"/>
      </c:catAx>
      <c:valAx>
        <c:axId val="1299504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84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[sales_data.xlsm]region!PivotTable13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region!$B$32:$B$33</c:f>
              <c:strCache>
                <c:ptCount val="1"/>
                <c:pt idx="0">
                  <c:v>Online</c:v>
                </c:pt>
              </c:strCache>
            </c:strRef>
          </c:tx>
          <c:spPr>
            <a:solidFill>
              <a:schemeClr val="accent1"/>
            </a:solidFill>
            <a:ln>
              <a:noFill/>
            </a:ln>
            <a:effectLst/>
          </c:spPr>
          <c:invertIfNegative val="0"/>
          <c:cat>
            <c:strRef>
              <c:f>region!$A$34:$A$38</c:f>
              <c:strCache>
                <c:ptCount val="4"/>
                <c:pt idx="0">
                  <c:v>North</c:v>
                </c:pt>
                <c:pt idx="1">
                  <c:v>East</c:v>
                </c:pt>
                <c:pt idx="2">
                  <c:v>West</c:v>
                </c:pt>
                <c:pt idx="3">
                  <c:v>South</c:v>
                </c:pt>
              </c:strCache>
            </c:strRef>
          </c:cat>
          <c:val>
            <c:numRef>
              <c:f>region!$B$34:$B$38</c:f>
              <c:numCache>
                <c:formatCode>General</c:formatCode>
                <c:ptCount val="4"/>
                <c:pt idx="0">
                  <c:v>130</c:v>
                </c:pt>
                <c:pt idx="1">
                  <c:v>121</c:v>
                </c:pt>
                <c:pt idx="2">
                  <c:v>125</c:v>
                </c:pt>
                <c:pt idx="3">
                  <c:v>112</c:v>
                </c:pt>
              </c:numCache>
            </c:numRef>
          </c:val>
          <c:extLst>
            <c:ext xmlns:c16="http://schemas.microsoft.com/office/drawing/2014/chart" uri="{C3380CC4-5D6E-409C-BE32-E72D297353CC}">
              <c16:uniqueId val="{00000000-BECC-4A76-9CFA-EC5E41A15EF9}"/>
            </c:ext>
          </c:extLst>
        </c:ser>
        <c:ser>
          <c:idx val="1"/>
          <c:order val="1"/>
          <c:tx>
            <c:strRef>
              <c:f>region!$C$32:$C$33</c:f>
              <c:strCache>
                <c:ptCount val="1"/>
                <c:pt idx="0">
                  <c:v>Retail</c:v>
                </c:pt>
              </c:strCache>
            </c:strRef>
          </c:tx>
          <c:spPr>
            <a:solidFill>
              <a:schemeClr val="accent2"/>
            </a:solidFill>
            <a:ln>
              <a:noFill/>
            </a:ln>
            <a:effectLst/>
          </c:spPr>
          <c:invertIfNegative val="0"/>
          <c:cat>
            <c:strRef>
              <c:f>region!$A$34:$A$38</c:f>
              <c:strCache>
                <c:ptCount val="4"/>
                <c:pt idx="0">
                  <c:v>North</c:v>
                </c:pt>
                <c:pt idx="1">
                  <c:v>East</c:v>
                </c:pt>
                <c:pt idx="2">
                  <c:v>West</c:v>
                </c:pt>
                <c:pt idx="3">
                  <c:v>South</c:v>
                </c:pt>
              </c:strCache>
            </c:strRef>
          </c:cat>
          <c:val>
            <c:numRef>
              <c:f>region!$C$34:$C$38</c:f>
              <c:numCache>
                <c:formatCode>General</c:formatCode>
                <c:ptCount val="4"/>
                <c:pt idx="0">
                  <c:v>137</c:v>
                </c:pt>
                <c:pt idx="1">
                  <c:v>142</c:v>
                </c:pt>
                <c:pt idx="2">
                  <c:v>119</c:v>
                </c:pt>
                <c:pt idx="3">
                  <c:v>114</c:v>
                </c:pt>
              </c:numCache>
            </c:numRef>
          </c:val>
          <c:extLst>
            <c:ext xmlns:c16="http://schemas.microsoft.com/office/drawing/2014/chart" uri="{C3380CC4-5D6E-409C-BE32-E72D297353CC}">
              <c16:uniqueId val="{00000001-BECC-4A76-9CFA-EC5E41A15EF9}"/>
            </c:ext>
          </c:extLst>
        </c:ser>
        <c:dLbls>
          <c:showLegendKey val="0"/>
          <c:showVal val="0"/>
          <c:showCatName val="0"/>
          <c:showSerName val="0"/>
          <c:showPercent val="0"/>
          <c:showBubbleSize val="0"/>
        </c:dLbls>
        <c:gapWidth val="219"/>
        <c:overlap val="-27"/>
        <c:axId val="1670346528"/>
        <c:axId val="1299463184"/>
      </c:barChart>
      <c:catAx>
        <c:axId val="167034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63184"/>
        <c:crosses val="autoZero"/>
        <c:auto val="1"/>
        <c:lblAlgn val="ctr"/>
        <c:lblOffset val="100"/>
        <c:noMultiLvlLbl val="0"/>
      </c:catAx>
      <c:valAx>
        <c:axId val="129946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34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[sales_data.xlsm]region!PivotTable10</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region!$B$1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FDD-4E6F-A39F-624C880A12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FDD-4E6F-A39F-624C880A12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FDD-4E6F-A39F-624C880A12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FDD-4E6F-A39F-624C880A1246}"/>
              </c:ext>
            </c:extLst>
          </c:dPt>
          <c:cat>
            <c:strRef>
              <c:f>region!$A$2:$A$6</c:f>
              <c:strCache>
                <c:ptCount val="4"/>
                <c:pt idx="0">
                  <c:v>North</c:v>
                </c:pt>
                <c:pt idx="1">
                  <c:v>East</c:v>
                </c:pt>
                <c:pt idx="2">
                  <c:v>West</c:v>
                </c:pt>
                <c:pt idx="3">
                  <c:v>South</c:v>
                </c:pt>
              </c:strCache>
            </c:strRef>
          </c:cat>
          <c:val>
            <c:numRef>
              <c:f>region!$B$2:$B$6</c:f>
              <c:numCache>
                <c:formatCode>0.00%</c:formatCode>
                <c:ptCount val="4"/>
                <c:pt idx="0">
                  <c:v>0.26700000000000002</c:v>
                </c:pt>
                <c:pt idx="1">
                  <c:v>0.26300000000000001</c:v>
                </c:pt>
                <c:pt idx="2">
                  <c:v>0.24399999999999999</c:v>
                </c:pt>
                <c:pt idx="3">
                  <c:v>0.22600000000000001</c:v>
                </c:pt>
              </c:numCache>
            </c:numRef>
          </c:val>
          <c:extLst>
            <c:ext xmlns:c16="http://schemas.microsoft.com/office/drawing/2014/chart" uri="{C3380CC4-5D6E-409C-BE32-E72D297353CC}">
              <c16:uniqueId val="{00000000-183C-4071-B4EE-246960FE8AD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Reversed" id="23">
  <a:schemeClr val="accent3"/>
</cs:colorStyle>
</file>

<file path=xl/charts/colors5.xml><?xml version="1.0" encoding="utf-8"?>
<cs:colorStyle xmlns:cs="http://schemas.microsoft.com/office/drawing/2012/chartStyle" xmlns:a="http://schemas.openxmlformats.org/drawingml/2006/main" meth="withinLinearReversed" id="23">
  <a:schemeClr val="accent3"/>
</cs:colorStyle>
</file>

<file path=xl/charts/colors6.xml><?xml version="1.0" encoding="utf-8"?>
<cs:colorStyle xmlns:cs="http://schemas.microsoft.com/office/drawing/2012/chartStyle" xmlns:a="http://schemas.openxmlformats.org/drawingml/2006/main" meth="withinLinearReversed" id="25">
  <a:schemeClr val="accent5"/>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colors10.xml><?xml version="1.0" encoding="utf-8"?>
<cs:colorStyle xmlns:cs="http://schemas.microsoft.com/office/drawing/2012/chartStyle" xmlns:a="http://schemas.openxmlformats.org/drawingml/2006/main" meth="withinLinearReversed" id="25">
  <a:schemeClr val="accent5"/>
</cs:colorStyle>
</file>

<file path=xl/charts/colors11.xml><?xml version="1.0" encoding="utf-8"?>
<cs:colorStyle xmlns:cs="http://schemas.microsoft.com/office/drawing/2012/chartStyle" xmlns:a="http://schemas.openxmlformats.org/drawingml/2006/main" meth="withinLinearReversed" id="25">
  <a:schemeClr val="accent5"/>
</cs:colorStyle>
</file>

<file path=xl/charts/colors12.xml><?xml version="1.0" encoding="utf-8"?>
<cs:colorStyle xmlns:cs="http://schemas.microsoft.com/office/drawing/2012/chartStyle" xmlns:a="http://schemas.openxmlformats.org/drawingml/2006/main" meth="withinLinearReversed" id="25">
  <a:schemeClr val="accent5"/>
</cs:colorStyle>
</file>

<file path=xl/charts/colors13.xml><?xml version="1.0" encoding="utf-8"?>
<cs:colorStyle xmlns:cs="http://schemas.microsoft.com/office/drawing/2012/chartStyle" xmlns:a="http://schemas.openxmlformats.org/drawingml/2006/main" meth="withinLinearReversed" id="25">
  <a:schemeClr val="accent5"/>
</cs:colorStyle>
</file>

<file path=xl/charts/colors14.xml><?xml version="1.0" encoding="utf-8"?>
<cs:colorStyle xmlns:cs="http://schemas.microsoft.com/office/drawing/2012/chartStyle" xmlns:a="http://schemas.openxmlformats.org/drawingml/2006/main" meth="withinLinearReversed" id="25">
  <a:schemeClr val="accent5"/>
</cs:colorStyle>
</file>

<file path=xl/charts/colors15.xml><?xml version="1.0" encoding="utf-8"?>
<cs:colorStyle xmlns:cs="http://schemas.microsoft.com/office/drawing/2012/chartStyle" xmlns:a="http://schemas.openxmlformats.org/drawingml/2006/main" meth="withinLinearReversed" id="23">
  <a:schemeClr val="accent3"/>
</cs:colorStyle>
</file>

<file path=xl/charts/colors16.xml><?xml version="1.0" encoding="utf-8"?>
<cs:colorStyle xmlns:cs="http://schemas.microsoft.com/office/drawing/2012/chartStyle" xmlns:a="http://schemas.openxmlformats.org/drawingml/2006/main" meth="withinLinearReversed" id="25">
  <a:schemeClr val="accent5"/>
</cs:colorStyle>
</file>

<file path=xl/charts/colors17.xml><?xml version="1.0" encoding="utf-8"?>
<cs:colorStyle xmlns:cs="http://schemas.microsoft.com/office/drawing/2012/chartStyle" xmlns:a="http://schemas.openxmlformats.org/drawingml/2006/main" meth="withinLinearReversed" id="25">
  <a:schemeClr val="accent5"/>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2.png"/><Relationship Id="rId7" Type="http://schemas.openxmlformats.org/officeDocument/2006/relationships/chart" Target="../charts/chart3.xml"/><Relationship Id="rId2" Type="http://schemas.openxmlformats.org/officeDocument/2006/relationships/hyperlink" Target="#'salesrep dashboard'!A1"/><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3.svg"/><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8.xml"/><Relationship Id="rId7"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hyperlink" Target="#'category dashboard'!A1"/><Relationship Id="rId5" Type="http://schemas.openxmlformats.org/officeDocument/2006/relationships/image" Target="../media/image1.png"/><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image" Target="../media/image2.png"/><Relationship Id="rId7" Type="http://schemas.openxmlformats.org/officeDocument/2006/relationships/chart" Target="../charts/chart12.xml"/><Relationship Id="rId2" Type="http://schemas.openxmlformats.org/officeDocument/2006/relationships/hyperlink" Target="#'region dashboard'!A1"/><Relationship Id="rId1" Type="http://schemas.openxmlformats.org/officeDocument/2006/relationships/image" Target="../media/image1.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image" Target="../media/image3.svg"/></Relationships>
</file>

<file path=xl/drawings/_rels/drawing4.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image" Target="../media/image2.png"/><Relationship Id="rId7" Type="http://schemas.openxmlformats.org/officeDocument/2006/relationships/chart" Target="../charts/chart16.xml"/><Relationship Id="rId2" Type="http://schemas.openxmlformats.org/officeDocument/2006/relationships/hyperlink" Target="#'overview dashboard'!A1"/><Relationship Id="rId1" Type="http://schemas.openxmlformats.org/officeDocument/2006/relationships/image" Target="../media/image1.png"/><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image" Target="../media/image3.svg"/></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xdr:col>
      <xdr:colOff>465019</xdr:colOff>
      <xdr:row>0</xdr:row>
      <xdr:rowOff>0</xdr:rowOff>
    </xdr:from>
    <xdr:to>
      <xdr:col>21</xdr:col>
      <xdr:colOff>289366</xdr:colOff>
      <xdr:row>3</xdr:row>
      <xdr:rowOff>152400</xdr:rowOff>
    </xdr:to>
    <xdr:sp macro="" textlink="">
      <xdr:nvSpPr>
        <xdr:cNvPr id="2" name="Rectangle: Rounded Corners 1">
          <a:extLst>
            <a:ext uri="{FF2B5EF4-FFF2-40B4-BE49-F238E27FC236}">
              <a16:creationId xmlns:a16="http://schemas.microsoft.com/office/drawing/2014/main" id="{6F057135-5D8F-492D-84C0-0177C220C0E1}"/>
            </a:ext>
          </a:extLst>
        </xdr:cNvPr>
        <xdr:cNvSpPr/>
      </xdr:nvSpPr>
      <xdr:spPr>
        <a:xfrm>
          <a:off x="1684219" y="0"/>
          <a:ext cx="11406747" cy="723900"/>
        </a:xfrm>
        <a:prstGeom prst="roundRect">
          <a:avLst/>
        </a:prstGeom>
        <a:solidFill>
          <a:srgbClr val="D4A373"/>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400" b="1" i="1" baseline="0"/>
            <a:t>OVERVIEW DASHBOARD</a:t>
          </a:r>
          <a:endParaRPr lang="en-US" sz="2400" b="1" i="1"/>
        </a:p>
      </xdr:txBody>
    </xdr:sp>
    <xdr:clientData/>
  </xdr:twoCellAnchor>
  <xdr:oneCellAnchor>
    <xdr:from>
      <xdr:col>7</xdr:col>
      <xdr:colOff>219075</xdr:colOff>
      <xdr:row>8</xdr:row>
      <xdr:rowOff>0</xdr:rowOff>
    </xdr:from>
    <xdr:ext cx="184731" cy="264560"/>
    <xdr:sp macro="" textlink="">
      <xdr:nvSpPr>
        <xdr:cNvPr id="3" name="TextBox 2">
          <a:extLst>
            <a:ext uri="{FF2B5EF4-FFF2-40B4-BE49-F238E27FC236}">
              <a16:creationId xmlns:a16="http://schemas.microsoft.com/office/drawing/2014/main" id="{3CBBCDAF-3AF2-40FC-B3D9-0140296AC7C6}"/>
            </a:ext>
          </a:extLst>
        </xdr:cNvPr>
        <xdr:cNvSpPr txBox="1"/>
      </xdr:nvSpPr>
      <xdr:spPr>
        <a:xfrm>
          <a:off x="4486275" y="1524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9525</xdr:colOff>
      <xdr:row>0</xdr:row>
      <xdr:rowOff>0</xdr:rowOff>
    </xdr:from>
    <xdr:to>
      <xdr:col>2</xdr:col>
      <xdr:colOff>590550</xdr:colOff>
      <xdr:row>47</xdr:row>
      <xdr:rowOff>104775</xdr:rowOff>
    </xdr:to>
    <xdr:sp macro="" textlink="">
      <xdr:nvSpPr>
        <xdr:cNvPr id="4" name="Rectangle 3">
          <a:extLst>
            <a:ext uri="{FF2B5EF4-FFF2-40B4-BE49-F238E27FC236}">
              <a16:creationId xmlns:a16="http://schemas.microsoft.com/office/drawing/2014/main" id="{D3968B53-4386-4B64-A674-A8B91553B194}"/>
            </a:ext>
          </a:extLst>
        </xdr:cNvPr>
        <xdr:cNvSpPr/>
      </xdr:nvSpPr>
      <xdr:spPr>
        <a:xfrm>
          <a:off x="9525" y="0"/>
          <a:ext cx="1800225" cy="9058275"/>
        </a:xfrm>
        <a:prstGeom prst="rect">
          <a:avLst/>
        </a:prstGeom>
        <a:solidFill>
          <a:srgbClr val="CCD5AE"/>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oneCellAnchor>
    <xdr:from>
      <xdr:col>7</xdr:col>
      <xdr:colOff>0</xdr:colOff>
      <xdr:row>8</xdr:row>
      <xdr:rowOff>19050</xdr:rowOff>
    </xdr:from>
    <xdr:ext cx="184731" cy="264560"/>
    <xdr:sp macro="" textlink="">
      <xdr:nvSpPr>
        <xdr:cNvPr id="5" name="TextBox 4">
          <a:extLst>
            <a:ext uri="{FF2B5EF4-FFF2-40B4-BE49-F238E27FC236}">
              <a16:creationId xmlns:a16="http://schemas.microsoft.com/office/drawing/2014/main" id="{B179F8C6-FF99-4FFB-B271-9AF56C4C06C6}"/>
            </a:ext>
          </a:extLst>
        </xdr:cNvPr>
        <xdr:cNvSpPr txBox="1"/>
      </xdr:nvSpPr>
      <xdr:spPr>
        <a:xfrm>
          <a:off x="4267200" y="154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0</xdr:colOff>
      <xdr:row>4</xdr:row>
      <xdr:rowOff>0</xdr:rowOff>
    </xdr:from>
    <xdr:to>
      <xdr:col>2</xdr:col>
      <xdr:colOff>571500</xdr:colOff>
      <xdr:row>20</xdr:row>
      <xdr:rowOff>48228</xdr:rowOff>
    </xdr:to>
    <mc:AlternateContent xmlns:mc="http://schemas.openxmlformats.org/markup-compatibility/2006" xmlns:a14="http://schemas.microsoft.com/office/drawing/2010/main">
      <mc:Choice Requires="a14">
        <xdr:graphicFrame macro="">
          <xdr:nvGraphicFramePr>
            <xdr:cNvPr id="6" name="month 5">
              <a:extLst>
                <a:ext uri="{FF2B5EF4-FFF2-40B4-BE49-F238E27FC236}">
                  <a16:creationId xmlns:a16="http://schemas.microsoft.com/office/drawing/2014/main" id="{C14589C6-61A6-4B2D-8A1A-3F51770A2A35}"/>
                </a:ext>
              </a:extLst>
            </xdr:cNvPr>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0" y="769327"/>
              <a:ext cx="1798760" cy="31255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32107</xdr:rowOff>
    </xdr:from>
    <xdr:to>
      <xdr:col>2</xdr:col>
      <xdr:colOff>554620</xdr:colOff>
      <xdr:row>44</xdr:row>
      <xdr:rowOff>72342</xdr:rowOff>
    </xdr:to>
    <mc:AlternateContent xmlns:mc="http://schemas.openxmlformats.org/markup-compatibility/2006" xmlns:a14="http://schemas.microsoft.com/office/drawing/2010/main">
      <mc:Choice Requires="a14">
        <xdr:graphicFrame macro="">
          <xdr:nvGraphicFramePr>
            <xdr:cNvPr id="7" name="Discount 6">
              <a:extLst>
                <a:ext uri="{FF2B5EF4-FFF2-40B4-BE49-F238E27FC236}">
                  <a16:creationId xmlns:a16="http://schemas.microsoft.com/office/drawing/2014/main" id="{171D169C-EDE6-4832-8729-F0CAA0B0CDA5}"/>
                </a:ext>
              </a:extLst>
            </xdr:cNvPr>
            <xdr:cNvGraphicFramePr/>
          </xdr:nvGraphicFramePr>
          <xdr:xfrm>
            <a:off x="0" y="0"/>
            <a:ext cx="0" cy="0"/>
          </xdr:xfrm>
          <a:graphic>
            <a:graphicData uri="http://schemas.microsoft.com/office/drawing/2010/slicer">
              <sle:slicer xmlns:sle="http://schemas.microsoft.com/office/drawing/2010/slicer" name="Discount 6"/>
            </a:graphicData>
          </a:graphic>
        </xdr:graphicFrame>
      </mc:Choice>
      <mc:Fallback xmlns="">
        <xdr:sp macro="" textlink="">
          <xdr:nvSpPr>
            <xdr:cNvPr id="0" name=""/>
            <xdr:cNvSpPr>
              <a:spLocks noTextEdit="1"/>
            </xdr:cNvSpPr>
          </xdr:nvSpPr>
          <xdr:spPr>
            <a:xfrm>
              <a:off x="0" y="3943092"/>
              <a:ext cx="1781880" cy="45918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12057</xdr:colOff>
      <xdr:row>44</xdr:row>
      <xdr:rowOff>109050</xdr:rowOff>
    </xdr:from>
    <xdr:to>
      <xdr:col>2</xdr:col>
      <xdr:colOff>554620</xdr:colOff>
      <xdr:row>47</xdr:row>
      <xdr:rowOff>72341</xdr:rowOff>
    </xdr:to>
    <xdr:sp macro="[0]!Module2.ClearAllSlicers" textlink="">
      <xdr:nvSpPr>
        <xdr:cNvPr id="8" name="Rectangle: Rounded Corners 7">
          <a:extLst>
            <a:ext uri="{FF2B5EF4-FFF2-40B4-BE49-F238E27FC236}">
              <a16:creationId xmlns:a16="http://schemas.microsoft.com/office/drawing/2014/main" id="{04D3BC7E-3422-4DDA-8F8F-AB92F7C06360}"/>
            </a:ext>
          </a:extLst>
        </xdr:cNvPr>
        <xdr:cNvSpPr/>
      </xdr:nvSpPr>
      <xdr:spPr>
        <a:xfrm>
          <a:off x="12057" y="8491050"/>
          <a:ext cx="1761763" cy="53479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a:t>reset</a:t>
          </a:r>
          <a:r>
            <a:rPr lang="en-US" sz="1400" baseline="0"/>
            <a:t> filters</a:t>
          </a:r>
          <a:endParaRPr lang="en-US" sz="1400"/>
        </a:p>
      </xdr:txBody>
    </xdr:sp>
    <xdr:clientData/>
  </xdr:twoCellAnchor>
  <xdr:twoCellAnchor editAs="oneCell">
    <xdr:from>
      <xdr:col>0</xdr:col>
      <xdr:colOff>0</xdr:colOff>
      <xdr:row>0</xdr:row>
      <xdr:rowOff>12057</xdr:rowOff>
    </xdr:from>
    <xdr:to>
      <xdr:col>3</xdr:col>
      <xdr:colOff>65008</xdr:colOff>
      <xdr:row>4</xdr:row>
      <xdr:rowOff>24112</xdr:rowOff>
    </xdr:to>
    <xdr:pic>
      <xdr:nvPicPr>
        <xdr:cNvPr id="9" name="Picture 8">
          <a:extLst>
            <a:ext uri="{FF2B5EF4-FFF2-40B4-BE49-F238E27FC236}">
              <a16:creationId xmlns:a16="http://schemas.microsoft.com/office/drawing/2014/main" id="{2A626A06-65B9-4B1A-845B-A356C34285C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57"/>
          <a:ext cx="1893808" cy="774055"/>
        </a:xfrm>
        <a:prstGeom prst="rect">
          <a:avLst/>
        </a:prstGeom>
      </xdr:spPr>
    </xdr:pic>
    <xdr:clientData/>
  </xdr:twoCellAnchor>
  <xdr:twoCellAnchor editAs="oneCell">
    <xdr:from>
      <xdr:col>19</xdr:col>
      <xdr:colOff>168797</xdr:colOff>
      <xdr:row>0</xdr:row>
      <xdr:rowOff>0</xdr:rowOff>
    </xdr:from>
    <xdr:to>
      <xdr:col>20</xdr:col>
      <xdr:colOff>468292</xdr:colOff>
      <xdr:row>4</xdr:row>
      <xdr:rowOff>0</xdr:rowOff>
    </xdr:to>
    <xdr:pic>
      <xdr:nvPicPr>
        <xdr:cNvPr id="10" name="Graphic 9" descr="Back with solid fill">
          <a:hlinkClick xmlns:r="http://schemas.openxmlformats.org/officeDocument/2006/relationships" r:id="rId2"/>
          <a:extLst>
            <a:ext uri="{FF2B5EF4-FFF2-40B4-BE49-F238E27FC236}">
              <a16:creationId xmlns:a16="http://schemas.microsoft.com/office/drawing/2014/main" id="{5DE3ED60-AB28-4452-AFF5-5983DB606FA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751197" y="0"/>
          <a:ext cx="909095" cy="762000"/>
        </a:xfrm>
        <a:prstGeom prst="rect">
          <a:avLst/>
        </a:prstGeom>
      </xdr:spPr>
    </xdr:pic>
    <xdr:clientData/>
  </xdr:twoCellAnchor>
  <xdr:twoCellAnchor>
    <xdr:from>
      <xdr:col>10</xdr:col>
      <xdr:colOff>66565</xdr:colOff>
      <xdr:row>4</xdr:row>
      <xdr:rowOff>156740</xdr:rowOff>
    </xdr:from>
    <xdr:to>
      <xdr:col>13</xdr:col>
      <xdr:colOff>176156</xdr:colOff>
      <xdr:row>17</xdr:row>
      <xdr:rowOff>4368</xdr:rowOff>
    </xdr:to>
    <xdr:sp macro="" textlink="">
      <xdr:nvSpPr>
        <xdr:cNvPr id="11" name="Rectangle: Diagonal Corners Rounded 10">
          <a:extLst>
            <a:ext uri="{FF2B5EF4-FFF2-40B4-BE49-F238E27FC236}">
              <a16:creationId xmlns:a16="http://schemas.microsoft.com/office/drawing/2014/main" id="{CA17F7C5-135E-4752-9F4E-386053FC259B}"/>
            </a:ext>
          </a:extLst>
        </xdr:cNvPr>
        <xdr:cNvSpPr/>
      </xdr:nvSpPr>
      <xdr:spPr>
        <a:xfrm>
          <a:off x="6215616" y="928386"/>
          <a:ext cx="1954306" cy="2355476"/>
        </a:xfrm>
        <a:prstGeom prst="round2DiagRect">
          <a:avLst/>
        </a:prstGeom>
        <a:solidFill>
          <a:srgbClr val="CCD5AE">
            <a:alpha val="47059"/>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400">
              <a:solidFill>
                <a:schemeClr val="tx1"/>
              </a:solidFill>
            </a:rPr>
            <a:t>Top Key Insight</a:t>
          </a:r>
        </a:p>
        <a:p>
          <a:pPr algn="ctr"/>
          <a:endParaRPr lang="en-US" sz="1400">
            <a:solidFill>
              <a:schemeClr val="tx1"/>
            </a:solidFill>
          </a:endParaRPr>
        </a:p>
        <a:p>
          <a:pPr algn="ctr"/>
          <a:r>
            <a:rPr lang="en-US" sz="1400">
              <a:solidFill>
                <a:schemeClr val="tx1"/>
              </a:solidFill>
            </a:rPr>
            <a:t>- ​Discounts above 1% negatively impact overall profit margin.</a:t>
          </a:r>
        </a:p>
        <a:p>
          <a:pPr algn="ctr"/>
          <a:r>
            <a:rPr lang="en-US" sz="1400">
              <a:solidFill>
                <a:schemeClr val="tx1"/>
              </a:solidFill>
            </a:rPr>
            <a:t>- JAN achieved the highest sales ($) and orders count.</a:t>
          </a:r>
        </a:p>
      </xdr:txBody>
    </xdr:sp>
    <xdr:clientData/>
  </xdr:twoCellAnchor>
  <xdr:twoCellAnchor>
    <xdr:from>
      <xdr:col>3</xdr:col>
      <xdr:colOff>283929</xdr:colOff>
      <xdr:row>13</xdr:row>
      <xdr:rowOff>63320</xdr:rowOff>
    </xdr:from>
    <xdr:to>
      <xdr:col>6</xdr:col>
      <xdr:colOff>393520</xdr:colOff>
      <xdr:row>16</xdr:row>
      <xdr:rowOff>159180</xdr:rowOff>
    </xdr:to>
    <xdr:sp macro="" textlink="">
      <xdr:nvSpPr>
        <xdr:cNvPr id="16" name="Rectangle: Diagonal Corners Rounded 15">
          <a:extLst>
            <a:ext uri="{FF2B5EF4-FFF2-40B4-BE49-F238E27FC236}">
              <a16:creationId xmlns:a16="http://schemas.microsoft.com/office/drawing/2014/main" id="{0CAF6EBC-1598-4DC1-B116-C6E59920C1F1}"/>
            </a:ext>
          </a:extLst>
        </xdr:cNvPr>
        <xdr:cNvSpPr/>
      </xdr:nvSpPr>
      <xdr:spPr>
        <a:xfrm>
          <a:off x="2112729" y="2539820"/>
          <a:ext cx="1938391" cy="667360"/>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AVERAGE ORDER VALUE</a:t>
          </a:r>
        </a:p>
        <a:p>
          <a:pPr algn="ctr"/>
          <a:endParaRPr lang="en-US" sz="1100" baseline="0">
            <a:solidFill>
              <a:schemeClr val="tx1"/>
            </a:solidFill>
          </a:endParaRPr>
        </a:p>
        <a:p>
          <a:pPr algn="ctr"/>
          <a:endParaRPr lang="en-US" sz="1100" baseline="0">
            <a:solidFill>
              <a:schemeClr val="tx1"/>
            </a:solidFill>
          </a:endParaRP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3</xdr:col>
      <xdr:colOff>265253</xdr:colOff>
      <xdr:row>5</xdr:row>
      <xdr:rowOff>40819</xdr:rowOff>
    </xdr:from>
    <xdr:to>
      <xdr:col>6</xdr:col>
      <xdr:colOff>374844</xdr:colOff>
      <xdr:row>8</xdr:row>
      <xdr:rowOff>136679</xdr:rowOff>
    </xdr:to>
    <xdr:sp macro="" textlink="">
      <xdr:nvSpPr>
        <xdr:cNvPr id="23" name="Rectangle: Diagonal Corners Rounded 22">
          <a:extLst>
            <a:ext uri="{FF2B5EF4-FFF2-40B4-BE49-F238E27FC236}">
              <a16:creationId xmlns:a16="http://schemas.microsoft.com/office/drawing/2014/main" id="{E117586B-362A-437B-BE39-34B72A258F5E}"/>
            </a:ext>
          </a:extLst>
        </xdr:cNvPr>
        <xdr:cNvSpPr/>
      </xdr:nvSpPr>
      <xdr:spPr>
        <a:xfrm>
          <a:off x="2094053" y="993319"/>
          <a:ext cx="1938391" cy="667360"/>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TOTAL SALES</a:t>
          </a:r>
        </a:p>
        <a:p>
          <a:pPr algn="ctr"/>
          <a:endParaRPr lang="en-US" sz="1100" baseline="0">
            <a:solidFill>
              <a:schemeClr val="tx1"/>
            </a:solidFill>
          </a:endParaRPr>
        </a:p>
        <a:p>
          <a:pPr algn="ctr"/>
          <a:endParaRPr lang="en-US" sz="1100" baseline="0">
            <a:solidFill>
              <a:schemeClr val="tx1"/>
            </a:solidFill>
          </a:endParaRP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3</xdr:col>
      <xdr:colOff>265253</xdr:colOff>
      <xdr:row>9</xdr:row>
      <xdr:rowOff>12057</xdr:rowOff>
    </xdr:from>
    <xdr:to>
      <xdr:col>6</xdr:col>
      <xdr:colOff>398603</xdr:colOff>
      <xdr:row>12</xdr:row>
      <xdr:rowOff>138732</xdr:rowOff>
    </xdr:to>
    <xdr:sp macro="" textlink="">
      <xdr:nvSpPr>
        <xdr:cNvPr id="30" name="Rectangle: Diagonal Corners Rounded 29">
          <a:extLst>
            <a:ext uri="{FF2B5EF4-FFF2-40B4-BE49-F238E27FC236}">
              <a16:creationId xmlns:a16="http://schemas.microsoft.com/office/drawing/2014/main" id="{4F48BB47-A363-4643-944C-75307544F873}"/>
            </a:ext>
          </a:extLst>
        </xdr:cNvPr>
        <xdr:cNvSpPr/>
      </xdr:nvSpPr>
      <xdr:spPr>
        <a:xfrm>
          <a:off x="2109968" y="1748260"/>
          <a:ext cx="1978065" cy="705409"/>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TOTAL ORDERS</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4</xdr:col>
      <xdr:colOff>92597</xdr:colOff>
      <xdr:row>7</xdr:row>
      <xdr:rowOff>4648</xdr:rowOff>
    </xdr:from>
    <xdr:to>
      <xdr:col>6</xdr:col>
      <xdr:colOff>54497</xdr:colOff>
      <xdr:row>8</xdr:row>
      <xdr:rowOff>52275</xdr:rowOff>
    </xdr:to>
    <xdr:sp macro="" textlink="sales_rep!F8">
      <xdr:nvSpPr>
        <xdr:cNvPr id="31" name="TextBox 30">
          <a:extLst>
            <a:ext uri="{FF2B5EF4-FFF2-40B4-BE49-F238E27FC236}">
              <a16:creationId xmlns:a16="http://schemas.microsoft.com/office/drawing/2014/main" id="{D72B5532-7F7B-4219-B11C-C92E0EE983B2}"/>
            </a:ext>
          </a:extLst>
        </xdr:cNvPr>
        <xdr:cNvSpPr txBox="1"/>
      </xdr:nvSpPr>
      <xdr:spPr>
        <a:xfrm>
          <a:off x="2552217" y="1355028"/>
          <a:ext cx="1191710" cy="240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94DFD37-4D5C-4196-A51E-864F199BF8F9}" type="TxLink">
            <a:rPr lang="en-US" sz="1100" b="0" i="0" u="none" strike="noStrike">
              <a:solidFill>
                <a:srgbClr val="000000"/>
              </a:solidFill>
              <a:latin typeface="Aptos Narrow"/>
            </a:rPr>
            <a:pPr/>
            <a:t> $59,686,173.3 </a:t>
          </a:fld>
          <a:endParaRPr lang="en-US" sz="1100"/>
        </a:p>
      </xdr:txBody>
    </xdr:sp>
    <xdr:clientData/>
  </xdr:twoCellAnchor>
  <xdr:twoCellAnchor>
    <xdr:from>
      <xdr:col>4</xdr:col>
      <xdr:colOff>192911</xdr:colOff>
      <xdr:row>14</xdr:row>
      <xdr:rowOff>168798</xdr:rowOff>
    </xdr:from>
    <xdr:to>
      <xdr:col>5</xdr:col>
      <xdr:colOff>446108</xdr:colOff>
      <xdr:row>16</xdr:row>
      <xdr:rowOff>96456</xdr:rowOff>
    </xdr:to>
    <xdr:sp macro="" textlink="sales_rep!K7">
      <xdr:nvSpPr>
        <xdr:cNvPr id="32" name="TextBox 31">
          <a:extLst>
            <a:ext uri="{FF2B5EF4-FFF2-40B4-BE49-F238E27FC236}">
              <a16:creationId xmlns:a16="http://schemas.microsoft.com/office/drawing/2014/main" id="{B8337676-1EE4-8545-655A-F0D46E837EA1}"/>
            </a:ext>
          </a:extLst>
        </xdr:cNvPr>
        <xdr:cNvSpPr txBox="1"/>
      </xdr:nvSpPr>
      <xdr:spPr>
        <a:xfrm>
          <a:off x="2652531" y="2869557"/>
          <a:ext cx="868102" cy="313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E29D109-8B08-4872-A566-F1E9F472DF9D}" type="TxLink">
            <a:rPr lang="en-US" sz="1100" b="0" i="0" u="none" strike="noStrike">
              <a:solidFill>
                <a:srgbClr val="000000"/>
              </a:solidFill>
              <a:latin typeface="Aptos Narrow"/>
            </a:rPr>
            <a:pPr/>
            <a:t> $59,686.17 </a:t>
          </a:fld>
          <a:endParaRPr lang="en-US" sz="1100"/>
        </a:p>
      </xdr:txBody>
    </xdr:sp>
    <xdr:clientData/>
  </xdr:twoCellAnchor>
  <xdr:twoCellAnchor>
    <xdr:from>
      <xdr:col>3</xdr:col>
      <xdr:colOff>217025</xdr:colOff>
      <xdr:row>17</xdr:row>
      <xdr:rowOff>96456</xdr:rowOff>
    </xdr:from>
    <xdr:to>
      <xdr:col>13</xdr:col>
      <xdr:colOff>361709</xdr:colOff>
      <xdr:row>32</xdr:row>
      <xdr:rowOff>79335</xdr:rowOff>
    </xdr:to>
    <xdr:graphicFrame macro="">
      <xdr:nvGraphicFramePr>
        <xdr:cNvPr id="33" name="Chart 32">
          <a:extLst>
            <a:ext uri="{FF2B5EF4-FFF2-40B4-BE49-F238E27FC236}">
              <a16:creationId xmlns:a16="http://schemas.microsoft.com/office/drawing/2014/main" id="{443C5C04-C64E-401C-85FF-25F47AF84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180854</xdr:colOff>
      <xdr:row>32</xdr:row>
      <xdr:rowOff>96455</xdr:rowOff>
    </xdr:from>
    <xdr:to>
      <xdr:col>13</xdr:col>
      <xdr:colOff>313480</xdr:colOff>
      <xdr:row>47</xdr:row>
      <xdr:rowOff>84399</xdr:rowOff>
    </xdr:to>
    <xdr:graphicFrame macro="">
      <xdr:nvGraphicFramePr>
        <xdr:cNvPr id="34" name="Chart 33">
          <a:extLst>
            <a:ext uri="{FF2B5EF4-FFF2-40B4-BE49-F238E27FC236}">
              <a16:creationId xmlns:a16="http://schemas.microsoft.com/office/drawing/2014/main" id="{82679CC0-9FF3-46B6-9B19-12778A0EB6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542563</xdr:colOff>
      <xdr:row>4</xdr:row>
      <xdr:rowOff>108511</xdr:rowOff>
    </xdr:from>
    <xdr:to>
      <xdr:col>21</xdr:col>
      <xdr:colOff>317280</xdr:colOff>
      <xdr:row>16</xdr:row>
      <xdr:rowOff>180854</xdr:rowOff>
    </xdr:to>
    <xdr:graphicFrame macro="">
      <xdr:nvGraphicFramePr>
        <xdr:cNvPr id="35" name="Chart 34">
          <a:extLst>
            <a:ext uri="{FF2B5EF4-FFF2-40B4-BE49-F238E27FC236}">
              <a16:creationId xmlns:a16="http://schemas.microsoft.com/office/drawing/2014/main" id="{034DBCF3-3DA7-4627-B59F-9C00D4F97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36171</xdr:colOff>
      <xdr:row>18</xdr:row>
      <xdr:rowOff>24114</xdr:rowOff>
    </xdr:from>
    <xdr:to>
      <xdr:col>21</xdr:col>
      <xdr:colOff>315893</xdr:colOff>
      <xdr:row>33</xdr:row>
      <xdr:rowOff>12057</xdr:rowOff>
    </xdr:to>
    <xdr:graphicFrame macro="">
      <xdr:nvGraphicFramePr>
        <xdr:cNvPr id="36" name="Chart 35">
          <a:extLst>
            <a:ext uri="{FF2B5EF4-FFF2-40B4-BE49-F238E27FC236}">
              <a16:creationId xmlns:a16="http://schemas.microsoft.com/office/drawing/2014/main" id="{B8CDAE4D-DD08-4ED9-8AFF-6A96E8707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36171</xdr:colOff>
      <xdr:row>33</xdr:row>
      <xdr:rowOff>0</xdr:rowOff>
    </xdr:from>
    <xdr:to>
      <xdr:col>22</xdr:col>
      <xdr:colOff>26526</xdr:colOff>
      <xdr:row>47</xdr:row>
      <xdr:rowOff>42441</xdr:rowOff>
    </xdr:to>
    <xdr:graphicFrame macro="">
      <xdr:nvGraphicFramePr>
        <xdr:cNvPr id="37" name="Chart 36">
          <a:extLst>
            <a:ext uri="{FF2B5EF4-FFF2-40B4-BE49-F238E27FC236}">
              <a16:creationId xmlns:a16="http://schemas.microsoft.com/office/drawing/2014/main" id="{187827F5-3B8C-4DAD-B413-85C45B793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482278</xdr:colOff>
      <xdr:row>5</xdr:row>
      <xdr:rowOff>0</xdr:rowOff>
    </xdr:from>
    <xdr:to>
      <xdr:col>10</xdr:col>
      <xdr:colOff>722</xdr:colOff>
      <xdr:row>8</xdr:row>
      <xdr:rowOff>126675</xdr:rowOff>
    </xdr:to>
    <xdr:sp macro="" textlink="">
      <xdr:nvSpPr>
        <xdr:cNvPr id="38" name="Rectangle: Diagonal Corners Rounded 37">
          <a:extLst>
            <a:ext uri="{FF2B5EF4-FFF2-40B4-BE49-F238E27FC236}">
              <a16:creationId xmlns:a16="http://schemas.microsoft.com/office/drawing/2014/main" id="{79838521-8269-4980-B9EB-D431354C0FBC}"/>
            </a:ext>
          </a:extLst>
        </xdr:cNvPr>
        <xdr:cNvSpPr/>
      </xdr:nvSpPr>
      <xdr:spPr>
        <a:xfrm>
          <a:off x="4171708" y="964557"/>
          <a:ext cx="1978065" cy="705409"/>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MONTH WITH HIGHEST ORDER RATE</a:t>
          </a:r>
        </a:p>
        <a:p>
          <a:pPr algn="ctr"/>
          <a:endParaRPr lang="en-US" sz="1100" baseline="0">
            <a:solidFill>
              <a:schemeClr val="tx1"/>
            </a:solidFill>
          </a:endParaRPr>
        </a:p>
      </xdr:txBody>
    </xdr:sp>
    <xdr:clientData/>
  </xdr:twoCellAnchor>
  <xdr:twoCellAnchor>
    <xdr:from>
      <xdr:col>8</xdr:col>
      <xdr:colOff>36170</xdr:colOff>
      <xdr:row>7</xdr:row>
      <xdr:rowOff>84398</xdr:rowOff>
    </xdr:from>
    <xdr:to>
      <xdr:col>8</xdr:col>
      <xdr:colOff>482277</xdr:colOff>
      <xdr:row>8</xdr:row>
      <xdr:rowOff>144683</xdr:rowOff>
    </xdr:to>
    <xdr:sp macro="" textlink="">
      <xdr:nvSpPr>
        <xdr:cNvPr id="39" name="TextBox 38">
          <a:extLst>
            <a:ext uri="{FF2B5EF4-FFF2-40B4-BE49-F238E27FC236}">
              <a16:creationId xmlns:a16="http://schemas.microsoft.com/office/drawing/2014/main" id="{FF29A979-754F-B85C-50E9-31F316F67318}"/>
            </a:ext>
          </a:extLst>
        </xdr:cNvPr>
        <xdr:cNvSpPr txBox="1"/>
      </xdr:nvSpPr>
      <xdr:spPr>
        <a:xfrm>
          <a:off x="4955411" y="1434778"/>
          <a:ext cx="446107" cy="253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JAN</a:t>
          </a:r>
        </a:p>
      </xdr:txBody>
    </xdr:sp>
    <xdr:clientData/>
  </xdr:twoCellAnchor>
  <xdr:twoCellAnchor>
    <xdr:from>
      <xdr:col>6</xdr:col>
      <xdr:colOff>482280</xdr:colOff>
      <xdr:row>9</xdr:row>
      <xdr:rowOff>36170</xdr:rowOff>
    </xdr:from>
    <xdr:to>
      <xdr:col>10</xdr:col>
      <xdr:colOff>724</xdr:colOff>
      <xdr:row>12</xdr:row>
      <xdr:rowOff>162845</xdr:rowOff>
    </xdr:to>
    <xdr:sp macro="" textlink="">
      <xdr:nvSpPr>
        <xdr:cNvPr id="42" name="Rectangle: Diagonal Corners Rounded 41">
          <a:extLst>
            <a:ext uri="{FF2B5EF4-FFF2-40B4-BE49-F238E27FC236}">
              <a16:creationId xmlns:a16="http://schemas.microsoft.com/office/drawing/2014/main" id="{3CBE1EC3-8587-27BD-5933-9F0DF35DA07D}"/>
            </a:ext>
          </a:extLst>
        </xdr:cNvPr>
        <xdr:cNvSpPr/>
      </xdr:nvSpPr>
      <xdr:spPr>
        <a:xfrm>
          <a:off x="4171710" y="1772373"/>
          <a:ext cx="1978065" cy="705409"/>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MONTH WITH HIGHEST SALES VALUE</a:t>
          </a:r>
        </a:p>
        <a:p>
          <a:pPr algn="ctr"/>
          <a:endParaRPr lang="en-US" sz="1100" baseline="0">
            <a:solidFill>
              <a:schemeClr val="tx1"/>
            </a:solidFill>
          </a:endParaRPr>
        </a:p>
      </xdr:txBody>
    </xdr:sp>
    <xdr:clientData/>
  </xdr:twoCellAnchor>
  <xdr:twoCellAnchor>
    <xdr:from>
      <xdr:col>8</xdr:col>
      <xdr:colOff>36171</xdr:colOff>
      <xdr:row>11</xdr:row>
      <xdr:rowOff>96455</xdr:rowOff>
    </xdr:from>
    <xdr:to>
      <xdr:col>8</xdr:col>
      <xdr:colOff>482278</xdr:colOff>
      <xdr:row>12</xdr:row>
      <xdr:rowOff>156739</xdr:rowOff>
    </xdr:to>
    <xdr:sp macro="" textlink="">
      <xdr:nvSpPr>
        <xdr:cNvPr id="43" name="TextBox 42">
          <a:extLst>
            <a:ext uri="{FF2B5EF4-FFF2-40B4-BE49-F238E27FC236}">
              <a16:creationId xmlns:a16="http://schemas.microsoft.com/office/drawing/2014/main" id="{BF36A205-79C1-3FC3-1725-81096D8E4935}"/>
            </a:ext>
          </a:extLst>
        </xdr:cNvPr>
        <xdr:cNvSpPr txBox="1"/>
      </xdr:nvSpPr>
      <xdr:spPr>
        <a:xfrm>
          <a:off x="4955412" y="2218480"/>
          <a:ext cx="446107" cy="253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JAN</a:t>
          </a:r>
        </a:p>
      </xdr:txBody>
    </xdr:sp>
    <xdr:clientData/>
  </xdr:twoCellAnchor>
  <xdr:twoCellAnchor>
    <xdr:from>
      <xdr:col>6</xdr:col>
      <xdr:colOff>470222</xdr:colOff>
      <xdr:row>13</xdr:row>
      <xdr:rowOff>12056</xdr:rowOff>
    </xdr:from>
    <xdr:to>
      <xdr:col>9</xdr:col>
      <xdr:colOff>603571</xdr:colOff>
      <xdr:row>16</xdr:row>
      <xdr:rowOff>138731</xdr:rowOff>
    </xdr:to>
    <xdr:sp macro="" textlink="">
      <xdr:nvSpPr>
        <xdr:cNvPr id="44" name="Rectangle: Diagonal Corners Rounded 43">
          <a:extLst>
            <a:ext uri="{FF2B5EF4-FFF2-40B4-BE49-F238E27FC236}">
              <a16:creationId xmlns:a16="http://schemas.microsoft.com/office/drawing/2014/main" id="{7CBAA7F4-53BE-4F51-AA67-E86A5A1F159B}"/>
            </a:ext>
          </a:extLst>
        </xdr:cNvPr>
        <xdr:cNvSpPr/>
      </xdr:nvSpPr>
      <xdr:spPr>
        <a:xfrm>
          <a:off x="4159652" y="2519904"/>
          <a:ext cx="1978065" cy="705409"/>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DISCOUNT WITH HIGHEST PROFIT</a:t>
          </a:r>
        </a:p>
        <a:p>
          <a:pPr algn="ctr"/>
          <a:endParaRPr lang="en-US" sz="1100" baseline="0">
            <a:solidFill>
              <a:schemeClr val="tx1"/>
            </a:solidFill>
          </a:endParaRPr>
        </a:p>
      </xdr:txBody>
    </xdr:sp>
    <xdr:clientData/>
  </xdr:twoCellAnchor>
  <xdr:twoCellAnchor>
    <xdr:from>
      <xdr:col>8</xdr:col>
      <xdr:colOff>12056</xdr:colOff>
      <xdr:row>15</xdr:row>
      <xdr:rowOff>60284</xdr:rowOff>
    </xdr:from>
    <xdr:to>
      <xdr:col>9</xdr:col>
      <xdr:colOff>-1</xdr:colOff>
      <xdr:row>16</xdr:row>
      <xdr:rowOff>96455</xdr:rowOff>
    </xdr:to>
    <xdr:sp macro="" textlink="discount!D2">
      <xdr:nvSpPr>
        <xdr:cNvPr id="45" name="TextBox 44">
          <a:extLst>
            <a:ext uri="{FF2B5EF4-FFF2-40B4-BE49-F238E27FC236}">
              <a16:creationId xmlns:a16="http://schemas.microsoft.com/office/drawing/2014/main" id="{7628835B-ABDD-4426-B956-723EFFBEE3B3}"/>
            </a:ext>
          </a:extLst>
        </xdr:cNvPr>
        <xdr:cNvSpPr txBox="1"/>
      </xdr:nvSpPr>
      <xdr:spPr>
        <a:xfrm>
          <a:off x="4931297" y="2953955"/>
          <a:ext cx="602848" cy="229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CF93B5-D87C-47DA-8922-DE8FFDDF8238}" type="TxLink">
            <a:rPr lang="en-US" sz="1100" b="0" i="0" u="none" strike="noStrike">
              <a:solidFill>
                <a:srgbClr val="000000"/>
              </a:solidFill>
              <a:latin typeface="Aptos Narrow"/>
            </a:rPr>
            <a:pPr/>
            <a:t>1%</a:t>
          </a:fld>
          <a:endParaRPr lang="en-US" sz="1100"/>
        </a:p>
      </xdr:txBody>
    </xdr:sp>
    <xdr:clientData/>
  </xdr:twoCellAnchor>
  <xdr:twoCellAnchor>
    <xdr:from>
      <xdr:col>4</xdr:col>
      <xdr:colOff>337596</xdr:colOff>
      <xdr:row>10</xdr:row>
      <xdr:rowOff>180855</xdr:rowOff>
    </xdr:from>
    <xdr:to>
      <xdr:col>5</xdr:col>
      <xdr:colOff>144685</xdr:colOff>
      <xdr:row>12</xdr:row>
      <xdr:rowOff>108513</xdr:rowOff>
    </xdr:to>
    <xdr:sp macro="" textlink="time_series!Q31">
      <xdr:nvSpPr>
        <xdr:cNvPr id="46" name="TextBox 45">
          <a:extLst>
            <a:ext uri="{FF2B5EF4-FFF2-40B4-BE49-F238E27FC236}">
              <a16:creationId xmlns:a16="http://schemas.microsoft.com/office/drawing/2014/main" id="{C79DF379-1890-75A3-4742-E037331636C4}"/>
            </a:ext>
          </a:extLst>
        </xdr:cNvPr>
        <xdr:cNvSpPr txBox="1"/>
      </xdr:nvSpPr>
      <xdr:spPr>
        <a:xfrm>
          <a:off x="2797216" y="2109969"/>
          <a:ext cx="421994" cy="313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8C3801-7CF8-4C21-8C2D-3BC420967EDD}" type="TxLink">
            <a:rPr lang="en-US" sz="1100" b="0" i="0" u="none" strike="noStrike">
              <a:solidFill>
                <a:srgbClr val="000000"/>
              </a:solidFill>
              <a:latin typeface="Aptos Narrow"/>
            </a:rPr>
            <a:pPr/>
            <a:t>1000</a:t>
          </a:fld>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465019</xdr:colOff>
      <xdr:row>0</xdr:row>
      <xdr:rowOff>0</xdr:rowOff>
    </xdr:from>
    <xdr:to>
      <xdr:col>21</xdr:col>
      <xdr:colOff>289366</xdr:colOff>
      <xdr:row>3</xdr:row>
      <xdr:rowOff>152400</xdr:rowOff>
    </xdr:to>
    <xdr:sp macro="" textlink="">
      <xdr:nvSpPr>
        <xdr:cNvPr id="11" name="Rectangle: Rounded Corners 10">
          <a:extLst>
            <a:ext uri="{FF2B5EF4-FFF2-40B4-BE49-F238E27FC236}">
              <a16:creationId xmlns:a16="http://schemas.microsoft.com/office/drawing/2014/main" id="{106CF08C-6D21-2703-47EB-0C8EE83FFDC6}"/>
            </a:ext>
          </a:extLst>
        </xdr:cNvPr>
        <xdr:cNvSpPr/>
      </xdr:nvSpPr>
      <xdr:spPr>
        <a:xfrm>
          <a:off x="1694829" y="0"/>
          <a:ext cx="11507543" cy="731134"/>
        </a:xfrm>
        <a:prstGeom prst="roundRect">
          <a:avLst/>
        </a:prstGeom>
        <a:solidFill>
          <a:srgbClr val="D4A373"/>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400" b="1" i="1"/>
            <a:t>SALES</a:t>
          </a:r>
          <a:r>
            <a:rPr lang="en-US" sz="2400" b="1" i="1" baseline="0"/>
            <a:t> REPRESENTATIVE DASHBOARD</a:t>
          </a:r>
          <a:endParaRPr lang="en-US" sz="2400" b="1" i="1"/>
        </a:p>
      </xdr:txBody>
    </xdr:sp>
    <xdr:clientData/>
  </xdr:twoCellAnchor>
  <xdr:twoCellAnchor>
    <xdr:from>
      <xdr:col>10</xdr:col>
      <xdr:colOff>190500</xdr:colOff>
      <xdr:row>4</xdr:row>
      <xdr:rowOff>57150</xdr:rowOff>
    </xdr:from>
    <xdr:to>
      <xdr:col>13</xdr:col>
      <xdr:colOff>323850</xdr:colOff>
      <xdr:row>16</xdr:row>
      <xdr:rowOff>171450</xdr:rowOff>
    </xdr:to>
    <xdr:sp macro="" textlink="">
      <xdr:nvSpPr>
        <xdr:cNvPr id="12" name="Rectangle: Diagonal Corners Rounded 11">
          <a:extLst>
            <a:ext uri="{FF2B5EF4-FFF2-40B4-BE49-F238E27FC236}">
              <a16:creationId xmlns:a16="http://schemas.microsoft.com/office/drawing/2014/main" id="{3A4BD6A6-8C56-AEE7-9FC8-935E33473317}"/>
            </a:ext>
          </a:extLst>
        </xdr:cNvPr>
        <xdr:cNvSpPr/>
      </xdr:nvSpPr>
      <xdr:spPr>
        <a:xfrm>
          <a:off x="6286500" y="819150"/>
          <a:ext cx="1962150" cy="2400300"/>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EACH REP TOTAL SALES</a:t>
          </a:r>
        </a:p>
        <a:p>
          <a:pPr algn="ctr"/>
          <a:endParaRPr lang="en-US" sz="1100" baseline="0">
            <a:solidFill>
              <a:schemeClr val="tx1"/>
            </a:solidFill>
          </a:endParaRPr>
        </a:p>
        <a:p>
          <a:pPr algn="l"/>
          <a:r>
            <a:rPr lang="en-US" sz="1100">
              <a:solidFill>
                <a:schemeClr val="tx1"/>
              </a:solidFill>
            </a:rPr>
            <a:t>ALICE</a:t>
          </a:r>
        </a:p>
        <a:p>
          <a:pPr algn="l"/>
          <a:endParaRPr lang="en-US" sz="1100">
            <a:solidFill>
              <a:schemeClr val="tx1"/>
            </a:solidFill>
          </a:endParaRPr>
        </a:p>
        <a:p>
          <a:pPr algn="l"/>
          <a:r>
            <a:rPr lang="en-US" sz="1100">
              <a:solidFill>
                <a:schemeClr val="tx1"/>
              </a:solidFill>
            </a:rPr>
            <a:t>BOB</a:t>
          </a:r>
        </a:p>
        <a:p>
          <a:pPr algn="l"/>
          <a:endParaRPr lang="en-US" sz="1100">
            <a:solidFill>
              <a:schemeClr val="tx1"/>
            </a:solidFill>
          </a:endParaRPr>
        </a:p>
        <a:p>
          <a:pPr algn="l"/>
          <a:r>
            <a:rPr lang="en-US" sz="1100">
              <a:solidFill>
                <a:schemeClr val="tx1"/>
              </a:solidFill>
            </a:rPr>
            <a:t>CHARLIE</a:t>
          </a:r>
        </a:p>
        <a:p>
          <a:pPr algn="l"/>
          <a:endParaRPr lang="en-US" sz="1100">
            <a:solidFill>
              <a:schemeClr val="tx1"/>
            </a:solidFill>
          </a:endParaRPr>
        </a:p>
        <a:p>
          <a:pPr algn="l"/>
          <a:r>
            <a:rPr lang="en-US" sz="1100">
              <a:solidFill>
                <a:schemeClr val="tx1"/>
              </a:solidFill>
            </a:rPr>
            <a:t>DAVID</a:t>
          </a:r>
        </a:p>
        <a:p>
          <a:pPr algn="l"/>
          <a:endParaRPr lang="en-US" sz="1100">
            <a:solidFill>
              <a:schemeClr val="tx1"/>
            </a:solidFill>
          </a:endParaRPr>
        </a:p>
        <a:p>
          <a:pPr algn="l"/>
          <a:r>
            <a:rPr lang="en-US" sz="1100">
              <a:solidFill>
                <a:schemeClr val="tx1"/>
              </a:solidFill>
            </a:rPr>
            <a:t>EVE</a:t>
          </a:r>
        </a:p>
      </xdr:txBody>
    </xdr:sp>
    <xdr:clientData/>
  </xdr:twoCellAnchor>
  <xdr:oneCellAnchor>
    <xdr:from>
      <xdr:col>7</xdr:col>
      <xdr:colOff>219075</xdr:colOff>
      <xdr:row>8</xdr:row>
      <xdr:rowOff>0</xdr:rowOff>
    </xdr:from>
    <xdr:ext cx="184731" cy="264560"/>
    <xdr:sp macro="" textlink="">
      <xdr:nvSpPr>
        <xdr:cNvPr id="13" name="TextBox 12">
          <a:extLst>
            <a:ext uri="{FF2B5EF4-FFF2-40B4-BE49-F238E27FC236}">
              <a16:creationId xmlns:a16="http://schemas.microsoft.com/office/drawing/2014/main" id="{0054BB97-37CD-41F1-D03D-FCEE02974CBA}"/>
            </a:ext>
          </a:extLst>
        </xdr:cNvPr>
        <xdr:cNvSpPr txBox="1"/>
      </xdr:nvSpPr>
      <xdr:spPr>
        <a:xfrm>
          <a:off x="4486275" y="1524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9525</xdr:colOff>
      <xdr:row>0</xdr:row>
      <xdr:rowOff>0</xdr:rowOff>
    </xdr:from>
    <xdr:to>
      <xdr:col>2</xdr:col>
      <xdr:colOff>590550</xdr:colOff>
      <xdr:row>47</xdr:row>
      <xdr:rowOff>104775</xdr:rowOff>
    </xdr:to>
    <xdr:sp macro="" textlink="">
      <xdr:nvSpPr>
        <xdr:cNvPr id="17" name="Rectangle 16">
          <a:extLst>
            <a:ext uri="{FF2B5EF4-FFF2-40B4-BE49-F238E27FC236}">
              <a16:creationId xmlns:a16="http://schemas.microsoft.com/office/drawing/2014/main" id="{2B929769-16DE-DC5E-659F-ABF438637245}"/>
            </a:ext>
          </a:extLst>
        </xdr:cNvPr>
        <xdr:cNvSpPr/>
      </xdr:nvSpPr>
      <xdr:spPr>
        <a:xfrm>
          <a:off x="9525" y="0"/>
          <a:ext cx="1800225" cy="9058275"/>
        </a:xfrm>
        <a:prstGeom prst="rect">
          <a:avLst/>
        </a:prstGeom>
        <a:solidFill>
          <a:srgbClr val="CCD5AE"/>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18</xdr:row>
      <xdr:rowOff>76200</xdr:rowOff>
    </xdr:from>
    <xdr:to>
      <xdr:col>12</xdr:col>
      <xdr:colOff>542925</xdr:colOff>
      <xdr:row>33</xdr:row>
      <xdr:rowOff>66675</xdr:rowOff>
    </xdr:to>
    <xdr:graphicFrame macro="">
      <xdr:nvGraphicFramePr>
        <xdr:cNvPr id="19" name="Chart 18">
          <a:extLst>
            <a:ext uri="{FF2B5EF4-FFF2-40B4-BE49-F238E27FC236}">
              <a16:creationId xmlns:a16="http://schemas.microsoft.com/office/drawing/2014/main" id="{C0A16192-BC2D-49B7-ACBA-FCCC5EE77B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0</xdr:colOff>
      <xdr:row>8</xdr:row>
      <xdr:rowOff>19050</xdr:rowOff>
    </xdr:from>
    <xdr:ext cx="184731" cy="264560"/>
    <xdr:sp macro="" textlink="">
      <xdr:nvSpPr>
        <xdr:cNvPr id="20" name="TextBox 19">
          <a:extLst>
            <a:ext uri="{FF2B5EF4-FFF2-40B4-BE49-F238E27FC236}">
              <a16:creationId xmlns:a16="http://schemas.microsoft.com/office/drawing/2014/main" id="{479E6F7F-B58F-D302-6C61-48FB6AF87EA2}"/>
            </a:ext>
          </a:extLst>
        </xdr:cNvPr>
        <xdr:cNvSpPr txBox="1"/>
      </xdr:nvSpPr>
      <xdr:spPr>
        <a:xfrm>
          <a:off x="4267200" y="154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11</xdr:col>
      <xdr:colOff>361951</xdr:colOff>
      <xdr:row>6</xdr:row>
      <xdr:rowOff>85725</xdr:rowOff>
    </xdr:from>
    <xdr:to>
      <xdr:col>13</xdr:col>
      <xdr:colOff>323851</xdr:colOff>
      <xdr:row>7</xdr:row>
      <xdr:rowOff>133351</xdr:rowOff>
    </xdr:to>
    <xdr:sp macro="" textlink="sales_rep!$B$47">
      <xdr:nvSpPr>
        <xdr:cNvPr id="21" name="TextBox 20">
          <a:extLst>
            <a:ext uri="{FF2B5EF4-FFF2-40B4-BE49-F238E27FC236}">
              <a16:creationId xmlns:a16="http://schemas.microsoft.com/office/drawing/2014/main" id="{89AFCB7D-21D7-3C6E-926A-F6889964D930}"/>
            </a:ext>
          </a:extLst>
        </xdr:cNvPr>
        <xdr:cNvSpPr txBox="1"/>
      </xdr:nvSpPr>
      <xdr:spPr>
        <a:xfrm>
          <a:off x="7067551" y="1228725"/>
          <a:ext cx="11811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463118A-5921-41C2-A8D1-ABE6D1C075DC}" type="TxLink">
            <a:rPr lang="en-US" sz="1100" b="0" i="0" u="none" strike="noStrike">
              <a:solidFill>
                <a:srgbClr val="000000"/>
              </a:solidFill>
              <a:latin typeface="Aptos Narrow"/>
            </a:rPr>
            <a:pPr/>
            <a:t> $11,476,646 </a:t>
          </a:fld>
          <a:endParaRPr lang="en-US" sz="1100"/>
        </a:p>
      </xdr:txBody>
    </xdr:sp>
    <xdr:clientData/>
  </xdr:twoCellAnchor>
  <xdr:twoCellAnchor>
    <xdr:from>
      <xdr:col>11</xdr:col>
      <xdr:colOff>314325</xdr:colOff>
      <xdr:row>8</xdr:row>
      <xdr:rowOff>66675</xdr:rowOff>
    </xdr:from>
    <xdr:to>
      <xdr:col>13</xdr:col>
      <xdr:colOff>276225</xdr:colOff>
      <xdr:row>9</xdr:row>
      <xdr:rowOff>114301</xdr:rowOff>
    </xdr:to>
    <xdr:sp macro="" textlink="sales_rep!$B$48">
      <xdr:nvSpPr>
        <xdr:cNvPr id="28" name="TextBox 27">
          <a:extLst>
            <a:ext uri="{FF2B5EF4-FFF2-40B4-BE49-F238E27FC236}">
              <a16:creationId xmlns:a16="http://schemas.microsoft.com/office/drawing/2014/main" id="{A66178DB-A63C-4C1F-8C2D-BBB973ADBB7D}"/>
            </a:ext>
          </a:extLst>
        </xdr:cNvPr>
        <xdr:cNvSpPr txBox="1"/>
      </xdr:nvSpPr>
      <xdr:spPr>
        <a:xfrm>
          <a:off x="7019925" y="1590675"/>
          <a:ext cx="11811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A52D0E-DA9A-45D2-8DE8-8705C0F77D14}" type="TxLink">
            <a:rPr lang="en-US" sz="1100" b="0" i="0" u="none" strike="noStrike">
              <a:solidFill>
                <a:srgbClr val="000000"/>
              </a:solidFill>
              <a:latin typeface="Aptos Narrow"/>
            </a:rPr>
            <a:pPr/>
            <a:t> $11,768,704 </a:t>
          </a:fld>
          <a:endParaRPr lang="en-US" sz="1100"/>
        </a:p>
      </xdr:txBody>
    </xdr:sp>
    <xdr:clientData/>
  </xdr:twoCellAnchor>
  <xdr:twoCellAnchor>
    <xdr:from>
      <xdr:col>11</xdr:col>
      <xdr:colOff>295275</xdr:colOff>
      <xdr:row>10</xdr:row>
      <xdr:rowOff>9525</xdr:rowOff>
    </xdr:from>
    <xdr:to>
      <xdr:col>13</xdr:col>
      <xdr:colOff>257175</xdr:colOff>
      <xdr:row>11</xdr:row>
      <xdr:rowOff>57151</xdr:rowOff>
    </xdr:to>
    <xdr:sp macro="" textlink="sales_rep!$B$49">
      <xdr:nvSpPr>
        <xdr:cNvPr id="29" name="TextBox 28">
          <a:extLst>
            <a:ext uri="{FF2B5EF4-FFF2-40B4-BE49-F238E27FC236}">
              <a16:creationId xmlns:a16="http://schemas.microsoft.com/office/drawing/2014/main" id="{83CDC38E-612D-4109-ABC6-E4E68ECDD0FB}"/>
            </a:ext>
          </a:extLst>
        </xdr:cNvPr>
        <xdr:cNvSpPr txBox="1"/>
      </xdr:nvSpPr>
      <xdr:spPr>
        <a:xfrm>
          <a:off x="7000875" y="1914525"/>
          <a:ext cx="11811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7C67FB5-9E30-4011-8E3F-E8CA0B471009}" type="TxLink">
            <a:rPr lang="en-US" sz="1100" b="0" i="0" u="none" strike="noStrike">
              <a:solidFill>
                <a:srgbClr val="000000"/>
              </a:solidFill>
              <a:latin typeface="Aptos Narrow"/>
            </a:rPr>
            <a:pPr/>
            <a:t> $9,827,691 </a:t>
          </a:fld>
          <a:endParaRPr lang="en-US" sz="1100"/>
        </a:p>
      </xdr:txBody>
    </xdr:sp>
    <xdr:clientData/>
  </xdr:twoCellAnchor>
  <xdr:twoCellAnchor>
    <xdr:from>
      <xdr:col>11</xdr:col>
      <xdr:colOff>276225</xdr:colOff>
      <xdr:row>12</xdr:row>
      <xdr:rowOff>9525</xdr:rowOff>
    </xdr:from>
    <xdr:to>
      <xdr:col>13</xdr:col>
      <xdr:colOff>238125</xdr:colOff>
      <xdr:row>13</xdr:row>
      <xdr:rowOff>57151</xdr:rowOff>
    </xdr:to>
    <xdr:sp macro="" textlink="sales_rep!$B$50">
      <xdr:nvSpPr>
        <xdr:cNvPr id="30" name="TextBox 29">
          <a:extLst>
            <a:ext uri="{FF2B5EF4-FFF2-40B4-BE49-F238E27FC236}">
              <a16:creationId xmlns:a16="http://schemas.microsoft.com/office/drawing/2014/main" id="{49C9820D-7E08-4953-91D4-F8647239053C}"/>
            </a:ext>
          </a:extLst>
        </xdr:cNvPr>
        <xdr:cNvSpPr txBox="1"/>
      </xdr:nvSpPr>
      <xdr:spPr>
        <a:xfrm>
          <a:off x="6981825" y="2295525"/>
          <a:ext cx="11811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2F61704-270E-46A5-84DD-20C8CB93A2CE}" type="TxLink">
            <a:rPr lang="en-US" sz="1100" b="0" i="0" u="none" strike="noStrike">
              <a:solidFill>
                <a:srgbClr val="000000"/>
              </a:solidFill>
              <a:latin typeface="Aptos Narrow"/>
            </a:rPr>
            <a:pPr/>
            <a:t> $13,674,409 </a:t>
          </a:fld>
          <a:endParaRPr lang="en-US" sz="1100"/>
        </a:p>
      </xdr:txBody>
    </xdr:sp>
    <xdr:clientData/>
  </xdr:twoCellAnchor>
  <xdr:twoCellAnchor>
    <xdr:from>
      <xdr:col>11</xdr:col>
      <xdr:colOff>285750</xdr:colOff>
      <xdr:row>13</xdr:row>
      <xdr:rowOff>142875</xdr:rowOff>
    </xdr:from>
    <xdr:to>
      <xdr:col>13</xdr:col>
      <xdr:colOff>247650</xdr:colOff>
      <xdr:row>15</xdr:row>
      <xdr:rowOff>1</xdr:rowOff>
    </xdr:to>
    <xdr:sp macro="" textlink="sales_rep!$B$51">
      <xdr:nvSpPr>
        <xdr:cNvPr id="31" name="TextBox 30">
          <a:extLst>
            <a:ext uri="{FF2B5EF4-FFF2-40B4-BE49-F238E27FC236}">
              <a16:creationId xmlns:a16="http://schemas.microsoft.com/office/drawing/2014/main" id="{395D5768-C785-40A8-A8C8-2E7D8BF1A377}"/>
            </a:ext>
          </a:extLst>
        </xdr:cNvPr>
        <xdr:cNvSpPr txBox="1"/>
      </xdr:nvSpPr>
      <xdr:spPr>
        <a:xfrm>
          <a:off x="6991350" y="2619375"/>
          <a:ext cx="11811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E8338A-91C5-4ECB-AAE2-D2ED14C46C12}" type="TxLink">
            <a:rPr lang="en-US" sz="1100" b="0" i="0" u="none" strike="noStrike">
              <a:solidFill>
                <a:srgbClr val="000000"/>
              </a:solidFill>
              <a:latin typeface="Aptos Narrow"/>
            </a:rPr>
            <a:pPr/>
            <a:t> $12,938,724 </a:t>
          </a:fld>
          <a:endParaRPr lang="en-US" sz="1100"/>
        </a:p>
      </xdr:txBody>
    </xdr:sp>
    <xdr:clientData/>
  </xdr:twoCellAnchor>
  <xdr:twoCellAnchor>
    <xdr:from>
      <xdr:col>13</xdr:col>
      <xdr:colOff>114300</xdr:colOff>
      <xdr:row>18</xdr:row>
      <xdr:rowOff>85725</xdr:rowOff>
    </xdr:from>
    <xdr:to>
      <xdr:col>21</xdr:col>
      <xdr:colOff>304800</xdr:colOff>
      <xdr:row>32</xdr:row>
      <xdr:rowOff>161925</xdr:rowOff>
    </xdr:to>
    <xdr:graphicFrame macro="">
      <xdr:nvGraphicFramePr>
        <xdr:cNvPr id="32" name="Chart 31">
          <a:extLst>
            <a:ext uri="{FF2B5EF4-FFF2-40B4-BE49-F238E27FC236}">
              <a16:creationId xmlns:a16="http://schemas.microsoft.com/office/drawing/2014/main" id="{8858596B-0AC7-49E1-B2F0-8F19C6D50D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4</xdr:row>
      <xdr:rowOff>0</xdr:rowOff>
    </xdr:from>
    <xdr:to>
      <xdr:col>2</xdr:col>
      <xdr:colOff>571500</xdr:colOff>
      <xdr:row>20</xdr:row>
      <xdr:rowOff>48228</xdr:rowOff>
    </xdr:to>
    <mc:AlternateContent xmlns:mc="http://schemas.openxmlformats.org/markup-compatibility/2006" xmlns:a14="http://schemas.microsoft.com/office/drawing/2010/main">
      <mc:Choice Requires="a14">
        <xdr:graphicFrame macro="">
          <xdr:nvGraphicFramePr>
            <xdr:cNvPr id="33" name="month">
              <a:extLst>
                <a:ext uri="{FF2B5EF4-FFF2-40B4-BE49-F238E27FC236}">
                  <a16:creationId xmlns:a16="http://schemas.microsoft.com/office/drawing/2014/main" id="{89DAF127-A045-6D36-81E2-2058AF89D84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777551"/>
              <a:ext cx="1796143" cy="31584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438150</xdr:colOff>
      <xdr:row>4</xdr:row>
      <xdr:rowOff>66674</xdr:rowOff>
    </xdr:from>
    <xdr:to>
      <xdr:col>21</xdr:col>
      <xdr:colOff>266700</xdr:colOff>
      <xdr:row>17</xdr:row>
      <xdr:rowOff>190499</xdr:rowOff>
    </xdr:to>
    <xdr:graphicFrame macro="">
      <xdr:nvGraphicFramePr>
        <xdr:cNvPr id="34" name="Chart 33">
          <a:extLst>
            <a:ext uri="{FF2B5EF4-FFF2-40B4-BE49-F238E27FC236}">
              <a16:creationId xmlns:a16="http://schemas.microsoft.com/office/drawing/2014/main" id="{E4163F18-21D1-41B0-A01E-8F6F93EFFD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304197</xdr:colOff>
      <xdr:row>4</xdr:row>
      <xdr:rowOff>127562</xdr:rowOff>
    </xdr:from>
    <xdr:to>
      <xdr:col>6</xdr:col>
      <xdr:colOff>437547</xdr:colOff>
      <xdr:row>8</xdr:row>
      <xdr:rowOff>48951</xdr:rowOff>
    </xdr:to>
    <xdr:sp macro="" textlink="">
      <xdr:nvSpPr>
        <xdr:cNvPr id="38" name="Rectangle: Diagonal Corners Rounded 37">
          <a:extLst>
            <a:ext uri="{FF2B5EF4-FFF2-40B4-BE49-F238E27FC236}">
              <a16:creationId xmlns:a16="http://schemas.microsoft.com/office/drawing/2014/main" id="{6DD2CE9C-8505-4517-B03D-D8630F5E853F}"/>
            </a:ext>
          </a:extLst>
        </xdr:cNvPr>
        <xdr:cNvSpPr/>
      </xdr:nvSpPr>
      <xdr:spPr>
        <a:xfrm>
          <a:off x="2148912" y="899208"/>
          <a:ext cx="1978065" cy="693034"/>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a:solidFill>
                <a:schemeClr val="tx1"/>
              </a:solidFill>
            </a:rPr>
            <a:t>TOP SALES REP BY REVENUE</a:t>
          </a:r>
        </a:p>
        <a:p>
          <a:pPr algn="ctr"/>
          <a:endParaRPr lang="en-US" sz="1100" baseline="0"/>
        </a:p>
        <a:p>
          <a:pPr algn="ctr"/>
          <a:r>
            <a:rPr lang="en-US" sz="1100" baseline="0">
              <a:solidFill>
                <a:schemeClr val="tx1"/>
              </a:solidFill>
            </a:rPr>
            <a:t>DAVID</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3</xdr:col>
      <xdr:colOff>323849</xdr:colOff>
      <xdr:row>33</xdr:row>
      <xdr:rowOff>76200</xdr:rowOff>
    </xdr:from>
    <xdr:to>
      <xdr:col>21</xdr:col>
      <xdr:colOff>352424</xdr:colOff>
      <xdr:row>47</xdr:row>
      <xdr:rowOff>152400</xdr:rowOff>
    </xdr:to>
    <xdr:graphicFrame macro="">
      <xdr:nvGraphicFramePr>
        <xdr:cNvPr id="41" name="Chart 40">
          <a:extLst>
            <a:ext uri="{FF2B5EF4-FFF2-40B4-BE49-F238E27FC236}">
              <a16:creationId xmlns:a16="http://schemas.microsoft.com/office/drawing/2014/main" id="{E7E15E8F-F975-41A3-BAB6-D58E42641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556911</xdr:colOff>
      <xdr:row>4</xdr:row>
      <xdr:rowOff>57150</xdr:rowOff>
    </xdr:from>
    <xdr:to>
      <xdr:col>10</xdr:col>
      <xdr:colOff>80661</xdr:colOff>
      <xdr:row>16</xdr:row>
      <xdr:rowOff>171450</xdr:rowOff>
    </xdr:to>
    <xdr:sp macro="" textlink="">
      <xdr:nvSpPr>
        <xdr:cNvPr id="42" name="Rectangle: Diagonal Corners Rounded 41">
          <a:extLst>
            <a:ext uri="{FF2B5EF4-FFF2-40B4-BE49-F238E27FC236}">
              <a16:creationId xmlns:a16="http://schemas.microsoft.com/office/drawing/2014/main" id="{D9CBC52B-8D13-44AC-B4A8-3DECBA4B2AD3}"/>
            </a:ext>
          </a:extLst>
        </xdr:cNvPr>
        <xdr:cNvSpPr/>
      </xdr:nvSpPr>
      <xdr:spPr>
        <a:xfrm>
          <a:off x="4246341" y="828796"/>
          <a:ext cx="1983371" cy="2429236"/>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TOP CATEGORY PER REP</a:t>
          </a:r>
        </a:p>
        <a:p>
          <a:pPr algn="ctr"/>
          <a:endParaRPr lang="en-US" sz="1100" baseline="0">
            <a:solidFill>
              <a:schemeClr val="tx1"/>
            </a:solidFill>
          </a:endParaRPr>
        </a:p>
        <a:p>
          <a:pPr algn="l"/>
          <a:r>
            <a:rPr lang="en-US" sz="1100">
              <a:solidFill>
                <a:schemeClr val="tx1"/>
              </a:solidFill>
            </a:rPr>
            <a:t>ALICE	FOOD</a:t>
          </a:r>
        </a:p>
        <a:p>
          <a:pPr algn="l"/>
          <a:endParaRPr lang="en-US" sz="1100">
            <a:solidFill>
              <a:schemeClr val="tx1"/>
            </a:solidFill>
          </a:endParaRPr>
        </a:p>
        <a:p>
          <a:pPr algn="l"/>
          <a:r>
            <a:rPr lang="en-US" sz="1100">
              <a:solidFill>
                <a:schemeClr val="tx1"/>
              </a:solidFill>
            </a:rPr>
            <a:t>BOB	FURNITURE</a:t>
          </a:r>
        </a:p>
        <a:p>
          <a:pPr algn="l"/>
          <a:endParaRPr lang="en-US" sz="1100">
            <a:solidFill>
              <a:schemeClr val="tx1"/>
            </a:solidFill>
          </a:endParaRPr>
        </a:p>
        <a:p>
          <a:pPr algn="l"/>
          <a:r>
            <a:rPr lang="en-US" sz="1100">
              <a:solidFill>
                <a:schemeClr val="tx1"/>
              </a:solidFill>
            </a:rPr>
            <a:t>CHARLIE	CLOTHING</a:t>
          </a:r>
        </a:p>
        <a:p>
          <a:pPr algn="l"/>
          <a:endParaRPr lang="en-US" sz="1100">
            <a:solidFill>
              <a:schemeClr val="tx1"/>
            </a:solidFill>
          </a:endParaRPr>
        </a:p>
        <a:p>
          <a:pPr algn="l"/>
          <a:r>
            <a:rPr lang="en-US" sz="1100">
              <a:solidFill>
                <a:schemeClr val="tx1"/>
              </a:solidFill>
            </a:rPr>
            <a:t>DAVID	ELECTRO</a:t>
          </a:r>
        </a:p>
        <a:p>
          <a:pPr algn="l"/>
          <a:endParaRPr lang="en-US" sz="1100">
            <a:solidFill>
              <a:schemeClr val="tx1"/>
            </a:solidFill>
          </a:endParaRPr>
        </a:p>
        <a:p>
          <a:pPr algn="l"/>
          <a:r>
            <a:rPr lang="en-US" sz="1100">
              <a:solidFill>
                <a:schemeClr val="tx1"/>
              </a:solidFill>
            </a:rPr>
            <a:t>EVE	CLOTHING</a:t>
          </a:r>
        </a:p>
      </xdr:txBody>
    </xdr:sp>
    <xdr:clientData/>
  </xdr:twoCellAnchor>
  <xdr:twoCellAnchor editAs="oneCell">
    <xdr:from>
      <xdr:col>0</xdr:col>
      <xdr:colOff>0</xdr:colOff>
      <xdr:row>20</xdr:row>
      <xdr:rowOff>96455</xdr:rowOff>
    </xdr:from>
    <xdr:to>
      <xdr:col>2</xdr:col>
      <xdr:colOff>554620</xdr:colOff>
      <xdr:row>44</xdr:row>
      <xdr:rowOff>72342</xdr:rowOff>
    </xdr:to>
    <mc:AlternateContent xmlns:mc="http://schemas.openxmlformats.org/markup-compatibility/2006" xmlns:a14="http://schemas.microsoft.com/office/drawing/2010/main">
      <mc:Choice Requires="a14">
        <xdr:graphicFrame macro="">
          <xdr:nvGraphicFramePr>
            <xdr:cNvPr id="45" name="Discount 1">
              <a:extLst>
                <a:ext uri="{FF2B5EF4-FFF2-40B4-BE49-F238E27FC236}">
                  <a16:creationId xmlns:a16="http://schemas.microsoft.com/office/drawing/2014/main" id="{A982522D-34D1-CFD0-05A8-0DBE720697A3}"/>
                </a:ext>
              </a:extLst>
            </xdr:cNvPr>
            <xdr:cNvGraphicFramePr/>
          </xdr:nvGraphicFramePr>
          <xdr:xfrm>
            <a:off x="0" y="0"/>
            <a:ext cx="0" cy="0"/>
          </xdr:xfrm>
          <a:graphic>
            <a:graphicData uri="http://schemas.microsoft.com/office/drawing/2010/slicer">
              <sle:slicer xmlns:sle="http://schemas.microsoft.com/office/drawing/2010/slicer" name="Discount 1"/>
            </a:graphicData>
          </a:graphic>
        </xdr:graphicFrame>
      </mc:Choice>
      <mc:Fallback xmlns="">
        <xdr:sp macro="" textlink="">
          <xdr:nvSpPr>
            <xdr:cNvPr id="0" name=""/>
            <xdr:cNvSpPr>
              <a:spLocks noTextEdit="1"/>
            </xdr:cNvSpPr>
          </xdr:nvSpPr>
          <xdr:spPr>
            <a:xfrm>
              <a:off x="0" y="3984210"/>
              <a:ext cx="1779263" cy="46411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12057</xdr:colOff>
      <xdr:row>44</xdr:row>
      <xdr:rowOff>109050</xdr:rowOff>
    </xdr:from>
    <xdr:to>
      <xdr:col>2</xdr:col>
      <xdr:colOff>554620</xdr:colOff>
      <xdr:row>47</xdr:row>
      <xdr:rowOff>72341</xdr:rowOff>
    </xdr:to>
    <xdr:sp macro="[0]!Module2.ClearAllSlicers" textlink="">
      <xdr:nvSpPr>
        <xdr:cNvPr id="46" name="Rectangle: Rounded Corners 45">
          <a:extLst>
            <a:ext uri="{FF2B5EF4-FFF2-40B4-BE49-F238E27FC236}">
              <a16:creationId xmlns:a16="http://schemas.microsoft.com/office/drawing/2014/main" id="{F69C29F8-EE21-E7F5-0E5E-F51C37D5C1EC}"/>
            </a:ext>
          </a:extLst>
        </xdr:cNvPr>
        <xdr:cNvSpPr/>
      </xdr:nvSpPr>
      <xdr:spPr>
        <a:xfrm>
          <a:off x="12057" y="8597151"/>
          <a:ext cx="1772373" cy="54202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a:t>reset</a:t>
          </a:r>
          <a:r>
            <a:rPr lang="en-US" sz="1400" baseline="0"/>
            <a:t> filters</a:t>
          </a:r>
          <a:endParaRPr lang="en-US" sz="1400"/>
        </a:p>
      </xdr:txBody>
    </xdr:sp>
    <xdr:clientData/>
  </xdr:twoCellAnchor>
  <xdr:twoCellAnchor editAs="oneCell">
    <xdr:from>
      <xdr:col>0</xdr:col>
      <xdr:colOff>0</xdr:colOff>
      <xdr:row>0</xdr:row>
      <xdr:rowOff>12057</xdr:rowOff>
    </xdr:from>
    <xdr:to>
      <xdr:col>3</xdr:col>
      <xdr:colOff>65008</xdr:colOff>
      <xdr:row>4</xdr:row>
      <xdr:rowOff>24112</xdr:rowOff>
    </xdr:to>
    <xdr:pic>
      <xdr:nvPicPr>
        <xdr:cNvPr id="51" name="Picture 50">
          <a:extLst>
            <a:ext uri="{FF2B5EF4-FFF2-40B4-BE49-F238E27FC236}">
              <a16:creationId xmlns:a16="http://schemas.microsoft.com/office/drawing/2014/main" id="{21EC1E3D-8C5E-24B1-5CDD-26D8C4D1DE7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2057"/>
          <a:ext cx="1909723" cy="783701"/>
        </a:xfrm>
        <a:prstGeom prst="rect">
          <a:avLst/>
        </a:prstGeom>
      </xdr:spPr>
    </xdr:pic>
    <xdr:clientData/>
  </xdr:twoCellAnchor>
  <xdr:twoCellAnchor editAs="oneCell">
    <xdr:from>
      <xdr:col>19</xdr:col>
      <xdr:colOff>168797</xdr:colOff>
      <xdr:row>0</xdr:row>
      <xdr:rowOff>0</xdr:rowOff>
    </xdr:from>
    <xdr:to>
      <xdr:col>20</xdr:col>
      <xdr:colOff>468292</xdr:colOff>
      <xdr:row>4</xdr:row>
      <xdr:rowOff>0</xdr:rowOff>
    </xdr:to>
    <xdr:pic>
      <xdr:nvPicPr>
        <xdr:cNvPr id="54" name="Graphic 53" descr="Back with solid fill">
          <a:hlinkClick xmlns:r="http://schemas.openxmlformats.org/officeDocument/2006/relationships" r:id="rId6"/>
          <a:extLst>
            <a:ext uri="{FF2B5EF4-FFF2-40B4-BE49-F238E27FC236}">
              <a16:creationId xmlns:a16="http://schemas.microsoft.com/office/drawing/2014/main" id="{896552E4-2DAD-57E7-E741-C2BBCA555B5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993" y="0"/>
          <a:ext cx="914400" cy="771646"/>
        </a:xfrm>
        <a:prstGeom prst="rect">
          <a:avLst/>
        </a:prstGeom>
      </xdr:spPr>
    </xdr:pic>
    <xdr:clientData/>
  </xdr:twoCellAnchor>
  <xdr:twoCellAnchor>
    <xdr:from>
      <xdr:col>3</xdr:col>
      <xdr:colOff>313481</xdr:colOff>
      <xdr:row>8</xdr:row>
      <xdr:rowOff>156741</xdr:rowOff>
    </xdr:from>
    <xdr:to>
      <xdr:col>6</xdr:col>
      <xdr:colOff>446831</xdr:colOff>
      <xdr:row>12</xdr:row>
      <xdr:rowOff>78129</xdr:rowOff>
    </xdr:to>
    <xdr:sp macro="" textlink="">
      <xdr:nvSpPr>
        <xdr:cNvPr id="56" name="Rectangle: Diagonal Corners Rounded 55">
          <a:extLst>
            <a:ext uri="{FF2B5EF4-FFF2-40B4-BE49-F238E27FC236}">
              <a16:creationId xmlns:a16="http://schemas.microsoft.com/office/drawing/2014/main" id="{4DCBA572-1861-40D8-8769-B410E862EDC2}"/>
            </a:ext>
          </a:extLst>
        </xdr:cNvPr>
        <xdr:cNvSpPr/>
      </xdr:nvSpPr>
      <xdr:spPr>
        <a:xfrm>
          <a:off x="2158196" y="1700032"/>
          <a:ext cx="1978065" cy="693034"/>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a:solidFill>
                <a:schemeClr val="tx1"/>
              </a:solidFill>
            </a:rPr>
            <a:t>TOP SALES REP BY NO.</a:t>
          </a:r>
          <a:r>
            <a:rPr lang="en-US" baseline="0">
              <a:solidFill>
                <a:schemeClr val="tx1"/>
              </a:solidFill>
            </a:rPr>
            <a:t> ORDER</a:t>
          </a:r>
          <a:endParaRPr lang="en-US">
            <a:solidFill>
              <a:schemeClr val="tx1"/>
            </a:solidFill>
          </a:endParaRPr>
        </a:p>
        <a:p>
          <a:pPr algn="ctr"/>
          <a:endParaRPr lang="en-US" sz="1100" baseline="0"/>
        </a:p>
        <a:p>
          <a:pPr algn="ctr"/>
          <a:r>
            <a:rPr lang="en-US" sz="1100" baseline="0">
              <a:solidFill>
                <a:schemeClr val="tx1"/>
              </a:solidFill>
            </a:rPr>
            <a:t>DAVID</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3</xdr:col>
      <xdr:colOff>325538</xdr:colOff>
      <xdr:row>13</xdr:row>
      <xdr:rowOff>24114</xdr:rowOff>
    </xdr:from>
    <xdr:to>
      <xdr:col>6</xdr:col>
      <xdr:colOff>458888</xdr:colOff>
      <xdr:row>16</xdr:row>
      <xdr:rowOff>138414</xdr:rowOff>
    </xdr:to>
    <xdr:sp macro="" textlink="">
      <xdr:nvSpPr>
        <xdr:cNvPr id="57" name="Rectangle: Diagonal Corners Rounded 56">
          <a:extLst>
            <a:ext uri="{FF2B5EF4-FFF2-40B4-BE49-F238E27FC236}">
              <a16:creationId xmlns:a16="http://schemas.microsoft.com/office/drawing/2014/main" id="{3C615E25-7095-4C5E-BAA5-8FB13334E7A2}"/>
            </a:ext>
          </a:extLst>
        </xdr:cNvPr>
        <xdr:cNvSpPr/>
      </xdr:nvSpPr>
      <xdr:spPr>
        <a:xfrm>
          <a:off x="2170253" y="2531962"/>
          <a:ext cx="1978065" cy="693034"/>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a:solidFill>
                <a:schemeClr val="tx1"/>
              </a:solidFill>
            </a:rPr>
            <a:t>TOP SALES REP</a:t>
          </a:r>
          <a:r>
            <a:rPr lang="en-US" baseline="0">
              <a:solidFill>
                <a:schemeClr val="tx1"/>
              </a:solidFill>
            </a:rPr>
            <a:t> AOV</a:t>
          </a:r>
          <a:endParaRPr lang="en-US">
            <a:solidFill>
              <a:schemeClr val="tx1"/>
            </a:solidFill>
          </a:endParaRPr>
        </a:p>
        <a:p>
          <a:pPr algn="ctr"/>
          <a:endParaRPr lang="en-US" sz="1100" baseline="0"/>
        </a:p>
        <a:p>
          <a:pPr algn="ctr"/>
          <a:r>
            <a:rPr lang="en-US" sz="1100" baseline="0">
              <a:solidFill>
                <a:schemeClr val="tx1"/>
              </a:solidFill>
            </a:rPr>
            <a:t>EVE</a:t>
          </a:r>
        </a:p>
        <a:p>
          <a:pPr algn="ctr"/>
          <a:endParaRPr lang="en-US" sz="1100" baseline="0">
            <a:solidFill>
              <a:schemeClr val="tx1"/>
            </a:solidFill>
          </a:endParaRPr>
        </a:p>
        <a:p>
          <a:pPr algn="ctr"/>
          <a:endParaRPr lang="en-US" sz="1100" baseline="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465019</xdr:colOff>
      <xdr:row>0</xdr:row>
      <xdr:rowOff>0</xdr:rowOff>
    </xdr:from>
    <xdr:to>
      <xdr:col>21</xdr:col>
      <xdr:colOff>289366</xdr:colOff>
      <xdr:row>3</xdr:row>
      <xdr:rowOff>152400</xdr:rowOff>
    </xdr:to>
    <xdr:sp macro="" textlink="">
      <xdr:nvSpPr>
        <xdr:cNvPr id="2" name="Rectangle: Rounded Corners 1">
          <a:extLst>
            <a:ext uri="{FF2B5EF4-FFF2-40B4-BE49-F238E27FC236}">
              <a16:creationId xmlns:a16="http://schemas.microsoft.com/office/drawing/2014/main" id="{E1BF77C2-32C3-4406-8ADE-5840D34D3E4B}"/>
            </a:ext>
          </a:extLst>
        </xdr:cNvPr>
        <xdr:cNvSpPr/>
      </xdr:nvSpPr>
      <xdr:spPr>
        <a:xfrm>
          <a:off x="1684219" y="0"/>
          <a:ext cx="11406747" cy="723900"/>
        </a:xfrm>
        <a:prstGeom prst="roundRect">
          <a:avLst/>
        </a:prstGeom>
        <a:solidFill>
          <a:srgbClr val="D4A373"/>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400" b="1" i="1" baseline="0"/>
            <a:t>CATEGORY DASHBOARD</a:t>
          </a:r>
          <a:endParaRPr lang="en-US" sz="2400" b="1" i="1"/>
        </a:p>
      </xdr:txBody>
    </xdr:sp>
    <xdr:clientData/>
  </xdr:twoCellAnchor>
  <xdr:oneCellAnchor>
    <xdr:from>
      <xdr:col>7</xdr:col>
      <xdr:colOff>219075</xdr:colOff>
      <xdr:row>8</xdr:row>
      <xdr:rowOff>0</xdr:rowOff>
    </xdr:from>
    <xdr:ext cx="184731" cy="264560"/>
    <xdr:sp macro="" textlink="">
      <xdr:nvSpPr>
        <xdr:cNvPr id="4" name="TextBox 3">
          <a:extLst>
            <a:ext uri="{FF2B5EF4-FFF2-40B4-BE49-F238E27FC236}">
              <a16:creationId xmlns:a16="http://schemas.microsoft.com/office/drawing/2014/main" id="{D70AFCD5-CD85-4B64-B8BF-F182DBAD474E}"/>
            </a:ext>
          </a:extLst>
        </xdr:cNvPr>
        <xdr:cNvSpPr txBox="1"/>
      </xdr:nvSpPr>
      <xdr:spPr>
        <a:xfrm>
          <a:off x="4486275" y="1524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9525</xdr:colOff>
      <xdr:row>0</xdr:row>
      <xdr:rowOff>0</xdr:rowOff>
    </xdr:from>
    <xdr:to>
      <xdr:col>2</xdr:col>
      <xdr:colOff>590550</xdr:colOff>
      <xdr:row>47</xdr:row>
      <xdr:rowOff>104775</xdr:rowOff>
    </xdr:to>
    <xdr:sp macro="" textlink="">
      <xdr:nvSpPr>
        <xdr:cNvPr id="5" name="Rectangle 4">
          <a:extLst>
            <a:ext uri="{FF2B5EF4-FFF2-40B4-BE49-F238E27FC236}">
              <a16:creationId xmlns:a16="http://schemas.microsoft.com/office/drawing/2014/main" id="{746C7834-7FD5-4E14-9EDA-870736DF5E1A}"/>
            </a:ext>
          </a:extLst>
        </xdr:cNvPr>
        <xdr:cNvSpPr/>
      </xdr:nvSpPr>
      <xdr:spPr>
        <a:xfrm>
          <a:off x="9525" y="0"/>
          <a:ext cx="1800225" cy="9058275"/>
        </a:xfrm>
        <a:prstGeom prst="rect">
          <a:avLst/>
        </a:prstGeom>
        <a:solidFill>
          <a:srgbClr val="CCD5AE"/>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oneCellAnchor>
    <xdr:from>
      <xdr:col>7</xdr:col>
      <xdr:colOff>0</xdr:colOff>
      <xdr:row>8</xdr:row>
      <xdr:rowOff>19050</xdr:rowOff>
    </xdr:from>
    <xdr:ext cx="184731" cy="264560"/>
    <xdr:sp macro="" textlink="">
      <xdr:nvSpPr>
        <xdr:cNvPr id="7" name="TextBox 6">
          <a:extLst>
            <a:ext uri="{FF2B5EF4-FFF2-40B4-BE49-F238E27FC236}">
              <a16:creationId xmlns:a16="http://schemas.microsoft.com/office/drawing/2014/main" id="{5E8004C6-73B3-428D-8DD4-2AC717AA2710}"/>
            </a:ext>
          </a:extLst>
        </xdr:cNvPr>
        <xdr:cNvSpPr txBox="1"/>
      </xdr:nvSpPr>
      <xdr:spPr>
        <a:xfrm>
          <a:off x="4267200" y="154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0</xdr:colOff>
      <xdr:row>4</xdr:row>
      <xdr:rowOff>0</xdr:rowOff>
    </xdr:from>
    <xdr:to>
      <xdr:col>2</xdr:col>
      <xdr:colOff>571500</xdr:colOff>
      <xdr:row>20</xdr:row>
      <xdr:rowOff>48228</xdr:rowOff>
    </xdr:to>
    <mc:AlternateContent xmlns:mc="http://schemas.openxmlformats.org/markup-compatibility/2006" xmlns:a14="http://schemas.microsoft.com/office/drawing/2010/main">
      <mc:Choice Requires="a14">
        <xdr:graphicFrame macro="">
          <xdr:nvGraphicFramePr>
            <xdr:cNvPr id="14" name="month 3">
              <a:extLst>
                <a:ext uri="{FF2B5EF4-FFF2-40B4-BE49-F238E27FC236}">
                  <a16:creationId xmlns:a16="http://schemas.microsoft.com/office/drawing/2014/main" id="{91D0E051-8900-47D1-92FF-57B9484289B2}"/>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0" y="762000"/>
              <a:ext cx="1790700" cy="3096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96455</xdr:rowOff>
    </xdr:from>
    <xdr:to>
      <xdr:col>2</xdr:col>
      <xdr:colOff>554620</xdr:colOff>
      <xdr:row>44</xdr:row>
      <xdr:rowOff>72342</xdr:rowOff>
    </xdr:to>
    <mc:AlternateContent xmlns:mc="http://schemas.openxmlformats.org/markup-compatibility/2006" xmlns:a14="http://schemas.microsoft.com/office/drawing/2010/main">
      <mc:Choice Requires="a14">
        <xdr:graphicFrame macro="">
          <xdr:nvGraphicFramePr>
            <xdr:cNvPr id="22" name="Discount 4">
              <a:extLst>
                <a:ext uri="{FF2B5EF4-FFF2-40B4-BE49-F238E27FC236}">
                  <a16:creationId xmlns:a16="http://schemas.microsoft.com/office/drawing/2014/main" id="{590EB641-E71C-49A8-8D9A-90112DEEB1ED}"/>
                </a:ext>
              </a:extLst>
            </xdr:cNvPr>
            <xdr:cNvGraphicFramePr/>
          </xdr:nvGraphicFramePr>
          <xdr:xfrm>
            <a:off x="0" y="0"/>
            <a:ext cx="0" cy="0"/>
          </xdr:xfrm>
          <a:graphic>
            <a:graphicData uri="http://schemas.microsoft.com/office/drawing/2010/slicer">
              <sle:slicer xmlns:sle="http://schemas.microsoft.com/office/drawing/2010/slicer" name="Discount 4"/>
            </a:graphicData>
          </a:graphic>
        </xdr:graphicFrame>
      </mc:Choice>
      <mc:Fallback xmlns="">
        <xdr:sp macro="" textlink="">
          <xdr:nvSpPr>
            <xdr:cNvPr id="0" name=""/>
            <xdr:cNvSpPr>
              <a:spLocks noTextEdit="1"/>
            </xdr:cNvSpPr>
          </xdr:nvSpPr>
          <xdr:spPr>
            <a:xfrm>
              <a:off x="0" y="3906455"/>
              <a:ext cx="1773820" cy="45478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12057</xdr:colOff>
      <xdr:row>44</xdr:row>
      <xdr:rowOff>109050</xdr:rowOff>
    </xdr:from>
    <xdr:to>
      <xdr:col>2</xdr:col>
      <xdr:colOff>554620</xdr:colOff>
      <xdr:row>47</xdr:row>
      <xdr:rowOff>72341</xdr:rowOff>
    </xdr:to>
    <xdr:sp macro="[0]!Module2.ClearAllSlicers" textlink="">
      <xdr:nvSpPr>
        <xdr:cNvPr id="23" name="Rectangle: Rounded Corners 22">
          <a:extLst>
            <a:ext uri="{FF2B5EF4-FFF2-40B4-BE49-F238E27FC236}">
              <a16:creationId xmlns:a16="http://schemas.microsoft.com/office/drawing/2014/main" id="{1BDE0E82-01F2-4DAE-B3B4-35027E402F6E}"/>
            </a:ext>
          </a:extLst>
        </xdr:cNvPr>
        <xdr:cNvSpPr/>
      </xdr:nvSpPr>
      <xdr:spPr>
        <a:xfrm>
          <a:off x="12057" y="8491050"/>
          <a:ext cx="1761763" cy="53479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a:t>reset</a:t>
          </a:r>
          <a:r>
            <a:rPr lang="en-US" sz="1400" baseline="0"/>
            <a:t> filters</a:t>
          </a:r>
          <a:endParaRPr lang="en-US" sz="1400"/>
        </a:p>
      </xdr:txBody>
    </xdr:sp>
    <xdr:clientData/>
  </xdr:twoCellAnchor>
  <xdr:twoCellAnchor editAs="oneCell">
    <xdr:from>
      <xdr:col>0</xdr:col>
      <xdr:colOff>0</xdr:colOff>
      <xdr:row>0</xdr:row>
      <xdr:rowOff>12057</xdr:rowOff>
    </xdr:from>
    <xdr:to>
      <xdr:col>3</xdr:col>
      <xdr:colOff>65008</xdr:colOff>
      <xdr:row>4</xdr:row>
      <xdr:rowOff>24112</xdr:rowOff>
    </xdr:to>
    <xdr:pic>
      <xdr:nvPicPr>
        <xdr:cNvPr id="24" name="Picture 23">
          <a:extLst>
            <a:ext uri="{FF2B5EF4-FFF2-40B4-BE49-F238E27FC236}">
              <a16:creationId xmlns:a16="http://schemas.microsoft.com/office/drawing/2014/main" id="{525AA8D2-DBC1-426F-8FC3-85EC6EDD21E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57"/>
          <a:ext cx="1893808" cy="774055"/>
        </a:xfrm>
        <a:prstGeom prst="rect">
          <a:avLst/>
        </a:prstGeom>
      </xdr:spPr>
    </xdr:pic>
    <xdr:clientData/>
  </xdr:twoCellAnchor>
  <xdr:twoCellAnchor editAs="oneCell">
    <xdr:from>
      <xdr:col>19</xdr:col>
      <xdr:colOff>168797</xdr:colOff>
      <xdr:row>0</xdr:row>
      <xdr:rowOff>0</xdr:rowOff>
    </xdr:from>
    <xdr:to>
      <xdr:col>20</xdr:col>
      <xdr:colOff>468292</xdr:colOff>
      <xdr:row>4</xdr:row>
      <xdr:rowOff>0</xdr:rowOff>
    </xdr:to>
    <xdr:pic>
      <xdr:nvPicPr>
        <xdr:cNvPr id="25" name="Graphic 24" descr="Back with solid fill">
          <a:hlinkClick xmlns:r="http://schemas.openxmlformats.org/officeDocument/2006/relationships" r:id="rId2"/>
          <a:extLst>
            <a:ext uri="{FF2B5EF4-FFF2-40B4-BE49-F238E27FC236}">
              <a16:creationId xmlns:a16="http://schemas.microsoft.com/office/drawing/2014/main" id="{8E72752B-9670-4E86-8516-941CB92EB21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751197" y="0"/>
          <a:ext cx="909095" cy="762000"/>
        </a:xfrm>
        <a:prstGeom prst="rect">
          <a:avLst/>
        </a:prstGeom>
      </xdr:spPr>
    </xdr:pic>
    <xdr:clientData/>
  </xdr:twoCellAnchor>
  <xdr:twoCellAnchor>
    <xdr:from>
      <xdr:col>10</xdr:col>
      <xdr:colOff>66565</xdr:colOff>
      <xdr:row>4</xdr:row>
      <xdr:rowOff>156740</xdr:rowOff>
    </xdr:from>
    <xdr:to>
      <xdr:col>13</xdr:col>
      <xdr:colOff>176156</xdr:colOff>
      <xdr:row>17</xdr:row>
      <xdr:rowOff>4368</xdr:rowOff>
    </xdr:to>
    <xdr:sp macro="" textlink="">
      <xdr:nvSpPr>
        <xdr:cNvPr id="62" name="Rectangle: Diagonal Corners Rounded 61">
          <a:extLst>
            <a:ext uri="{FF2B5EF4-FFF2-40B4-BE49-F238E27FC236}">
              <a16:creationId xmlns:a16="http://schemas.microsoft.com/office/drawing/2014/main" id="{2969195E-1005-4D8D-81A0-6B5D15180B1D}"/>
            </a:ext>
          </a:extLst>
        </xdr:cNvPr>
        <xdr:cNvSpPr/>
      </xdr:nvSpPr>
      <xdr:spPr>
        <a:xfrm>
          <a:off x="6215616" y="928386"/>
          <a:ext cx="1954306" cy="2355476"/>
        </a:xfrm>
        <a:prstGeom prst="round2DiagRect">
          <a:avLst/>
        </a:prstGeom>
        <a:solidFill>
          <a:srgbClr val="CCD5AE">
            <a:alpha val="47059"/>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EACH REP TOTAL SALES</a:t>
          </a:r>
        </a:p>
        <a:p>
          <a:pPr algn="ctr"/>
          <a:endParaRPr lang="en-US" sz="1100" baseline="0">
            <a:solidFill>
              <a:schemeClr val="tx1"/>
            </a:solidFill>
          </a:endParaRPr>
        </a:p>
        <a:p>
          <a:pPr algn="ctr"/>
          <a:endParaRPr lang="en-US" sz="1100" baseline="0">
            <a:solidFill>
              <a:schemeClr val="tx1"/>
            </a:solidFill>
          </a:endParaRPr>
        </a:p>
        <a:p>
          <a:pPr algn="l"/>
          <a:r>
            <a:rPr lang="en-US" sz="1100">
              <a:solidFill>
                <a:schemeClr val="tx1"/>
              </a:solidFill>
            </a:rPr>
            <a:t>CLOTHING</a:t>
          </a:r>
        </a:p>
        <a:p>
          <a:pPr algn="l"/>
          <a:endParaRPr lang="en-US" sz="1100">
            <a:solidFill>
              <a:schemeClr val="tx1"/>
            </a:solidFill>
          </a:endParaRPr>
        </a:p>
        <a:p>
          <a:pPr algn="l"/>
          <a:r>
            <a:rPr lang="en-US" sz="1100">
              <a:solidFill>
                <a:schemeClr val="tx1"/>
              </a:solidFill>
            </a:rPr>
            <a:t>ELECTRO</a:t>
          </a:r>
        </a:p>
        <a:p>
          <a:pPr algn="l"/>
          <a:endParaRPr lang="en-US" sz="1100">
            <a:solidFill>
              <a:schemeClr val="tx1"/>
            </a:solidFill>
          </a:endParaRPr>
        </a:p>
        <a:p>
          <a:pPr algn="l"/>
          <a:r>
            <a:rPr lang="en-US" sz="1100">
              <a:solidFill>
                <a:schemeClr val="tx1"/>
              </a:solidFill>
            </a:rPr>
            <a:t>FOOD</a:t>
          </a:r>
        </a:p>
        <a:p>
          <a:pPr algn="l"/>
          <a:endParaRPr lang="en-US" sz="1100">
            <a:solidFill>
              <a:schemeClr val="tx1"/>
            </a:solidFill>
          </a:endParaRPr>
        </a:p>
        <a:p>
          <a:pPr algn="l"/>
          <a:r>
            <a:rPr lang="en-US" sz="1100">
              <a:solidFill>
                <a:schemeClr val="tx1"/>
              </a:solidFill>
            </a:rPr>
            <a:t>FURNITURE</a:t>
          </a:r>
        </a:p>
        <a:p>
          <a:pPr algn="l"/>
          <a:endParaRPr lang="en-US" sz="1100">
            <a:solidFill>
              <a:schemeClr val="tx1"/>
            </a:solidFill>
          </a:endParaRPr>
        </a:p>
      </xdr:txBody>
    </xdr:sp>
    <xdr:clientData/>
  </xdr:twoCellAnchor>
  <xdr:twoCellAnchor>
    <xdr:from>
      <xdr:col>11</xdr:col>
      <xdr:colOff>372410</xdr:colOff>
      <xdr:row>7</xdr:row>
      <xdr:rowOff>169800</xdr:rowOff>
    </xdr:from>
    <xdr:to>
      <xdr:col>13</xdr:col>
      <xdr:colOff>95825</xdr:colOff>
      <xdr:row>9</xdr:row>
      <xdr:rowOff>18369</xdr:rowOff>
    </xdr:to>
    <xdr:sp macro="" textlink="category!I2">
      <xdr:nvSpPr>
        <xdr:cNvPr id="63" name="TextBox 62">
          <a:extLst>
            <a:ext uri="{FF2B5EF4-FFF2-40B4-BE49-F238E27FC236}">
              <a16:creationId xmlns:a16="http://schemas.microsoft.com/office/drawing/2014/main" id="{88DF34D5-48AA-4AF5-99A2-09F467E64911}"/>
            </a:ext>
          </a:extLst>
        </xdr:cNvPr>
        <xdr:cNvSpPr txBox="1"/>
      </xdr:nvSpPr>
      <xdr:spPr>
        <a:xfrm>
          <a:off x="7136366" y="1520180"/>
          <a:ext cx="953225" cy="234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901814-362A-4BDB-81EA-AA88A6A1C2DF}" type="TxLink">
            <a:rPr lang="en-US" sz="1100" b="0" i="0" u="none" strike="noStrike">
              <a:solidFill>
                <a:srgbClr val="000000"/>
              </a:solidFill>
              <a:latin typeface="Aptos Narrow"/>
            </a:rPr>
            <a:pPr/>
            <a:t> $1,712,958 </a:t>
          </a:fld>
          <a:endParaRPr lang="en-US" sz="1100"/>
        </a:p>
      </xdr:txBody>
    </xdr:sp>
    <xdr:clientData/>
  </xdr:twoCellAnchor>
  <xdr:twoCellAnchor>
    <xdr:from>
      <xdr:col>11</xdr:col>
      <xdr:colOff>381748</xdr:colOff>
      <xdr:row>9</xdr:row>
      <xdr:rowOff>101104</xdr:rowOff>
    </xdr:from>
    <xdr:to>
      <xdr:col>13</xdr:col>
      <xdr:colOff>82628</xdr:colOff>
      <xdr:row>10</xdr:row>
      <xdr:rowOff>142583</xdr:rowOff>
    </xdr:to>
    <xdr:sp macro="" textlink="category!I3">
      <xdr:nvSpPr>
        <xdr:cNvPr id="64" name="TextBox 63">
          <a:extLst>
            <a:ext uri="{FF2B5EF4-FFF2-40B4-BE49-F238E27FC236}">
              <a16:creationId xmlns:a16="http://schemas.microsoft.com/office/drawing/2014/main" id="{451A5C31-6B42-4E15-93D6-92B0A7EEF0F0}"/>
            </a:ext>
          </a:extLst>
        </xdr:cNvPr>
        <xdr:cNvSpPr txBox="1"/>
      </xdr:nvSpPr>
      <xdr:spPr>
        <a:xfrm>
          <a:off x="7145704" y="1837307"/>
          <a:ext cx="930690" cy="234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DDF10D-72E7-41E9-A1A7-9D27B7BACE53}" type="TxLink">
            <a:rPr lang="en-US" sz="1100" b="0" i="0" u="none" strike="noStrike">
              <a:solidFill>
                <a:srgbClr val="000000"/>
              </a:solidFill>
              <a:latin typeface="Aptos Narrow"/>
            </a:rPr>
            <a:pPr/>
            <a:t> $1,574,320 </a:t>
          </a:fld>
          <a:endParaRPr lang="en-US" sz="1100"/>
        </a:p>
      </xdr:txBody>
    </xdr:sp>
    <xdr:clientData/>
  </xdr:twoCellAnchor>
  <xdr:twoCellAnchor>
    <xdr:from>
      <xdr:col>11</xdr:col>
      <xdr:colOff>391086</xdr:colOff>
      <xdr:row>11</xdr:row>
      <xdr:rowOff>75202</xdr:rowOff>
    </xdr:from>
    <xdr:to>
      <xdr:col>13</xdr:col>
      <xdr:colOff>191388</xdr:colOff>
      <xdr:row>12</xdr:row>
      <xdr:rowOff>108355</xdr:rowOff>
    </xdr:to>
    <xdr:sp macro="" textlink="category!I4">
      <xdr:nvSpPr>
        <xdr:cNvPr id="65" name="TextBox 64">
          <a:extLst>
            <a:ext uri="{FF2B5EF4-FFF2-40B4-BE49-F238E27FC236}">
              <a16:creationId xmlns:a16="http://schemas.microsoft.com/office/drawing/2014/main" id="{8FDCDEA8-DCB8-49E1-AA78-276B8DD4740E}"/>
            </a:ext>
          </a:extLst>
        </xdr:cNvPr>
        <xdr:cNvSpPr txBox="1"/>
      </xdr:nvSpPr>
      <xdr:spPr>
        <a:xfrm>
          <a:off x="7155042" y="2197227"/>
          <a:ext cx="1030112" cy="22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15C33F7-2CC4-4B25-9DE4-B5B92E900FE7}" type="TxLink">
            <a:rPr lang="en-US" sz="1100" b="0" i="0" u="none" strike="noStrike">
              <a:solidFill>
                <a:srgbClr val="000000"/>
              </a:solidFill>
              <a:latin typeface="Aptos Narrow"/>
            </a:rPr>
            <a:pPr/>
            <a:t> $1,421,108 </a:t>
          </a:fld>
          <a:endParaRPr lang="en-US" sz="1100"/>
        </a:p>
      </xdr:txBody>
    </xdr:sp>
    <xdr:clientData/>
  </xdr:twoCellAnchor>
  <xdr:twoCellAnchor>
    <xdr:from>
      <xdr:col>11</xdr:col>
      <xdr:colOff>400425</xdr:colOff>
      <xdr:row>13</xdr:row>
      <xdr:rowOff>53569</xdr:rowOff>
    </xdr:from>
    <xdr:to>
      <xdr:col>13</xdr:col>
      <xdr:colOff>61629</xdr:colOff>
      <xdr:row>14</xdr:row>
      <xdr:rowOff>86724</xdr:rowOff>
    </xdr:to>
    <xdr:sp macro="" textlink="category!I5">
      <xdr:nvSpPr>
        <xdr:cNvPr id="66" name="TextBox 65">
          <a:extLst>
            <a:ext uri="{FF2B5EF4-FFF2-40B4-BE49-F238E27FC236}">
              <a16:creationId xmlns:a16="http://schemas.microsoft.com/office/drawing/2014/main" id="{E665B1DD-0D7B-44B2-A728-FDDADB9D4486}"/>
            </a:ext>
          </a:extLst>
        </xdr:cNvPr>
        <xdr:cNvSpPr txBox="1"/>
      </xdr:nvSpPr>
      <xdr:spPr>
        <a:xfrm>
          <a:off x="7164381" y="2561417"/>
          <a:ext cx="891014" cy="226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584718-84CA-4C50-92E9-786362747BF7}" type="TxLink">
            <a:rPr lang="en-US" sz="1100" b="0" i="0" u="none" strike="noStrike">
              <a:solidFill>
                <a:srgbClr val="000000"/>
              </a:solidFill>
              <a:latin typeface="Aptos Narrow"/>
            </a:rPr>
            <a:pPr/>
            <a:t> $1,779,461 </a:t>
          </a:fld>
          <a:endParaRPr lang="en-US" sz="1100"/>
        </a:p>
      </xdr:txBody>
    </xdr:sp>
    <xdr:clientData/>
  </xdr:twoCellAnchor>
  <xdr:twoCellAnchor>
    <xdr:from>
      <xdr:col>3</xdr:col>
      <xdr:colOff>283929</xdr:colOff>
      <xdr:row>13</xdr:row>
      <xdr:rowOff>63320</xdr:rowOff>
    </xdr:from>
    <xdr:to>
      <xdr:col>6</xdr:col>
      <xdr:colOff>393520</xdr:colOff>
      <xdr:row>17</xdr:row>
      <xdr:rowOff>60284</xdr:rowOff>
    </xdr:to>
    <xdr:sp macro="" textlink="">
      <xdr:nvSpPr>
        <xdr:cNvPr id="68" name="Rectangle: Diagonal Corners Rounded 67">
          <a:extLst>
            <a:ext uri="{FF2B5EF4-FFF2-40B4-BE49-F238E27FC236}">
              <a16:creationId xmlns:a16="http://schemas.microsoft.com/office/drawing/2014/main" id="{5934D29D-C0AE-41D9-BEC6-7BD68E4A98C7}"/>
            </a:ext>
          </a:extLst>
        </xdr:cNvPr>
        <xdr:cNvSpPr/>
      </xdr:nvSpPr>
      <xdr:spPr>
        <a:xfrm>
          <a:off x="2128644" y="2571168"/>
          <a:ext cx="1954306" cy="768610"/>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TOP PAYMENT METHOD FOR FURNITURE</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6</xdr:col>
      <xdr:colOff>488770</xdr:colOff>
      <xdr:row>4</xdr:row>
      <xdr:rowOff>156740</xdr:rowOff>
    </xdr:from>
    <xdr:to>
      <xdr:col>9</xdr:col>
      <xdr:colOff>595745</xdr:colOff>
      <xdr:row>17</xdr:row>
      <xdr:rowOff>4368</xdr:rowOff>
    </xdr:to>
    <xdr:sp macro="" textlink="">
      <xdr:nvSpPr>
        <xdr:cNvPr id="69" name="Rectangle: Diagonal Corners Rounded 68">
          <a:extLst>
            <a:ext uri="{FF2B5EF4-FFF2-40B4-BE49-F238E27FC236}">
              <a16:creationId xmlns:a16="http://schemas.microsoft.com/office/drawing/2014/main" id="{1C48472E-9A21-4D75-96CD-E92F6CDC90EA}"/>
            </a:ext>
          </a:extLst>
        </xdr:cNvPr>
        <xdr:cNvSpPr/>
      </xdr:nvSpPr>
      <xdr:spPr>
        <a:xfrm>
          <a:off x="4178200" y="928386"/>
          <a:ext cx="1951691" cy="2355476"/>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TOTAL ORDERS PER CATEGORY</a:t>
          </a:r>
        </a:p>
        <a:p>
          <a:pPr algn="ctr"/>
          <a:endParaRPr lang="en-US" sz="1100" baseline="0">
            <a:solidFill>
              <a:schemeClr val="tx1"/>
            </a:solidFill>
          </a:endParaRPr>
        </a:p>
        <a:p>
          <a:pPr algn="ctr"/>
          <a:endParaRPr lang="en-US" sz="1100" baseline="0">
            <a:solidFill>
              <a:schemeClr val="tx1"/>
            </a:solidFill>
          </a:endParaRPr>
        </a:p>
        <a:p>
          <a:pPr algn="l"/>
          <a:r>
            <a:rPr lang="en-US" sz="1100">
              <a:solidFill>
                <a:schemeClr val="tx1"/>
              </a:solidFill>
            </a:rPr>
            <a:t>FOOD	</a:t>
          </a:r>
        </a:p>
        <a:p>
          <a:pPr algn="l"/>
          <a:endParaRPr lang="en-US" sz="1100">
            <a:solidFill>
              <a:schemeClr val="tx1"/>
            </a:solidFill>
          </a:endParaRPr>
        </a:p>
        <a:p>
          <a:pPr algn="l"/>
          <a:r>
            <a:rPr lang="en-US" sz="1100">
              <a:solidFill>
                <a:schemeClr val="tx1"/>
              </a:solidFill>
            </a:rPr>
            <a:t>CLOTHING	</a:t>
          </a:r>
        </a:p>
        <a:p>
          <a:pPr algn="l"/>
          <a:endParaRPr lang="en-US" sz="1100">
            <a:solidFill>
              <a:schemeClr val="tx1"/>
            </a:solidFill>
          </a:endParaRPr>
        </a:p>
        <a:p>
          <a:pPr algn="l"/>
          <a:r>
            <a:rPr lang="en-US" sz="1100">
              <a:solidFill>
                <a:schemeClr val="tx1"/>
              </a:solidFill>
            </a:rPr>
            <a:t>ELECTRO	</a:t>
          </a:r>
        </a:p>
        <a:p>
          <a:pPr algn="l"/>
          <a:endParaRPr lang="en-US" sz="1100">
            <a:solidFill>
              <a:schemeClr val="tx1"/>
            </a:solidFill>
          </a:endParaRPr>
        </a:p>
        <a:p>
          <a:pPr algn="l"/>
          <a:r>
            <a:rPr lang="en-US" sz="1100">
              <a:solidFill>
                <a:schemeClr val="tx1"/>
              </a:solidFill>
            </a:rPr>
            <a:t>FURNITURE	</a:t>
          </a:r>
        </a:p>
        <a:p>
          <a:pPr algn="l"/>
          <a:endParaRPr lang="en-US" sz="1100">
            <a:solidFill>
              <a:schemeClr val="tx1"/>
            </a:solidFill>
          </a:endParaRPr>
        </a:p>
      </xdr:txBody>
    </xdr:sp>
    <xdr:clientData/>
  </xdr:twoCellAnchor>
  <xdr:twoCellAnchor>
    <xdr:from>
      <xdr:col>8</xdr:col>
      <xdr:colOff>500126</xdr:colOff>
      <xdr:row>8</xdr:row>
      <xdr:rowOff>169717</xdr:rowOff>
    </xdr:from>
    <xdr:to>
      <xdr:col>9</xdr:col>
      <xdr:colOff>548693</xdr:colOff>
      <xdr:row>10</xdr:row>
      <xdr:rowOff>68549</xdr:rowOff>
    </xdr:to>
    <xdr:sp macro="" textlink="category!B2">
      <xdr:nvSpPr>
        <xdr:cNvPr id="70" name="TextBox 69">
          <a:extLst>
            <a:ext uri="{FF2B5EF4-FFF2-40B4-BE49-F238E27FC236}">
              <a16:creationId xmlns:a16="http://schemas.microsoft.com/office/drawing/2014/main" id="{E1977FEA-1100-4524-BE99-024993B74B87}"/>
            </a:ext>
          </a:extLst>
        </xdr:cNvPr>
        <xdr:cNvSpPr txBox="1"/>
      </xdr:nvSpPr>
      <xdr:spPr>
        <a:xfrm>
          <a:off x="5419367" y="1713008"/>
          <a:ext cx="663472" cy="284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DEDFEB-249E-4CE7-969F-52B2E980EFE6}" type="TxLink">
            <a:rPr lang="en-US" sz="1100" b="0" i="0" u="none" strike="noStrike">
              <a:solidFill>
                <a:srgbClr val="000000"/>
              </a:solidFill>
              <a:latin typeface="Aptos Narrow"/>
            </a:rPr>
            <a:pPr/>
            <a:t>26.80%</a:t>
          </a:fld>
          <a:endParaRPr lang="en-US" sz="1100"/>
        </a:p>
      </xdr:txBody>
    </xdr:sp>
    <xdr:clientData/>
  </xdr:twoCellAnchor>
  <xdr:twoCellAnchor>
    <xdr:from>
      <xdr:col>8</xdr:col>
      <xdr:colOff>501871</xdr:colOff>
      <xdr:row>10</xdr:row>
      <xdr:rowOff>107451</xdr:rowOff>
    </xdr:from>
    <xdr:to>
      <xdr:col>9</xdr:col>
      <xdr:colOff>611031</xdr:colOff>
      <xdr:row>11</xdr:row>
      <xdr:rowOff>158685</xdr:rowOff>
    </xdr:to>
    <xdr:sp macro="" textlink="category!B3">
      <xdr:nvSpPr>
        <xdr:cNvPr id="71" name="TextBox 70">
          <a:extLst>
            <a:ext uri="{FF2B5EF4-FFF2-40B4-BE49-F238E27FC236}">
              <a16:creationId xmlns:a16="http://schemas.microsoft.com/office/drawing/2014/main" id="{941ABE1E-6E67-48E8-B322-E5BFA4D58879}"/>
            </a:ext>
          </a:extLst>
        </xdr:cNvPr>
        <xdr:cNvSpPr txBox="1"/>
      </xdr:nvSpPr>
      <xdr:spPr>
        <a:xfrm>
          <a:off x="5421112" y="2036565"/>
          <a:ext cx="724065" cy="244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75102B-261E-4EDF-8CD7-9CB8A90BA12C}" type="TxLink">
            <a:rPr lang="en-US" sz="1100" b="0" i="0" u="none" strike="noStrike">
              <a:solidFill>
                <a:srgbClr val="000000"/>
              </a:solidFill>
              <a:latin typeface="Aptos Narrow"/>
            </a:rPr>
            <a:pPr/>
            <a:t>24.60%</a:t>
          </a:fld>
          <a:endParaRPr lang="en-US" sz="1100"/>
        </a:p>
      </xdr:txBody>
    </xdr:sp>
    <xdr:clientData/>
  </xdr:twoCellAnchor>
  <xdr:twoCellAnchor>
    <xdr:from>
      <xdr:col>8</xdr:col>
      <xdr:colOff>488651</xdr:colOff>
      <xdr:row>12</xdr:row>
      <xdr:rowOff>50416</xdr:rowOff>
    </xdr:from>
    <xdr:to>
      <xdr:col>9</xdr:col>
      <xdr:colOff>487502</xdr:colOff>
      <xdr:row>13</xdr:row>
      <xdr:rowOff>30678</xdr:rowOff>
    </xdr:to>
    <xdr:sp macro="" textlink="category!B4">
      <xdr:nvSpPr>
        <xdr:cNvPr id="72" name="TextBox 71">
          <a:extLst>
            <a:ext uri="{FF2B5EF4-FFF2-40B4-BE49-F238E27FC236}">
              <a16:creationId xmlns:a16="http://schemas.microsoft.com/office/drawing/2014/main" id="{FEB9F4FE-90E2-4122-9526-9A7342767B41}"/>
            </a:ext>
          </a:extLst>
        </xdr:cNvPr>
        <xdr:cNvSpPr txBox="1"/>
      </xdr:nvSpPr>
      <xdr:spPr>
        <a:xfrm>
          <a:off x="5407892" y="2365353"/>
          <a:ext cx="613756" cy="173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EE1FCC-BA04-4BED-8A08-AC43842F51DC}" type="TxLink">
            <a:rPr lang="en-US" sz="1100" b="0" i="0" u="none" strike="noStrike">
              <a:solidFill>
                <a:srgbClr val="000000"/>
              </a:solidFill>
              <a:latin typeface="Aptos Narrow"/>
            </a:rPr>
            <a:pPr/>
            <a:t>22.60%</a:t>
          </a:fld>
          <a:endParaRPr lang="en-US" sz="1100"/>
        </a:p>
      </xdr:txBody>
    </xdr:sp>
    <xdr:clientData/>
  </xdr:twoCellAnchor>
  <xdr:twoCellAnchor>
    <xdr:from>
      <xdr:col>8</xdr:col>
      <xdr:colOff>536296</xdr:colOff>
      <xdr:row>13</xdr:row>
      <xdr:rowOff>180855</xdr:rowOff>
    </xdr:from>
    <xdr:to>
      <xdr:col>9</xdr:col>
      <xdr:colOff>554620</xdr:colOff>
      <xdr:row>15</xdr:row>
      <xdr:rowOff>60285</xdr:rowOff>
    </xdr:to>
    <xdr:sp macro="" textlink="category!B5">
      <xdr:nvSpPr>
        <xdr:cNvPr id="73" name="TextBox 72">
          <a:extLst>
            <a:ext uri="{FF2B5EF4-FFF2-40B4-BE49-F238E27FC236}">
              <a16:creationId xmlns:a16="http://schemas.microsoft.com/office/drawing/2014/main" id="{22A518AA-1941-45D9-BB5C-D02026ADCBF6}"/>
            </a:ext>
          </a:extLst>
        </xdr:cNvPr>
        <xdr:cNvSpPr txBox="1"/>
      </xdr:nvSpPr>
      <xdr:spPr>
        <a:xfrm>
          <a:off x="5455537" y="2688703"/>
          <a:ext cx="633229" cy="26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7EC92FA-6A0C-4440-B7DB-957E3FD88264}" type="TxLink">
            <a:rPr lang="en-US" sz="1100" b="0" i="0" u="none" strike="noStrike">
              <a:solidFill>
                <a:srgbClr val="000000"/>
              </a:solidFill>
              <a:latin typeface="Aptos Narrow"/>
            </a:rPr>
            <a:pPr/>
            <a:t>26.00%</a:t>
          </a:fld>
          <a:endParaRPr lang="en-US" sz="1100"/>
        </a:p>
      </xdr:txBody>
    </xdr:sp>
    <xdr:clientData/>
  </xdr:twoCellAnchor>
  <xdr:twoCellAnchor>
    <xdr:from>
      <xdr:col>3</xdr:col>
      <xdr:colOff>289367</xdr:colOff>
      <xdr:row>9</xdr:row>
      <xdr:rowOff>24114</xdr:rowOff>
    </xdr:from>
    <xdr:to>
      <xdr:col>6</xdr:col>
      <xdr:colOff>422717</xdr:colOff>
      <xdr:row>12</xdr:row>
      <xdr:rowOff>150789</xdr:rowOff>
    </xdr:to>
    <xdr:sp macro="" textlink="">
      <xdr:nvSpPr>
        <xdr:cNvPr id="76" name="Rectangle: Diagonal Corners Rounded 75">
          <a:extLst>
            <a:ext uri="{FF2B5EF4-FFF2-40B4-BE49-F238E27FC236}">
              <a16:creationId xmlns:a16="http://schemas.microsoft.com/office/drawing/2014/main" id="{19617FCA-182B-49BE-A822-5DB03757DE5E}"/>
            </a:ext>
          </a:extLst>
        </xdr:cNvPr>
        <xdr:cNvSpPr/>
      </xdr:nvSpPr>
      <xdr:spPr>
        <a:xfrm>
          <a:off x="2134082" y="1760317"/>
          <a:ext cx="1978065" cy="705409"/>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a:solidFill>
                <a:schemeClr val="tx1"/>
              </a:solidFill>
              <a:effectLst/>
            </a:rPr>
            <a:t>MONTH</a:t>
          </a:r>
          <a:r>
            <a:rPr lang="en-US" baseline="0">
              <a:solidFill>
                <a:schemeClr val="tx1"/>
              </a:solidFill>
              <a:effectLst/>
            </a:rPr>
            <a:t> WITH HIGHEST FURNITURE SALES</a:t>
          </a:r>
        </a:p>
      </xdr:txBody>
    </xdr:sp>
    <xdr:clientData/>
  </xdr:twoCellAnchor>
  <xdr:twoCellAnchor>
    <xdr:from>
      <xdr:col>3</xdr:col>
      <xdr:colOff>265253</xdr:colOff>
      <xdr:row>4</xdr:row>
      <xdr:rowOff>185502</xdr:rowOff>
    </xdr:from>
    <xdr:to>
      <xdr:col>6</xdr:col>
      <xdr:colOff>374844</xdr:colOff>
      <xdr:row>8</xdr:row>
      <xdr:rowOff>88451</xdr:rowOff>
    </xdr:to>
    <xdr:sp macro="" textlink="">
      <xdr:nvSpPr>
        <xdr:cNvPr id="78" name="Rectangle: Diagonal Corners Rounded 77">
          <a:extLst>
            <a:ext uri="{FF2B5EF4-FFF2-40B4-BE49-F238E27FC236}">
              <a16:creationId xmlns:a16="http://schemas.microsoft.com/office/drawing/2014/main" id="{2BF9E7FF-7E07-4470-AC00-670D46BE1657}"/>
            </a:ext>
          </a:extLst>
        </xdr:cNvPr>
        <xdr:cNvSpPr/>
      </xdr:nvSpPr>
      <xdr:spPr>
        <a:xfrm>
          <a:off x="2109968" y="957148"/>
          <a:ext cx="1954306" cy="674594"/>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TOP CATEGORY BY PROFIT</a:t>
          </a:r>
        </a:p>
        <a:p>
          <a:pPr algn="ctr"/>
          <a:endParaRPr lang="en-US" sz="1100" baseline="0">
            <a:solidFill>
              <a:schemeClr val="tx1"/>
            </a:solidFill>
          </a:endParaRPr>
        </a:p>
        <a:p>
          <a:pPr algn="ctr"/>
          <a:r>
            <a:rPr lang="en-US" sz="1100" baseline="0">
              <a:solidFill>
                <a:schemeClr val="tx1"/>
              </a:solidFill>
            </a:rPr>
            <a:t>FURNITURE</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13</xdr:col>
      <xdr:colOff>471353</xdr:colOff>
      <xdr:row>18</xdr:row>
      <xdr:rowOff>8993</xdr:rowOff>
    </xdr:from>
    <xdr:to>
      <xdr:col>21</xdr:col>
      <xdr:colOff>224381</xdr:colOff>
      <xdr:row>32</xdr:row>
      <xdr:rowOff>63801</xdr:rowOff>
    </xdr:to>
    <xdr:graphicFrame macro="">
      <xdr:nvGraphicFramePr>
        <xdr:cNvPr id="89" name="Chart 88">
          <a:extLst>
            <a:ext uri="{FF2B5EF4-FFF2-40B4-BE49-F238E27FC236}">
              <a16:creationId xmlns:a16="http://schemas.microsoft.com/office/drawing/2014/main" id="{97EC34F1-AE60-4925-9862-236552AA9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471354</xdr:colOff>
      <xdr:row>4</xdr:row>
      <xdr:rowOff>132626</xdr:rowOff>
    </xdr:from>
    <xdr:to>
      <xdr:col>21</xdr:col>
      <xdr:colOff>235858</xdr:colOff>
      <xdr:row>17</xdr:row>
      <xdr:rowOff>110098</xdr:rowOff>
    </xdr:to>
    <xdr:graphicFrame macro="">
      <xdr:nvGraphicFramePr>
        <xdr:cNvPr id="90" name="Chart 89">
          <a:extLst>
            <a:ext uri="{FF2B5EF4-FFF2-40B4-BE49-F238E27FC236}">
              <a16:creationId xmlns:a16="http://schemas.microsoft.com/office/drawing/2014/main" id="{B9C4EAAA-A3EC-46DC-A9AF-2F80A193AE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481697</xdr:colOff>
      <xdr:row>33</xdr:row>
      <xdr:rowOff>34703</xdr:rowOff>
    </xdr:from>
    <xdr:to>
      <xdr:col>21</xdr:col>
      <xdr:colOff>247334</xdr:colOff>
      <xdr:row>46</xdr:row>
      <xdr:rowOff>153496</xdr:rowOff>
    </xdr:to>
    <xdr:graphicFrame macro="">
      <xdr:nvGraphicFramePr>
        <xdr:cNvPr id="91" name="Chart 90">
          <a:extLst>
            <a:ext uri="{FF2B5EF4-FFF2-40B4-BE49-F238E27FC236}">
              <a16:creationId xmlns:a16="http://schemas.microsoft.com/office/drawing/2014/main" id="{E3E0E4E9-04BA-4A2F-97AC-9E5D0B5D1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313481</xdr:colOff>
      <xdr:row>17</xdr:row>
      <xdr:rowOff>156740</xdr:rowOff>
    </xdr:from>
    <xdr:to>
      <xdr:col>12</xdr:col>
      <xdr:colOff>494335</xdr:colOff>
      <xdr:row>32</xdr:row>
      <xdr:rowOff>6269</xdr:rowOff>
    </xdr:to>
    <xdr:graphicFrame macro="">
      <xdr:nvGraphicFramePr>
        <xdr:cNvPr id="92" name="Chart 91">
          <a:extLst>
            <a:ext uri="{FF2B5EF4-FFF2-40B4-BE49-F238E27FC236}">
              <a16:creationId xmlns:a16="http://schemas.microsoft.com/office/drawing/2014/main" id="{3989F359-35C6-4CC7-896B-5683CA7AA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108514</xdr:colOff>
      <xdr:row>15</xdr:row>
      <xdr:rowOff>108512</xdr:rowOff>
    </xdr:from>
    <xdr:to>
      <xdr:col>6</xdr:col>
      <xdr:colOff>12057</xdr:colOff>
      <xdr:row>16</xdr:row>
      <xdr:rowOff>180855</xdr:rowOff>
    </xdr:to>
    <xdr:sp macro="" textlink="">
      <xdr:nvSpPr>
        <xdr:cNvPr id="96" name="TextBox 95">
          <a:extLst>
            <a:ext uri="{FF2B5EF4-FFF2-40B4-BE49-F238E27FC236}">
              <a16:creationId xmlns:a16="http://schemas.microsoft.com/office/drawing/2014/main" id="{FC8292C7-3793-6CAB-C724-3B13CEDA63C4}"/>
            </a:ext>
          </a:extLst>
        </xdr:cNvPr>
        <xdr:cNvSpPr txBox="1"/>
      </xdr:nvSpPr>
      <xdr:spPr>
        <a:xfrm>
          <a:off x="2568134" y="3002183"/>
          <a:ext cx="1133353" cy="265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BANK TRANSFER</a:t>
          </a:r>
          <a:endParaRPr lang="en-US">
            <a:effectLst/>
          </a:endParaRPr>
        </a:p>
        <a:p>
          <a:endParaRPr lang="en-US" sz="1100"/>
        </a:p>
      </xdr:txBody>
    </xdr:sp>
    <xdr:clientData/>
  </xdr:twoCellAnchor>
  <xdr:twoCellAnchor>
    <xdr:from>
      <xdr:col>4</xdr:col>
      <xdr:colOff>397880</xdr:colOff>
      <xdr:row>11</xdr:row>
      <xdr:rowOff>84399</xdr:rowOff>
    </xdr:from>
    <xdr:to>
      <xdr:col>5</xdr:col>
      <xdr:colOff>217025</xdr:colOff>
      <xdr:row>12</xdr:row>
      <xdr:rowOff>120570</xdr:rowOff>
    </xdr:to>
    <xdr:sp macro="" textlink="">
      <xdr:nvSpPr>
        <xdr:cNvPr id="97" name="TextBox 96">
          <a:extLst>
            <a:ext uri="{FF2B5EF4-FFF2-40B4-BE49-F238E27FC236}">
              <a16:creationId xmlns:a16="http://schemas.microsoft.com/office/drawing/2014/main" id="{205EF93D-1AC9-B04C-03C0-7E2DEEC9FD1F}"/>
            </a:ext>
          </a:extLst>
        </xdr:cNvPr>
        <xdr:cNvSpPr txBox="1"/>
      </xdr:nvSpPr>
      <xdr:spPr>
        <a:xfrm>
          <a:off x="2857500" y="2206424"/>
          <a:ext cx="434050" cy="229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JUN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465019</xdr:colOff>
      <xdr:row>0</xdr:row>
      <xdr:rowOff>0</xdr:rowOff>
    </xdr:from>
    <xdr:to>
      <xdr:col>21</xdr:col>
      <xdr:colOff>289366</xdr:colOff>
      <xdr:row>3</xdr:row>
      <xdr:rowOff>152400</xdr:rowOff>
    </xdr:to>
    <xdr:sp macro="" textlink="">
      <xdr:nvSpPr>
        <xdr:cNvPr id="2" name="Rectangle: Rounded Corners 1">
          <a:extLst>
            <a:ext uri="{FF2B5EF4-FFF2-40B4-BE49-F238E27FC236}">
              <a16:creationId xmlns:a16="http://schemas.microsoft.com/office/drawing/2014/main" id="{CCAA442A-7AC8-4849-8E90-C1CA62D3A082}"/>
            </a:ext>
          </a:extLst>
        </xdr:cNvPr>
        <xdr:cNvSpPr/>
      </xdr:nvSpPr>
      <xdr:spPr>
        <a:xfrm>
          <a:off x="1684219" y="0"/>
          <a:ext cx="11406747" cy="723900"/>
        </a:xfrm>
        <a:prstGeom prst="roundRect">
          <a:avLst/>
        </a:prstGeom>
        <a:solidFill>
          <a:srgbClr val="D4A373"/>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2400" b="1" i="1" baseline="0"/>
            <a:t>REGION DASHBOARD</a:t>
          </a:r>
          <a:endParaRPr lang="en-US" sz="2400" b="1" i="1"/>
        </a:p>
      </xdr:txBody>
    </xdr:sp>
    <xdr:clientData/>
  </xdr:twoCellAnchor>
  <xdr:oneCellAnchor>
    <xdr:from>
      <xdr:col>7</xdr:col>
      <xdr:colOff>219075</xdr:colOff>
      <xdr:row>8</xdr:row>
      <xdr:rowOff>0</xdr:rowOff>
    </xdr:from>
    <xdr:ext cx="184731" cy="264560"/>
    <xdr:sp macro="" textlink="">
      <xdr:nvSpPr>
        <xdr:cNvPr id="3" name="TextBox 2">
          <a:extLst>
            <a:ext uri="{FF2B5EF4-FFF2-40B4-BE49-F238E27FC236}">
              <a16:creationId xmlns:a16="http://schemas.microsoft.com/office/drawing/2014/main" id="{939E5640-01F7-4F62-B311-8515E2985661}"/>
            </a:ext>
          </a:extLst>
        </xdr:cNvPr>
        <xdr:cNvSpPr txBox="1"/>
      </xdr:nvSpPr>
      <xdr:spPr>
        <a:xfrm>
          <a:off x="4486275" y="1524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9525</xdr:colOff>
      <xdr:row>0</xdr:row>
      <xdr:rowOff>0</xdr:rowOff>
    </xdr:from>
    <xdr:to>
      <xdr:col>2</xdr:col>
      <xdr:colOff>590550</xdr:colOff>
      <xdr:row>47</xdr:row>
      <xdr:rowOff>104775</xdr:rowOff>
    </xdr:to>
    <xdr:sp macro="" textlink="">
      <xdr:nvSpPr>
        <xdr:cNvPr id="4" name="Rectangle 3">
          <a:extLst>
            <a:ext uri="{FF2B5EF4-FFF2-40B4-BE49-F238E27FC236}">
              <a16:creationId xmlns:a16="http://schemas.microsoft.com/office/drawing/2014/main" id="{75E18449-3C9C-42E5-8CB5-1516A33D7BF4}"/>
            </a:ext>
          </a:extLst>
        </xdr:cNvPr>
        <xdr:cNvSpPr/>
      </xdr:nvSpPr>
      <xdr:spPr>
        <a:xfrm>
          <a:off x="9525" y="0"/>
          <a:ext cx="1800225" cy="9058275"/>
        </a:xfrm>
        <a:prstGeom prst="rect">
          <a:avLst/>
        </a:prstGeom>
        <a:solidFill>
          <a:srgbClr val="CCD5AE"/>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oneCellAnchor>
    <xdr:from>
      <xdr:col>7</xdr:col>
      <xdr:colOff>0</xdr:colOff>
      <xdr:row>8</xdr:row>
      <xdr:rowOff>19050</xdr:rowOff>
    </xdr:from>
    <xdr:ext cx="184731" cy="264560"/>
    <xdr:sp macro="" textlink="">
      <xdr:nvSpPr>
        <xdr:cNvPr id="5" name="TextBox 4">
          <a:extLst>
            <a:ext uri="{FF2B5EF4-FFF2-40B4-BE49-F238E27FC236}">
              <a16:creationId xmlns:a16="http://schemas.microsoft.com/office/drawing/2014/main" id="{76FDF855-2C56-4CF1-9B9C-99C955E2E5BD}"/>
            </a:ext>
          </a:extLst>
        </xdr:cNvPr>
        <xdr:cNvSpPr txBox="1"/>
      </xdr:nvSpPr>
      <xdr:spPr>
        <a:xfrm>
          <a:off x="4267200" y="1543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0</xdr:colOff>
      <xdr:row>4</xdr:row>
      <xdr:rowOff>0</xdr:rowOff>
    </xdr:from>
    <xdr:to>
      <xdr:col>2</xdr:col>
      <xdr:colOff>571500</xdr:colOff>
      <xdr:row>20</xdr:row>
      <xdr:rowOff>48228</xdr:rowOff>
    </xdr:to>
    <mc:AlternateContent xmlns:mc="http://schemas.openxmlformats.org/markup-compatibility/2006" xmlns:a14="http://schemas.microsoft.com/office/drawing/2010/main">
      <mc:Choice Requires="a14">
        <xdr:graphicFrame macro="">
          <xdr:nvGraphicFramePr>
            <xdr:cNvPr id="6" name="month 4">
              <a:extLst>
                <a:ext uri="{FF2B5EF4-FFF2-40B4-BE49-F238E27FC236}">
                  <a16:creationId xmlns:a16="http://schemas.microsoft.com/office/drawing/2014/main" id="{461B224A-A79B-459A-A024-42E2739981F3}"/>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0" y="747059"/>
              <a:ext cx="1785471" cy="30364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96455</xdr:rowOff>
    </xdr:from>
    <xdr:to>
      <xdr:col>2</xdr:col>
      <xdr:colOff>554620</xdr:colOff>
      <xdr:row>44</xdr:row>
      <xdr:rowOff>72342</xdr:rowOff>
    </xdr:to>
    <mc:AlternateContent xmlns:mc="http://schemas.openxmlformats.org/markup-compatibility/2006" xmlns:a14="http://schemas.microsoft.com/office/drawing/2010/main">
      <mc:Choice Requires="a14">
        <xdr:graphicFrame macro="">
          <xdr:nvGraphicFramePr>
            <xdr:cNvPr id="7" name="Discount 5">
              <a:extLst>
                <a:ext uri="{FF2B5EF4-FFF2-40B4-BE49-F238E27FC236}">
                  <a16:creationId xmlns:a16="http://schemas.microsoft.com/office/drawing/2014/main" id="{A81BD041-2D52-4C1F-A0B5-9B14C14F88F6}"/>
                </a:ext>
              </a:extLst>
            </xdr:cNvPr>
            <xdr:cNvGraphicFramePr/>
          </xdr:nvGraphicFramePr>
          <xdr:xfrm>
            <a:off x="0" y="0"/>
            <a:ext cx="0" cy="0"/>
          </xdr:xfrm>
          <a:graphic>
            <a:graphicData uri="http://schemas.microsoft.com/office/drawing/2010/slicer">
              <sle:slicer xmlns:sle="http://schemas.microsoft.com/office/drawing/2010/slicer" name="Discount 5"/>
            </a:graphicData>
          </a:graphic>
        </xdr:graphicFrame>
      </mc:Choice>
      <mc:Fallback xmlns="">
        <xdr:sp macro="" textlink="">
          <xdr:nvSpPr>
            <xdr:cNvPr id="0" name=""/>
            <xdr:cNvSpPr>
              <a:spLocks noTextEdit="1"/>
            </xdr:cNvSpPr>
          </xdr:nvSpPr>
          <xdr:spPr>
            <a:xfrm>
              <a:off x="0" y="3831749"/>
              <a:ext cx="1768591" cy="4458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12057</xdr:colOff>
      <xdr:row>44</xdr:row>
      <xdr:rowOff>109050</xdr:rowOff>
    </xdr:from>
    <xdr:to>
      <xdr:col>2</xdr:col>
      <xdr:colOff>554620</xdr:colOff>
      <xdr:row>47</xdr:row>
      <xdr:rowOff>72341</xdr:rowOff>
    </xdr:to>
    <xdr:sp macro="[0]!Module2.ClearAllSlicers" textlink="">
      <xdr:nvSpPr>
        <xdr:cNvPr id="8" name="Rectangle: Rounded Corners 7">
          <a:extLst>
            <a:ext uri="{FF2B5EF4-FFF2-40B4-BE49-F238E27FC236}">
              <a16:creationId xmlns:a16="http://schemas.microsoft.com/office/drawing/2014/main" id="{B5246AC0-26F4-403D-B559-E5091F4AB28F}"/>
            </a:ext>
          </a:extLst>
        </xdr:cNvPr>
        <xdr:cNvSpPr/>
      </xdr:nvSpPr>
      <xdr:spPr>
        <a:xfrm>
          <a:off x="12057" y="8491050"/>
          <a:ext cx="1761763" cy="53479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a:t>reset</a:t>
          </a:r>
          <a:r>
            <a:rPr lang="en-US" sz="1400" baseline="0"/>
            <a:t> filters</a:t>
          </a:r>
          <a:endParaRPr lang="en-US" sz="1400"/>
        </a:p>
      </xdr:txBody>
    </xdr:sp>
    <xdr:clientData/>
  </xdr:twoCellAnchor>
  <xdr:twoCellAnchor editAs="oneCell">
    <xdr:from>
      <xdr:col>0</xdr:col>
      <xdr:colOff>0</xdr:colOff>
      <xdr:row>0</xdr:row>
      <xdr:rowOff>12057</xdr:rowOff>
    </xdr:from>
    <xdr:to>
      <xdr:col>3</xdr:col>
      <xdr:colOff>65008</xdr:colOff>
      <xdr:row>4</xdr:row>
      <xdr:rowOff>24112</xdr:rowOff>
    </xdr:to>
    <xdr:pic>
      <xdr:nvPicPr>
        <xdr:cNvPr id="9" name="Picture 8">
          <a:extLst>
            <a:ext uri="{FF2B5EF4-FFF2-40B4-BE49-F238E27FC236}">
              <a16:creationId xmlns:a16="http://schemas.microsoft.com/office/drawing/2014/main" id="{04BCADC2-80E4-4A43-AA44-1506D58C8A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57"/>
          <a:ext cx="1893808" cy="774055"/>
        </a:xfrm>
        <a:prstGeom prst="rect">
          <a:avLst/>
        </a:prstGeom>
      </xdr:spPr>
    </xdr:pic>
    <xdr:clientData/>
  </xdr:twoCellAnchor>
  <xdr:twoCellAnchor editAs="oneCell">
    <xdr:from>
      <xdr:col>19</xdr:col>
      <xdr:colOff>168797</xdr:colOff>
      <xdr:row>0</xdr:row>
      <xdr:rowOff>0</xdr:rowOff>
    </xdr:from>
    <xdr:to>
      <xdr:col>20</xdr:col>
      <xdr:colOff>468292</xdr:colOff>
      <xdr:row>4</xdr:row>
      <xdr:rowOff>0</xdr:rowOff>
    </xdr:to>
    <xdr:pic>
      <xdr:nvPicPr>
        <xdr:cNvPr id="10" name="Graphic 9" descr="Back with solid fill">
          <a:hlinkClick xmlns:r="http://schemas.openxmlformats.org/officeDocument/2006/relationships" r:id="rId2"/>
          <a:extLst>
            <a:ext uri="{FF2B5EF4-FFF2-40B4-BE49-F238E27FC236}">
              <a16:creationId xmlns:a16="http://schemas.microsoft.com/office/drawing/2014/main" id="{D0F33E14-2F02-40D5-BB44-21F704B1E84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751197" y="0"/>
          <a:ext cx="909095" cy="762000"/>
        </a:xfrm>
        <a:prstGeom prst="rect">
          <a:avLst/>
        </a:prstGeom>
      </xdr:spPr>
    </xdr:pic>
    <xdr:clientData/>
  </xdr:twoCellAnchor>
  <xdr:twoCellAnchor>
    <xdr:from>
      <xdr:col>10</xdr:col>
      <xdr:colOff>66565</xdr:colOff>
      <xdr:row>4</xdr:row>
      <xdr:rowOff>156740</xdr:rowOff>
    </xdr:from>
    <xdr:to>
      <xdr:col>13</xdr:col>
      <xdr:colOff>176156</xdr:colOff>
      <xdr:row>17</xdr:row>
      <xdr:rowOff>4368</xdr:rowOff>
    </xdr:to>
    <xdr:sp macro="" textlink="">
      <xdr:nvSpPr>
        <xdr:cNvPr id="11" name="Rectangle: Diagonal Corners Rounded 10">
          <a:extLst>
            <a:ext uri="{FF2B5EF4-FFF2-40B4-BE49-F238E27FC236}">
              <a16:creationId xmlns:a16="http://schemas.microsoft.com/office/drawing/2014/main" id="{482B221A-F35C-4B69-A3D2-A02B0F514409}"/>
            </a:ext>
          </a:extLst>
        </xdr:cNvPr>
        <xdr:cNvSpPr/>
      </xdr:nvSpPr>
      <xdr:spPr>
        <a:xfrm>
          <a:off x="6162565" y="918740"/>
          <a:ext cx="1938391" cy="2324128"/>
        </a:xfrm>
        <a:prstGeom prst="round2DiagRect">
          <a:avLst/>
        </a:prstGeom>
        <a:solidFill>
          <a:srgbClr val="CCD5AE">
            <a:alpha val="47059"/>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EACH REGION TOTAL SALES</a:t>
          </a:r>
        </a:p>
        <a:p>
          <a:pPr algn="ctr"/>
          <a:endParaRPr lang="en-US" sz="1100" baseline="0">
            <a:solidFill>
              <a:schemeClr val="tx1"/>
            </a:solidFill>
          </a:endParaRPr>
        </a:p>
        <a:p>
          <a:pPr algn="ctr"/>
          <a:endParaRPr lang="en-US" sz="1100" baseline="0">
            <a:solidFill>
              <a:schemeClr val="tx1"/>
            </a:solidFill>
          </a:endParaRPr>
        </a:p>
        <a:p>
          <a:pPr algn="ctr"/>
          <a:endParaRPr lang="en-US" sz="1100" baseline="0">
            <a:solidFill>
              <a:schemeClr val="tx1"/>
            </a:solidFill>
          </a:endParaRPr>
        </a:p>
        <a:p>
          <a:pPr algn="l"/>
          <a:r>
            <a:rPr lang="en-US" sz="1100">
              <a:solidFill>
                <a:schemeClr val="tx1"/>
              </a:solidFill>
            </a:rPr>
            <a:t>NORTH</a:t>
          </a:r>
        </a:p>
        <a:p>
          <a:pPr algn="l"/>
          <a:endParaRPr lang="en-US" sz="1100">
            <a:solidFill>
              <a:schemeClr val="tx1"/>
            </a:solidFill>
          </a:endParaRPr>
        </a:p>
        <a:p>
          <a:pPr algn="l"/>
          <a:r>
            <a:rPr lang="en-US" sz="1100">
              <a:solidFill>
                <a:schemeClr val="tx1"/>
              </a:solidFill>
            </a:rPr>
            <a:t>WEST</a:t>
          </a:r>
        </a:p>
        <a:p>
          <a:pPr algn="l"/>
          <a:endParaRPr lang="en-US" sz="1100">
            <a:solidFill>
              <a:schemeClr val="tx1"/>
            </a:solidFill>
          </a:endParaRPr>
        </a:p>
        <a:p>
          <a:pPr algn="l"/>
          <a:r>
            <a:rPr lang="en-US" sz="1100">
              <a:solidFill>
                <a:schemeClr val="tx1"/>
              </a:solidFill>
            </a:rPr>
            <a:t>EAST</a:t>
          </a:r>
        </a:p>
        <a:p>
          <a:pPr algn="l"/>
          <a:endParaRPr lang="en-US" sz="1100">
            <a:solidFill>
              <a:schemeClr val="tx1"/>
            </a:solidFill>
          </a:endParaRPr>
        </a:p>
        <a:p>
          <a:pPr algn="l"/>
          <a:r>
            <a:rPr lang="en-US" sz="1100">
              <a:solidFill>
                <a:schemeClr val="tx1"/>
              </a:solidFill>
            </a:rPr>
            <a:t>SOUTH</a:t>
          </a:r>
        </a:p>
        <a:p>
          <a:pPr algn="l"/>
          <a:endParaRPr lang="en-US" sz="1100">
            <a:solidFill>
              <a:schemeClr val="tx1"/>
            </a:solidFill>
          </a:endParaRPr>
        </a:p>
      </xdr:txBody>
    </xdr:sp>
    <xdr:clientData/>
  </xdr:twoCellAnchor>
  <xdr:twoCellAnchor>
    <xdr:from>
      <xdr:col>11</xdr:col>
      <xdr:colOff>384467</xdr:colOff>
      <xdr:row>8</xdr:row>
      <xdr:rowOff>145686</xdr:rowOff>
    </xdr:from>
    <xdr:to>
      <xdr:col>13</xdr:col>
      <xdr:colOff>107882</xdr:colOff>
      <xdr:row>9</xdr:row>
      <xdr:rowOff>187166</xdr:rowOff>
    </xdr:to>
    <xdr:sp macro="" textlink="region!B9">
      <xdr:nvSpPr>
        <xdr:cNvPr id="12" name="TextBox 11">
          <a:extLst>
            <a:ext uri="{FF2B5EF4-FFF2-40B4-BE49-F238E27FC236}">
              <a16:creationId xmlns:a16="http://schemas.microsoft.com/office/drawing/2014/main" id="{7E829A48-1F61-4B65-8ACB-3DF78C171DBE}"/>
            </a:ext>
          </a:extLst>
        </xdr:cNvPr>
        <xdr:cNvSpPr txBox="1"/>
      </xdr:nvSpPr>
      <xdr:spPr>
        <a:xfrm>
          <a:off x="7148423" y="1688977"/>
          <a:ext cx="953225" cy="234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74169F-4DC0-43EF-A80D-152075E87B97}" type="TxLink">
            <a:rPr lang="en-US" sz="1100" b="0" i="0" u="none" strike="noStrike">
              <a:solidFill>
                <a:srgbClr val="000000"/>
              </a:solidFill>
              <a:latin typeface="Aptos Narrow"/>
            </a:rPr>
            <a:pPr/>
            <a:t> $1,661,461 </a:t>
          </a:fld>
          <a:endParaRPr lang="en-US" sz="1100"/>
        </a:p>
      </xdr:txBody>
    </xdr:sp>
    <xdr:clientData/>
  </xdr:twoCellAnchor>
  <xdr:twoCellAnchor>
    <xdr:from>
      <xdr:col>11</xdr:col>
      <xdr:colOff>381748</xdr:colOff>
      <xdr:row>10</xdr:row>
      <xdr:rowOff>113161</xdr:rowOff>
    </xdr:from>
    <xdr:to>
      <xdr:col>13</xdr:col>
      <xdr:colOff>82628</xdr:colOff>
      <xdr:row>11</xdr:row>
      <xdr:rowOff>154640</xdr:rowOff>
    </xdr:to>
    <xdr:sp macro="" textlink="region!B10">
      <xdr:nvSpPr>
        <xdr:cNvPr id="13" name="TextBox 12">
          <a:extLst>
            <a:ext uri="{FF2B5EF4-FFF2-40B4-BE49-F238E27FC236}">
              <a16:creationId xmlns:a16="http://schemas.microsoft.com/office/drawing/2014/main" id="{F23D3923-D72B-4817-AEA7-F5C5110F74FB}"/>
            </a:ext>
          </a:extLst>
        </xdr:cNvPr>
        <xdr:cNvSpPr txBox="1"/>
      </xdr:nvSpPr>
      <xdr:spPr>
        <a:xfrm>
          <a:off x="7145704" y="2042275"/>
          <a:ext cx="930690" cy="234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E57A29A-7657-4F3C-8DC5-8C9149B9DF53}" type="TxLink">
            <a:rPr lang="en-US" sz="1100" b="0" i="0" u="none" strike="noStrike">
              <a:solidFill>
                <a:srgbClr val="000000"/>
              </a:solidFill>
              <a:latin typeface="Aptos Narrow"/>
            </a:rPr>
            <a:pPr/>
            <a:t> $1,656,092 </a:t>
          </a:fld>
          <a:endParaRPr lang="en-US" sz="1100"/>
        </a:p>
      </xdr:txBody>
    </xdr:sp>
    <xdr:clientData/>
  </xdr:twoCellAnchor>
  <xdr:twoCellAnchor>
    <xdr:from>
      <xdr:col>11</xdr:col>
      <xdr:colOff>391086</xdr:colOff>
      <xdr:row>12</xdr:row>
      <xdr:rowOff>75201</xdr:rowOff>
    </xdr:from>
    <xdr:to>
      <xdr:col>13</xdr:col>
      <xdr:colOff>191388</xdr:colOff>
      <xdr:row>13</xdr:row>
      <xdr:rowOff>108355</xdr:rowOff>
    </xdr:to>
    <xdr:sp macro="" textlink="region!B11">
      <xdr:nvSpPr>
        <xdr:cNvPr id="14" name="TextBox 13">
          <a:extLst>
            <a:ext uri="{FF2B5EF4-FFF2-40B4-BE49-F238E27FC236}">
              <a16:creationId xmlns:a16="http://schemas.microsoft.com/office/drawing/2014/main" id="{733BAFD2-0B44-4AF8-BC41-B01F521EC9E3}"/>
            </a:ext>
          </a:extLst>
        </xdr:cNvPr>
        <xdr:cNvSpPr txBox="1"/>
      </xdr:nvSpPr>
      <xdr:spPr>
        <a:xfrm>
          <a:off x="7155042" y="2390138"/>
          <a:ext cx="1030112" cy="22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AD7D1C-0F1C-4174-A31A-E5A0D9334EA0}" type="TxLink">
            <a:rPr lang="en-US" sz="1100" b="0" i="0" u="none" strike="noStrike">
              <a:solidFill>
                <a:srgbClr val="000000"/>
              </a:solidFill>
              <a:latin typeface="Aptos Narrow"/>
            </a:rPr>
            <a:pPr/>
            <a:t> $1,650,557 </a:t>
          </a:fld>
          <a:endParaRPr lang="en-US" sz="1100"/>
        </a:p>
      </xdr:txBody>
    </xdr:sp>
    <xdr:clientData/>
  </xdr:twoCellAnchor>
  <xdr:twoCellAnchor>
    <xdr:from>
      <xdr:col>11</xdr:col>
      <xdr:colOff>364254</xdr:colOff>
      <xdr:row>14</xdr:row>
      <xdr:rowOff>53569</xdr:rowOff>
    </xdr:from>
    <xdr:to>
      <xdr:col>13</xdr:col>
      <xdr:colOff>25458</xdr:colOff>
      <xdr:row>15</xdr:row>
      <xdr:rowOff>86723</xdr:rowOff>
    </xdr:to>
    <xdr:sp macro="" textlink="region!B12">
      <xdr:nvSpPr>
        <xdr:cNvPr id="15" name="TextBox 14">
          <a:extLst>
            <a:ext uri="{FF2B5EF4-FFF2-40B4-BE49-F238E27FC236}">
              <a16:creationId xmlns:a16="http://schemas.microsoft.com/office/drawing/2014/main" id="{23CCF3FF-9E16-45D9-B7B1-4EA598E7CB52}"/>
            </a:ext>
          </a:extLst>
        </xdr:cNvPr>
        <xdr:cNvSpPr txBox="1"/>
      </xdr:nvSpPr>
      <xdr:spPr>
        <a:xfrm>
          <a:off x="7128210" y="2754328"/>
          <a:ext cx="891014" cy="226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290E06-3797-4B6F-9D00-8AB3DC8CBAF5}" type="TxLink">
            <a:rPr lang="en-US" sz="1100" b="0" i="0" u="none" strike="noStrike">
              <a:solidFill>
                <a:srgbClr val="000000"/>
              </a:solidFill>
              <a:latin typeface="Aptos Narrow"/>
            </a:rPr>
            <a:pPr/>
            <a:t> $1,519,737 </a:t>
          </a:fld>
          <a:endParaRPr lang="en-US" sz="1100"/>
        </a:p>
      </xdr:txBody>
    </xdr:sp>
    <xdr:clientData/>
  </xdr:twoCellAnchor>
  <xdr:twoCellAnchor>
    <xdr:from>
      <xdr:col>3</xdr:col>
      <xdr:colOff>283929</xdr:colOff>
      <xdr:row>13</xdr:row>
      <xdr:rowOff>63320</xdr:rowOff>
    </xdr:from>
    <xdr:to>
      <xdr:col>6</xdr:col>
      <xdr:colOff>393520</xdr:colOff>
      <xdr:row>16</xdr:row>
      <xdr:rowOff>159180</xdr:rowOff>
    </xdr:to>
    <xdr:sp macro="" textlink="">
      <xdr:nvSpPr>
        <xdr:cNvPr id="16" name="Rectangle: Diagonal Corners Rounded 15">
          <a:extLst>
            <a:ext uri="{FF2B5EF4-FFF2-40B4-BE49-F238E27FC236}">
              <a16:creationId xmlns:a16="http://schemas.microsoft.com/office/drawing/2014/main" id="{7F3BF1B6-8DFB-4914-88AD-9F58EBE7209C}"/>
            </a:ext>
          </a:extLst>
        </xdr:cNvPr>
        <xdr:cNvSpPr/>
      </xdr:nvSpPr>
      <xdr:spPr>
        <a:xfrm>
          <a:off x="2112729" y="2539820"/>
          <a:ext cx="1938391" cy="667360"/>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TOP REGION BY ORDERS</a:t>
          </a:r>
        </a:p>
        <a:p>
          <a:pPr algn="ctr"/>
          <a:endParaRPr lang="en-US" sz="1100" baseline="0">
            <a:solidFill>
              <a:schemeClr val="tx1"/>
            </a:solidFill>
          </a:endParaRPr>
        </a:p>
        <a:p>
          <a:pPr algn="ctr"/>
          <a:r>
            <a:rPr lang="en-US" sz="1100" baseline="0">
              <a:solidFill>
                <a:schemeClr val="tx1"/>
              </a:solidFill>
            </a:rPr>
            <a:t>NORTH</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6</xdr:col>
      <xdr:colOff>488770</xdr:colOff>
      <xdr:row>4</xdr:row>
      <xdr:rowOff>156740</xdr:rowOff>
    </xdr:from>
    <xdr:to>
      <xdr:col>9</xdr:col>
      <xdr:colOff>595745</xdr:colOff>
      <xdr:row>17</xdr:row>
      <xdr:rowOff>4368</xdr:rowOff>
    </xdr:to>
    <xdr:sp macro="" textlink="">
      <xdr:nvSpPr>
        <xdr:cNvPr id="17" name="Rectangle: Diagonal Corners Rounded 16">
          <a:extLst>
            <a:ext uri="{FF2B5EF4-FFF2-40B4-BE49-F238E27FC236}">
              <a16:creationId xmlns:a16="http://schemas.microsoft.com/office/drawing/2014/main" id="{922DE5BA-BDDA-4819-9E02-7080A25C5F21}"/>
            </a:ext>
          </a:extLst>
        </xdr:cNvPr>
        <xdr:cNvSpPr/>
      </xdr:nvSpPr>
      <xdr:spPr>
        <a:xfrm>
          <a:off x="4146370" y="918740"/>
          <a:ext cx="1935775" cy="2324128"/>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TOTAL ORDERS PER CATEGORY</a:t>
          </a:r>
        </a:p>
        <a:p>
          <a:pPr algn="ctr"/>
          <a:endParaRPr lang="en-US" sz="1100" baseline="0">
            <a:solidFill>
              <a:schemeClr val="tx1"/>
            </a:solidFill>
          </a:endParaRPr>
        </a:p>
        <a:p>
          <a:pPr algn="ctr"/>
          <a:endParaRPr lang="en-US" sz="1100" baseline="0">
            <a:solidFill>
              <a:schemeClr val="tx1"/>
            </a:solidFill>
          </a:endParaRPr>
        </a:p>
        <a:p>
          <a:pPr algn="l"/>
          <a:r>
            <a:rPr lang="en-US" sz="1100">
              <a:solidFill>
                <a:schemeClr val="tx1"/>
              </a:solidFill>
            </a:rPr>
            <a:t>NORTH	</a:t>
          </a:r>
        </a:p>
        <a:p>
          <a:pPr algn="l"/>
          <a:endParaRPr lang="en-US" sz="1100">
            <a:solidFill>
              <a:schemeClr val="tx1"/>
            </a:solidFill>
          </a:endParaRPr>
        </a:p>
        <a:p>
          <a:pPr algn="l"/>
          <a:r>
            <a:rPr lang="en-US" sz="1100">
              <a:solidFill>
                <a:schemeClr val="tx1"/>
              </a:solidFill>
            </a:rPr>
            <a:t>EAST	</a:t>
          </a:r>
        </a:p>
        <a:p>
          <a:pPr algn="l"/>
          <a:endParaRPr lang="en-US" sz="1100">
            <a:solidFill>
              <a:schemeClr val="tx1"/>
            </a:solidFill>
          </a:endParaRPr>
        </a:p>
        <a:p>
          <a:pPr algn="l"/>
          <a:r>
            <a:rPr lang="en-US" sz="1100">
              <a:solidFill>
                <a:schemeClr val="tx1"/>
              </a:solidFill>
            </a:rPr>
            <a:t>WEST	</a:t>
          </a:r>
        </a:p>
        <a:p>
          <a:pPr algn="l"/>
          <a:endParaRPr lang="en-US" sz="1100">
            <a:solidFill>
              <a:schemeClr val="tx1"/>
            </a:solidFill>
          </a:endParaRPr>
        </a:p>
        <a:p>
          <a:pPr algn="l"/>
          <a:r>
            <a:rPr lang="en-US" sz="1100">
              <a:solidFill>
                <a:schemeClr val="tx1"/>
              </a:solidFill>
            </a:rPr>
            <a:t>SOUTH	</a:t>
          </a:r>
        </a:p>
        <a:p>
          <a:pPr algn="l"/>
          <a:endParaRPr lang="en-US" sz="1100">
            <a:solidFill>
              <a:schemeClr val="tx1"/>
            </a:solidFill>
          </a:endParaRPr>
        </a:p>
      </xdr:txBody>
    </xdr:sp>
    <xdr:clientData/>
  </xdr:twoCellAnchor>
  <xdr:twoCellAnchor>
    <xdr:from>
      <xdr:col>8</xdr:col>
      <xdr:colOff>500126</xdr:colOff>
      <xdr:row>8</xdr:row>
      <xdr:rowOff>169717</xdr:rowOff>
    </xdr:from>
    <xdr:to>
      <xdr:col>9</xdr:col>
      <xdr:colOff>548693</xdr:colOff>
      <xdr:row>10</xdr:row>
      <xdr:rowOff>68549</xdr:rowOff>
    </xdr:to>
    <xdr:sp macro="" textlink="region!B2">
      <xdr:nvSpPr>
        <xdr:cNvPr id="18" name="TextBox 17">
          <a:extLst>
            <a:ext uri="{FF2B5EF4-FFF2-40B4-BE49-F238E27FC236}">
              <a16:creationId xmlns:a16="http://schemas.microsoft.com/office/drawing/2014/main" id="{EC846716-2FF0-4755-9172-EF16F71D37AC}"/>
            </a:ext>
          </a:extLst>
        </xdr:cNvPr>
        <xdr:cNvSpPr txBox="1"/>
      </xdr:nvSpPr>
      <xdr:spPr>
        <a:xfrm>
          <a:off x="5376926" y="1693717"/>
          <a:ext cx="658167" cy="279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0E2A63-B744-477D-BA45-4CB5BDF944EF}" type="TxLink">
            <a:rPr lang="en-US" sz="1100" b="0" i="0" u="none" strike="noStrike">
              <a:solidFill>
                <a:srgbClr val="000000"/>
              </a:solidFill>
              <a:latin typeface="Aptos Narrow"/>
            </a:rPr>
            <a:pPr/>
            <a:t>26.70%</a:t>
          </a:fld>
          <a:endParaRPr lang="en-US" sz="1100"/>
        </a:p>
      </xdr:txBody>
    </xdr:sp>
    <xdr:clientData/>
  </xdr:twoCellAnchor>
  <xdr:twoCellAnchor>
    <xdr:from>
      <xdr:col>8</xdr:col>
      <xdr:colOff>501871</xdr:colOff>
      <xdr:row>10</xdr:row>
      <xdr:rowOff>107451</xdr:rowOff>
    </xdr:from>
    <xdr:to>
      <xdr:col>9</xdr:col>
      <xdr:colOff>611031</xdr:colOff>
      <xdr:row>11</xdr:row>
      <xdr:rowOff>158685</xdr:rowOff>
    </xdr:to>
    <xdr:sp macro="" textlink="region!B3">
      <xdr:nvSpPr>
        <xdr:cNvPr id="19" name="TextBox 18">
          <a:extLst>
            <a:ext uri="{FF2B5EF4-FFF2-40B4-BE49-F238E27FC236}">
              <a16:creationId xmlns:a16="http://schemas.microsoft.com/office/drawing/2014/main" id="{60DD53E6-BF68-45CE-8BDB-9E789A6AF835}"/>
            </a:ext>
          </a:extLst>
        </xdr:cNvPr>
        <xdr:cNvSpPr txBox="1"/>
      </xdr:nvSpPr>
      <xdr:spPr>
        <a:xfrm>
          <a:off x="5378671" y="2012451"/>
          <a:ext cx="718760" cy="241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4702727-284F-4637-B5C4-B7DAFF61741C}" type="TxLink">
            <a:rPr lang="en-US" sz="1100" b="0" i="0" u="none" strike="noStrike">
              <a:solidFill>
                <a:srgbClr val="000000"/>
              </a:solidFill>
              <a:latin typeface="Aptos Narrow"/>
            </a:rPr>
            <a:pPr/>
            <a:t>26.30%</a:t>
          </a:fld>
          <a:endParaRPr lang="en-US" sz="1100"/>
        </a:p>
      </xdr:txBody>
    </xdr:sp>
    <xdr:clientData/>
  </xdr:twoCellAnchor>
  <xdr:twoCellAnchor>
    <xdr:from>
      <xdr:col>8</xdr:col>
      <xdr:colOff>488651</xdr:colOff>
      <xdr:row>12</xdr:row>
      <xdr:rowOff>50416</xdr:rowOff>
    </xdr:from>
    <xdr:to>
      <xdr:col>9</xdr:col>
      <xdr:colOff>487502</xdr:colOff>
      <xdr:row>13</xdr:row>
      <xdr:rowOff>30678</xdr:rowOff>
    </xdr:to>
    <xdr:sp macro="" textlink="region!B4">
      <xdr:nvSpPr>
        <xdr:cNvPr id="20" name="TextBox 19">
          <a:extLst>
            <a:ext uri="{FF2B5EF4-FFF2-40B4-BE49-F238E27FC236}">
              <a16:creationId xmlns:a16="http://schemas.microsoft.com/office/drawing/2014/main" id="{77975DDE-E732-4325-A15A-E3D063293BA0}"/>
            </a:ext>
          </a:extLst>
        </xdr:cNvPr>
        <xdr:cNvSpPr txBox="1"/>
      </xdr:nvSpPr>
      <xdr:spPr>
        <a:xfrm>
          <a:off x="5365451" y="2336416"/>
          <a:ext cx="608451" cy="1707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18136DD-B28F-41E0-93CE-A3580F38B851}" type="TxLink">
            <a:rPr lang="en-US" sz="1100" b="0" i="0" u="none" strike="noStrike">
              <a:solidFill>
                <a:srgbClr val="000000"/>
              </a:solidFill>
              <a:latin typeface="Aptos Narrow"/>
            </a:rPr>
            <a:pPr/>
            <a:t>24.40%</a:t>
          </a:fld>
          <a:endParaRPr lang="en-US" sz="1100"/>
        </a:p>
      </xdr:txBody>
    </xdr:sp>
    <xdr:clientData/>
  </xdr:twoCellAnchor>
  <xdr:twoCellAnchor>
    <xdr:from>
      <xdr:col>8</xdr:col>
      <xdr:colOff>470222</xdr:colOff>
      <xdr:row>13</xdr:row>
      <xdr:rowOff>180855</xdr:rowOff>
    </xdr:from>
    <xdr:to>
      <xdr:col>9</xdr:col>
      <xdr:colOff>542563</xdr:colOff>
      <xdr:row>15</xdr:row>
      <xdr:rowOff>46293</xdr:rowOff>
    </xdr:to>
    <xdr:sp macro="" textlink="region!B5">
      <xdr:nvSpPr>
        <xdr:cNvPr id="21" name="TextBox 20">
          <a:extLst>
            <a:ext uri="{FF2B5EF4-FFF2-40B4-BE49-F238E27FC236}">
              <a16:creationId xmlns:a16="http://schemas.microsoft.com/office/drawing/2014/main" id="{3C1F6669-CA19-4EC4-8D24-16C649AE4EB8}"/>
            </a:ext>
          </a:extLst>
        </xdr:cNvPr>
        <xdr:cNvSpPr txBox="1"/>
      </xdr:nvSpPr>
      <xdr:spPr>
        <a:xfrm>
          <a:off x="5389463" y="2688703"/>
          <a:ext cx="687246" cy="251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DCBB1B2-D48A-4262-A287-ED540B1800E7}" type="TxLink">
            <a:rPr lang="en-US" sz="1100" b="0" i="0" u="none" strike="noStrike">
              <a:solidFill>
                <a:srgbClr val="000000"/>
              </a:solidFill>
              <a:latin typeface="Aptos Narrow"/>
            </a:rPr>
            <a:pPr/>
            <a:t>22.60%</a:t>
          </a:fld>
          <a:endParaRPr lang="en-US" sz="1100"/>
        </a:p>
      </xdr:txBody>
    </xdr:sp>
    <xdr:clientData/>
  </xdr:twoCellAnchor>
  <xdr:twoCellAnchor>
    <xdr:from>
      <xdr:col>3</xdr:col>
      <xdr:colOff>289367</xdr:colOff>
      <xdr:row>9</xdr:row>
      <xdr:rowOff>24114</xdr:rowOff>
    </xdr:from>
    <xdr:to>
      <xdr:col>6</xdr:col>
      <xdr:colOff>422717</xdr:colOff>
      <xdr:row>12</xdr:row>
      <xdr:rowOff>150789</xdr:rowOff>
    </xdr:to>
    <xdr:sp macro="" textlink="">
      <xdr:nvSpPr>
        <xdr:cNvPr id="22" name="Rectangle: Diagonal Corners Rounded 21">
          <a:extLst>
            <a:ext uri="{FF2B5EF4-FFF2-40B4-BE49-F238E27FC236}">
              <a16:creationId xmlns:a16="http://schemas.microsoft.com/office/drawing/2014/main" id="{0FC27F60-55CD-4F93-ABE4-A02C80B67BF2}"/>
            </a:ext>
          </a:extLst>
        </xdr:cNvPr>
        <xdr:cNvSpPr/>
      </xdr:nvSpPr>
      <xdr:spPr>
        <a:xfrm>
          <a:off x="2118167" y="1738614"/>
          <a:ext cx="1962150" cy="698175"/>
        </a:xfrm>
        <a:prstGeom prst="round2DiagRect">
          <a:avLst/>
        </a:prstGeom>
        <a:solidFill>
          <a:srgbClr val="CCD5AE">
            <a:alpha val="50000"/>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US">
            <a:solidFill>
              <a:schemeClr val="tx1"/>
            </a:solidFill>
            <a:effectLst/>
          </a:endParaRPr>
        </a:p>
      </xdr:txBody>
    </xdr:sp>
    <xdr:clientData/>
  </xdr:twoCellAnchor>
  <xdr:twoCellAnchor>
    <xdr:from>
      <xdr:col>3</xdr:col>
      <xdr:colOff>265253</xdr:colOff>
      <xdr:row>5</xdr:row>
      <xdr:rowOff>40819</xdr:rowOff>
    </xdr:from>
    <xdr:to>
      <xdr:col>6</xdr:col>
      <xdr:colOff>374844</xdr:colOff>
      <xdr:row>8</xdr:row>
      <xdr:rowOff>136679</xdr:rowOff>
    </xdr:to>
    <xdr:sp macro="" textlink="">
      <xdr:nvSpPr>
        <xdr:cNvPr id="23" name="Rectangle: Diagonal Corners Rounded 22">
          <a:extLst>
            <a:ext uri="{FF2B5EF4-FFF2-40B4-BE49-F238E27FC236}">
              <a16:creationId xmlns:a16="http://schemas.microsoft.com/office/drawing/2014/main" id="{B5D74513-5575-44FB-833B-34349251C0DE}"/>
            </a:ext>
          </a:extLst>
        </xdr:cNvPr>
        <xdr:cNvSpPr/>
      </xdr:nvSpPr>
      <xdr:spPr>
        <a:xfrm>
          <a:off x="2094053" y="993319"/>
          <a:ext cx="1938391" cy="667360"/>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rPr>
            <a:t>TOP REGION BY PROFIT</a:t>
          </a:r>
        </a:p>
        <a:p>
          <a:pPr algn="ctr"/>
          <a:endParaRPr lang="en-US" sz="1100" baseline="0">
            <a:solidFill>
              <a:schemeClr val="tx1"/>
            </a:solidFill>
          </a:endParaRPr>
        </a:p>
        <a:p>
          <a:pPr algn="ctr"/>
          <a:r>
            <a:rPr lang="en-US" sz="1100" baseline="0">
              <a:solidFill>
                <a:schemeClr val="tx1"/>
              </a:solidFill>
            </a:rPr>
            <a:t>NORTH</a:t>
          </a: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3</xdr:col>
      <xdr:colOff>289367</xdr:colOff>
      <xdr:row>9</xdr:row>
      <xdr:rowOff>24114</xdr:rowOff>
    </xdr:from>
    <xdr:to>
      <xdr:col>6</xdr:col>
      <xdr:colOff>398958</xdr:colOff>
      <xdr:row>12</xdr:row>
      <xdr:rowOff>119974</xdr:rowOff>
    </xdr:to>
    <xdr:sp macro="" textlink="">
      <xdr:nvSpPr>
        <xdr:cNvPr id="24" name="Rectangle: Diagonal Corners Rounded 23">
          <a:extLst>
            <a:ext uri="{FF2B5EF4-FFF2-40B4-BE49-F238E27FC236}">
              <a16:creationId xmlns:a16="http://schemas.microsoft.com/office/drawing/2014/main" id="{634D60F9-958E-4560-A251-67F302D21E45}"/>
            </a:ext>
          </a:extLst>
        </xdr:cNvPr>
        <xdr:cNvSpPr/>
      </xdr:nvSpPr>
      <xdr:spPr>
        <a:xfrm>
          <a:off x="2118167" y="1738614"/>
          <a:ext cx="1938391" cy="667360"/>
        </a:xfrm>
        <a:prstGeom prst="round2DiagRect">
          <a:avLst/>
        </a:prstGeom>
        <a:solidFill>
          <a:srgbClr val="CCD5AE">
            <a:alpha val="50196"/>
          </a:srgb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aseline="0">
              <a:solidFill>
                <a:schemeClr val="tx1"/>
              </a:solidFill>
              <a:effectLst/>
              <a:latin typeface="+mn-lt"/>
              <a:ea typeface="+mn-ea"/>
              <a:cs typeface="+mn-cs"/>
            </a:rPr>
            <a:t>LOWEST REGION BY PROFIT</a:t>
          </a:r>
          <a:endParaRPr lang="en-US">
            <a:solidFill>
              <a:schemeClr val="tx1"/>
            </a:solidFill>
            <a:effectLst/>
          </a:endParaRPr>
        </a:p>
        <a:p>
          <a:pPr algn="ctr"/>
          <a:endParaRPr lang="en-US" sz="1100" baseline="0">
            <a:solidFill>
              <a:schemeClr val="tx1"/>
            </a:solidFill>
            <a:effectLst/>
            <a:latin typeface="+mn-lt"/>
            <a:ea typeface="+mn-ea"/>
            <a:cs typeface="+mn-cs"/>
          </a:endParaRPr>
        </a:p>
        <a:p>
          <a:pPr algn="ctr"/>
          <a:r>
            <a:rPr lang="en-US" sz="1100" baseline="0">
              <a:solidFill>
                <a:schemeClr val="tx1"/>
              </a:solidFill>
              <a:effectLst/>
              <a:latin typeface="+mn-lt"/>
              <a:ea typeface="+mn-ea"/>
              <a:cs typeface="+mn-cs"/>
            </a:rPr>
            <a:t>SOUTH</a:t>
          </a:r>
          <a:endParaRPr lang="en-US">
            <a:solidFill>
              <a:schemeClr val="tx1"/>
            </a:solidFill>
            <a:effectLst/>
          </a:endParaRPr>
        </a:p>
        <a:p>
          <a:pPr algn="ctr"/>
          <a:endParaRPr lang="en-US" sz="1100" baseline="0">
            <a:solidFill>
              <a:schemeClr val="tx1"/>
            </a:solidFill>
          </a:endParaRPr>
        </a:p>
        <a:p>
          <a:pPr algn="ctr"/>
          <a:endParaRPr lang="en-US" sz="1100" baseline="0">
            <a:solidFill>
              <a:schemeClr val="tx1"/>
            </a:solidFill>
          </a:endParaRPr>
        </a:p>
      </xdr:txBody>
    </xdr:sp>
    <xdr:clientData/>
  </xdr:twoCellAnchor>
  <xdr:twoCellAnchor>
    <xdr:from>
      <xdr:col>13</xdr:col>
      <xdr:colOff>516898</xdr:colOff>
      <xdr:row>4</xdr:row>
      <xdr:rowOff>144684</xdr:rowOff>
    </xdr:from>
    <xdr:to>
      <xdr:col>21</xdr:col>
      <xdr:colOff>229083</xdr:colOff>
      <xdr:row>17</xdr:row>
      <xdr:rowOff>36172</xdr:rowOff>
    </xdr:to>
    <xdr:graphicFrame macro="">
      <xdr:nvGraphicFramePr>
        <xdr:cNvPr id="31" name="Chart 30">
          <a:extLst>
            <a:ext uri="{FF2B5EF4-FFF2-40B4-BE49-F238E27FC236}">
              <a16:creationId xmlns:a16="http://schemas.microsoft.com/office/drawing/2014/main" id="{53D7ABF2-C0F7-4B76-A25B-A56D989AA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317620</xdr:colOff>
      <xdr:row>32</xdr:row>
      <xdr:rowOff>136353</xdr:rowOff>
    </xdr:from>
    <xdr:to>
      <xdr:col>21</xdr:col>
      <xdr:colOff>180854</xdr:colOff>
      <xdr:row>46</xdr:row>
      <xdr:rowOff>138384</xdr:rowOff>
    </xdr:to>
    <xdr:graphicFrame macro="">
      <xdr:nvGraphicFramePr>
        <xdr:cNvPr id="32" name="Chart 31">
          <a:extLst>
            <a:ext uri="{FF2B5EF4-FFF2-40B4-BE49-F238E27FC236}">
              <a16:creationId xmlns:a16="http://schemas.microsoft.com/office/drawing/2014/main" id="{30DC7455-1E66-44E2-9122-5F44C761E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494335</xdr:colOff>
      <xdr:row>18</xdr:row>
      <xdr:rowOff>40251</xdr:rowOff>
    </xdr:from>
    <xdr:to>
      <xdr:col>21</xdr:col>
      <xdr:colOff>231287</xdr:colOff>
      <xdr:row>32</xdr:row>
      <xdr:rowOff>82691</xdr:rowOff>
    </xdr:to>
    <xdr:graphicFrame macro="">
      <xdr:nvGraphicFramePr>
        <xdr:cNvPr id="33" name="Chart 32">
          <a:extLst>
            <a:ext uri="{FF2B5EF4-FFF2-40B4-BE49-F238E27FC236}">
              <a16:creationId xmlns:a16="http://schemas.microsoft.com/office/drawing/2014/main" id="{D8E27F49-5591-47D5-B0C9-64D4065517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289367</xdr:colOff>
      <xdr:row>17</xdr:row>
      <xdr:rowOff>108512</xdr:rowOff>
    </xdr:from>
    <xdr:to>
      <xdr:col>13</xdr:col>
      <xdr:colOff>132626</xdr:colOff>
      <xdr:row>31</xdr:row>
      <xdr:rowOff>150953</xdr:rowOff>
    </xdr:to>
    <xdr:graphicFrame macro="">
      <xdr:nvGraphicFramePr>
        <xdr:cNvPr id="34" name="Chart 33">
          <a:extLst>
            <a:ext uri="{FF2B5EF4-FFF2-40B4-BE49-F238E27FC236}">
              <a16:creationId xmlns:a16="http://schemas.microsoft.com/office/drawing/2014/main" id="{E42A7F98-1ED3-498D-8EF0-FF75ADD5B5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790574</xdr:colOff>
      <xdr:row>0</xdr:row>
      <xdr:rowOff>9525</xdr:rowOff>
    </xdr:from>
    <xdr:to>
      <xdr:col>9</xdr:col>
      <xdr:colOff>552449</xdr:colOff>
      <xdr:row>14</xdr:row>
      <xdr:rowOff>85725</xdr:rowOff>
    </xdr:to>
    <xdr:graphicFrame macro="">
      <xdr:nvGraphicFramePr>
        <xdr:cNvPr id="2" name="Chart 1">
          <a:extLst>
            <a:ext uri="{FF2B5EF4-FFF2-40B4-BE49-F238E27FC236}">
              <a16:creationId xmlns:a16="http://schemas.microsoft.com/office/drawing/2014/main" id="{DCF7A542-9C82-0550-926C-BBF2DBC5CC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14</xdr:row>
      <xdr:rowOff>76200</xdr:rowOff>
    </xdr:from>
    <xdr:to>
      <xdr:col>8</xdr:col>
      <xdr:colOff>523875</xdr:colOff>
      <xdr:row>28</xdr:row>
      <xdr:rowOff>152400</xdr:rowOff>
    </xdr:to>
    <xdr:graphicFrame macro="">
      <xdr:nvGraphicFramePr>
        <xdr:cNvPr id="3" name="Chart 2">
          <a:extLst>
            <a:ext uri="{FF2B5EF4-FFF2-40B4-BE49-F238E27FC236}">
              <a16:creationId xmlns:a16="http://schemas.microsoft.com/office/drawing/2014/main" id="{5A0F2192-B14D-8728-0CEF-97924D9BBA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47625</xdr:colOff>
      <xdr:row>29</xdr:row>
      <xdr:rowOff>28575</xdr:rowOff>
    </xdr:from>
    <xdr:to>
      <xdr:col>8</xdr:col>
      <xdr:colOff>1114425</xdr:colOff>
      <xdr:row>43</xdr:row>
      <xdr:rowOff>104775</xdr:rowOff>
    </xdr:to>
    <xdr:graphicFrame macro="">
      <xdr:nvGraphicFramePr>
        <xdr:cNvPr id="4" name="Chart 3">
          <a:extLst>
            <a:ext uri="{FF2B5EF4-FFF2-40B4-BE49-F238E27FC236}">
              <a16:creationId xmlns:a16="http://schemas.microsoft.com/office/drawing/2014/main" id="{1E788896-9C41-5FCC-2909-E1B0E47ACC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19049</xdr:colOff>
      <xdr:row>0</xdr:row>
      <xdr:rowOff>0</xdr:rowOff>
    </xdr:from>
    <xdr:to>
      <xdr:col>17</xdr:col>
      <xdr:colOff>457200</xdr:colOff>
      <xdr:row>15</xdr:row>
      <xdr:rowOff>19050</xdr:rowOff>
    </xdr:to>
    <xdr:graphicFrame macro="">
      <xdr:nvGraphicFramePr>
        <xdr:cNvPr id="2" name="Chart 1">
          <a:extLst>
            <a:ext uri="{FF2B5EF4-FFF2-40B4-BE49-F238E27FC236}">
              <a16:creationId xmlns:a16="http://schemas.microsoft.com/office/drawing/2014/main" id="{56894139-69B9-D357-3DED-C4E9D6E1D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171450</xdr:colOff>
      <xdr:row>16</xdr:row>
      <xdr:rowOff>76200</xdr:rowOff>
    </xdr:from>
    <xdr:to>
      <xdr:col>13</xdr:col>
      <xdr:colOff>219075</xdr:colOff>
      <xdr:row>30</xdr:row>
      <xdr:rowOff>152400</xdr:rowOff>
    </xdr:to>
    <xdr:graphicFrame macro="">
      <xdr:nvGraphicFramePr>
        <xdr:cNvPr id="3" name="Chart 2">
          <a:extLst>
            <a:ext uri="{FF2B5EF4-FFF2-40B4-BE49-F238E27FC236}">
              <a16:creationId xmlns:a16="http://schemas.microsoft.com/office/drawing/2014/main" id="{E41F7A5B-3F15-76A1-F448-702EF8DE53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85725</xdr:colOff>
      <xdr:row>32</xdr:row>
      <xdr:rowOff>171450</xdr:rowOff>
    </xdr:from>
    <xdr:to>
      <xdr:col>8</xdr:col>
      <xdr:colOff>428625</xdr:colOff>
      <xdr:row>47</xdr:row>
      <xdr:rowOff>57150</xdr:rowOff>
    </xdr:to>
    <xdr:graphicFrame macro="">
      <xdr:nvGraphicFramePr>
        <xdr:cNvPr id="4" name="Chart 3">
          <a:extLst>
            <a:ext uri="{FF2B5EF4-FFF2-40B4-BE49-F238E27FC236}">
              <a16:creationId xmlns:a16="http://schemas.microsoft.com/office/drawing/2014/main" id="{552E48C8-6E64-3FD3-2395-1AE3CFC166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219075</xdr:colOff>
      <xdr:row>64</xdr:row>
      <xdr:rowOff>104775</xdr:rowOff>
    </xdr:from>
    <xdr:to>
      <xdr:col>12</xdr:col>
      <xdr:colOff>590550</xdr:colOff>
      <xdr:row>78</xdr:row>
      <xdr:rowOff>180975</xdr:rowOff>
    </xdr:to>
    <xdr:graphicFrame macro="">
      <xdr:nvGraphicFramePr>
        <xdr:cNvPr id="5" name="Chart 4">
          <a:extLst>
            <a:ext uri="{FF2B5EF4-FFF2-40B4-BE49-F238E27FC236}">
              <a16:creationId xmlns:a16="http://schemas.microsoft.com/office/drawing/2014/main" id="{DCFB6FBF-B49A-81AF-8B2F-9E8F48A454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1097674</xdr:colOff>
      <xdr:row>64</xdr:row>
      <xdr:rowOff>98863</xdr:rowOff>
    </xdr:from>
    <xdr:to>
      <xdr:col>4</xdr:col>
      <xdr:colOff>171615</xdr:colOff>
      <xdr:row>78</xdr:row>
      <xdr:rowOff>98863</xdr:rowOff>
    </xdr:to>
    <mc:AlternateContent xmlns:mc="http://schemas.openxmlformats.org/markup-compatibility/2006" xmlns:a14="http://schemas.microsoft.com/office/drawing/2010/main">
      <mc:Choice Requires="a14">
        <xdr:graphicFrame macro="">
          <xdr:nvGraphicFramePr>
            <xdr:cNvPr id="6" name="Discount">
              <a:extLst>
                <a:ext uri="{FF2B5EF4-FFF2-40B4-BE49-F238E27FC236}">
                  <a16:creationId xmlns:a16="http://schemas.microsoft.com/office/drawing/2014/main" id="{0EC40700-18E9-EB26-D34C-1F4525EDC890}"/>
                </a:ext>
              </a:extLst>
            </xdr:cNvPr>
            <xdr:cNvGraphicFramePr/>
          </xdr:nvGraphicFramePr>
          <xdr:xfrm>
            <a:off x="0" y="0"/>
            <a:ext cx="0" cy="0"/>
          </xdr:xfrm>
          <a:graphic>
            <a:graphicData uri="http://schemas.microsoft.com/office/drawing/2010/slicer">
              <sle:slicer xmlns:sle="http://schemas.microsoft.com/office/drawing/2010/slicer" name="Discount"/>
            </a:graphicData>
          </a:graphic>
        </xdr:graphicFrame>
      </mc:Choice>
      <mc:Fallback xmlns="">
        <xdr:sp macro="" textlink="">
          <xdr:nvSpPr>
            <xdr:cNvPr id="0" name=""/>
            <xdr:cNvSpPr>
              <a:spLocks noTextEdit="1"/>
            </xdr:cNvSpPr>
          </xdr:nvSpPr>
          <xdr:spPr>
            <a:xfrm>
              <a:off x="2038268" y="12290863"/>
              <a:ext cx="1836191"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5</xdr:col>
      <xdr:colOff>76200</xdr:colOff>
      <xdr:row>0</xdr:row>
      <xdr:rowOff>0</xdr:rowOff>
    </xdr:from>
    <xdr:to>
      <xdr:col>12</xdr:col>
      <xdr:colOff>190500</xdr:colOff>
      <xdr:row>14</xdr:row>
      <xdr:rowOff>76200</xdr:rowOff>
    </xdr:to>
    <xdr:graphicFrame macro="">
      <xdr:nvGraphicFramePr>
        <xdr:cNvPr id="2" name="Chart 1">
          <a:extLst>
            <a:ext uri="{FF2B5EF4-FFF2-40B4-BE49-F238E27FC236}">
              <a16:creationId xmlns:a16="http://schemas.microsoft.com/office/drawing/2014/main" id="{A3C9DFB8-B744-78AD-5DE9-0B1EEE179E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xdr:colOff>
      <xdr:row>15</xdr:row>
      <xdr:rowOff>133350</xdr:rowOff>
    </xdr:from>
    <xdr:to>
      <xdr:col>12</xdr:col>
      <xdr:colOff>133350</xdr:colOff>
      <xdr:row>30</xdr:row>
      <xdr:rowOff>19050</xdr:rowOff>
    </xdr:to>
    <xdr:graphicFrame macro="">
      <xdr:nvGraphicFramePr>
        <xdr:cNvPr id="3" name="Chart 2">
          <a:extLst>
            <a:ext uri="{FF2B5EF4-FFF2-40B4-BE49-F238E27FC236}">
              <a16:creationId xmlns:a16="http://schemas.microsoft.com/office/drawing/2014/main" id="{6518FDF9-724E-AAAA-512E-FF72FACA79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9525</xdr:colOff>
      <xdr:row>5</xdr:row>
      <xdr:rowOff>9525</xdr:rowOff>
    </xdr:from>
    <xdr:to>
      <xdr:col>5</xdr:col>
      <xdr:colOff>371475</xdr:colOff>
      <xdr:row>19</xdr:row>
      <xdr:rowOff>85725</xdr:rowOff>
    </xdr:to>
    <xdr:graphicFrame macro="">
      <xdr:nvGraphicFramePr>
        <xdr:cNvPr id="2" name="Chart 1">
          <a:extLst>
            <a:ext uri="{FF2B5EF4-FFF2-40B4-BE49-F238E27FC236}">
              <a16:creationId xmlns:a16="http://schemas.microsoft.com/office/drawing/2014/main" id="{897FAFAE-20A4-6811-75E2-0F90A6B3B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238125</xdr:colOff>
      <xdr:row>0</xdr:row>
      <xdr:rowOff>0</xdr:rowOff>
    </xdr:from>
    <xdr:to>
      <xdr:col>18</xdr:col>
      <xdr:colOff>542925</xdr:colOff>
      <xdr:row>14</xdr:row>
      <xdr:rowOff>76200</xdr:rowOff>
    </xdr:to>
    <xdr:graphicFrame macro="">
      <xdr:nvGraphicFramePr>
        <xdr:cNvPr id="3" name="Chart 2">
          <a:extLst>
            <a:ext uri="{FF2B5EF4-FFF2-40B4-BE49-F238E27FC236}">
              <a16:creationId xmlns:a16="http://schemas.microsoft.com/office/drawing/2014/main" id="{AF30C9F6-B8C9-3543-6751-BF30876B66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42862</xdr:colOff>
      <xdr:row>14</xdr:row>
      <xdr:rowOff>95250</xdr:rowOff>
    </xdr:from>
    <xdr:to>
      <xdr:col>11</xdr:col>
      <xdr:colOff>452437</xdr:colOff>
      <xdr:row>28</xdr:row>
      <xdr:rowOff>171450</xdr:rowOff>
    </xdr:to>
    <xdr:graphicFrame macro="">
      <xdr:nvGraphicFramePr>
        <xdr:cNvPr id="4" name="Chart 3">
          <a:extLst>
            <a:ext uri="{FF2B5EF4-FFF2-40B4-BE49-F238E27FC236}">
              <a16:creationId xmlns:a16="http://schemas.microsoft.com/office/drawing/2014/main" id="{04EB0453-7015-A03B-D858-4E5822316D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138112</xdr:colOff>
      <xdr:row>21</xdr:row>
      <xdr:rowOff>52387</xdr:rowOff>
    </xdr:from>
    <xdr:to>
      <xdr:col>5</xdr:col>
      <xdr:colOff>500062</xdr:colOff>
      <xdr:row>35</xdr:row>
      <xdr:rowOff>128587</xdr:rowOff>
    </xdr:to>
    <xdr:graphicFrame macro="">
      <xdr:nvGraphicFramePr>
        <xdr:cNvPr id="7" name="Chart 6">
          <a:extLst>
            <a:ext uri="{FF2B5EF4-FFF2-40B4-BE49-F238E27FC236}">
              <a16:creationId xmlns:a16="http://schemas.microsoft.com/office/drawing/2014/main" id="{DFFAAE49-301A-5750-C43D-055D04DE26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409575</xdr:colOff>
      <xdr:row>0</xdr:row>
      <xdr:rowOff>28575</xdr:rowOff>
    </xdr:from>
    <xdr:to>
      <xdr:col>10</xdr:col>
      <xdr:colOff>571500</xdr:colOff>
      <xdr:row>14</xdr:row>
      <xdr:rowOff>104775</xdr:rowOff>
    </xdr:to>
    <xdr:graphicFrame macro="">
      <xdr:nvGraphicFramePr>
        <xdr:cNvPr id="2" name="Chart 1">
          <a:extLst>
            <a:ext uri="{FF2B5EF4-FFF2-40B4-BE49-F238E27FC236}">
              <a16:creationId xmlns:a16="http://schemas.microsoft.com/office/drawing/2014/main" id="{56460546-959D-EE08-FB28-25C94FA9E9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104775</xdr:colOff>
      <xdr:row>0</xdr:row>
      <xdr:rowOff>0</xdr:rowOff>
    </xdr:from>
    <xdr:to>
      <xdr:col>18</xdr:col>
      <xdr:colOff>409575</xdr:colOff>
      <xdr:row>14</xdr:row>
      <xdr:rowOff>76200</xdr:rowOff>
    </xdr:to>
    <xdr:graphicFrame macro="">
      <xdr:nvGraphicFramePr>
        <xdr:cNvPr id="3" name="Chart 2">
          <a:extLst>
            <a:ext uri="{FF2B5EF4-FFF2-40B4-BE49-F238E27FC236}">
              <a16:creationId xmlns:a16="http://schemas.microsoft.com/office/drawing/2014/main" id="{B588E22F-D780-1521-20CF-0B44A710C3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114300</xdr:colOff>
      <xdr:row>15</xdr:row>
      <xdr:rowOff>95250</xdr:rowOff>
    </xdr:from>
    <xdr:to>
      <xdr:col>17</xdr:col>
      <xdr:colOff>142875</xdr:colOff>
      <xdr:row>29</xdr:row>
      <xdr:rowOff>171450</xdr:rowOff>
    </xdr:to>
    <xdr:graphicFrame macro="">
      <xdr:nvGraphicFramePr>
        <xdr:cNvPr id="4" name="Chart 3">
          <a:extLst>
            <a:ext uri="{FF2B5EF4-FFF2-40B4-BE49-F238E27FC236}">
              <a16:creationId xmlns:a16="http://schemas.microsoft.com/office/drawing/2014/main" id="{01612882-8D6E-CCAC-9311-D85F0D496F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679738</xdr:colOff>
      <xdr:row>30</xdr:row>
      <xdr:rowOff>150956</xdr:rowOff>
    </xdr:from>
    <xdr:to>
      <xdr:col>15</xdr:col>
      <xdr:colOff>316056</xdr:colOff>
      <xdr:row>45</xdr:row>
      <xdr:rowOff>79951</xdr:rowOff>
    </xdr:to>
    <xdr:graphicFrame macro="">
      <xdr:nvGraphicFramePr>
        <xdr:cNvPr id="5" name="Chart 4">
          <a:extLst>
            <a:ext uri="{FF2B5EF4-FFF2-40B4-BE49-F238E27FC236}">
              <a16:creationId xmlns:a16="http://schemas.microsoft.com/office/drawing/2014/main" id="{48CF05B0-9B5B-22DB-5F15-DCC5A7781F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282863</xdr:colOff>
      <xdr:row>1</xdr:row>
      <xdr:rowOff>13855</xdr:rowOff>
    </xdr:from>
    <xdr:to>
      <xdr:col>27</xdr:col>
      <xdr:colOff>5772</xdr:colOff>
      <xdr:row>15</xdr:row>
      <xdr:rowOff>130464</xdr:rowOff>
    </xdr:to>
    <xdr:graphicFrame macro="">
      <xdr:nvGraphicFramePr>
        <xdr:cNvPr id="6" name="Chart 5">
          <a:extLst>
            <a:ext uri="{FF2B5EF4-FFF2-40B4-BE49-F238E27FC236}">
              <a16:creationId xmlns:a16="http://schemas.microsoft.com/office/drawing/2014/main" id="{3CF519AB-A667-618B-3190-54E9D28FC8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ELkhamaty" refreshedDate="46233.444756365738" createdVersion="8" refreshedVersion="8" minRefreshableVersion="3" recordCount="1000" xr:uid="{C4EC5862-A0EC-4308-BC8F-6F41518CCDAD}">
  <cacheSource type="worksheet">
    <worksheetSource name="Table7"/>
  </cacheSource>
  <cacheFields count="16">
    <cacheField name="Product_ID" numFmtId="0">
      <sharedItems containsSemiMixedTypes="0" containsString="0" containsNumber="1" containsInteger="1" minValue="1001" maxValue="1100"/>
    </cacheField>
    <cacheField name="Sale_Date" numFmtId="14">
      <sharedItems containsSemiMixedTypes="0" containsNonDate="0" containsDate="1" containsString="0" minDate="2023-01-01T00:00:00" maxDate="2024-01-02T00:00:00"/>
    </cacheField>
    <cacheField name="Sales_Amount" numFmtId="0">
      <sharedItems containsSemiMixedTypes="0" containsString="0" containsNumber="1" minValue="154.16140000000001" maxValue="249625.88639999999"/>
    </cacheField>
    <cacheField name="Quantity_Sold" numFmtId="0">
      <sharedItems containsSemiMixedTypes="0" containsString="0" containsNumber="1" containsInteger="1" minValue="1" maxValue="49"/>
    </cacheField>
    <cacheField name="Unit_Cost" numFmtId="0">
      <sharedItems containsSemiMixedTypes="0" containsString="0" containsNumber="1" minValue="60.28" maxValue="4995.3"/>
    </cacheField>
    <cacheField name="Unit_Price" numFmtId="0">
      <sharedItems containsSemiMixedTypes="0" containsString="0" containsNumber="1" minValue="167.12" maxValue="5442.15"/>
    </cacheField>
    <cacheField name="Discount" numFmtId="0">
      <sharedItems containsSemiMixedTypes="0" containsString="0" containsNumber="1" minValue="0" maxValue="0.3" count="31">
        <n v="0.09"/>
        <n v="0.11"/>
        <n v="0.2"/>
        <n v="0.02"/>
        <n v="0.08"/>
        <n v="0.21"/>
        <n v="0.14000000000000001"/>
        <n v="0.12"/>
        <n v="0.05"/>
        <n v="0.13"/>
        <n v="0.23"/>
        <n v="0"/>
        <n v="0.28999999999999998"/>
        <n v="0.18"/>
        <n v="0.04"/>
        <n v="0.1"/>
        <n v="0.26"/>
        <n v="7.0000000000000007E-2"/>
        <n v="0.06"/>
        <n v="0.24"/>
        <n v="0.22"/>
        <n v="0.03"/>
        <n v="0.17"/>
        <n v="0.3"/>
        <n v="0.28000000000000003"/>
        <n v="0.15"/>
        <n v="0.25"/>
        <n v="0.19"/>
        <n v="0.16"/>
        <n v="0.27"/>
        <n v="0.01"/>
      </sharedItems>
    </cacheField>
    <cacheField name="Sales_Rep" numFmtId="0">
      <sharedItems count="5">
        <s v="Bob"/>
        <s v="David"/>
        <s v="Charlie"/>
        <s v="Eve"/>
        <s v="Alice"/>
      </sharedItems>
    </cacheField>
    <cacheField name="Region" numFmtId="0">
      <sharedItems count="4">
        <s v="North"/>
        <s v="West"/>
        <s v="South"/>
        <s v="East"/>
      </sharedItems>
    </cacheField>
    <cacheField name="Product_Category" numFmtId="0">
      <sharedItems count="4">
        <s v="Furniture"/>
        <s v="Food"/>
        <s v="Clothing"/>
        <s v="Electronics"/>
      </sharedItems>
    </cacheField>
    <cacheField name="Customer_Type" numFmtId="0">
      <sharedItems count="2">
        <s v="Returning"/>
        <s v="New"/>
      </sharedItems>
    </cacheField>
    <cacheField name="Payment_method" numFmtId="0">
      <sharedItems count="3">
        <s v="Cash"/>
        <s v="Bank Transfer"/>
        <s v="Credit Card"/>
      </sharedItems>
    </cacheField>
    <cacheField name="sales_channel" numFmtId="0">
      <sharedItems count="2">
        <s v="Online"/>
        <s v="Retail"/>
      </sharedItems>
    </cacheField>
    <cacheField name="unit_profit" numFmtId="0">
      <sharedItems containsSemiMixedTypes="0" containsString="0" containsNumber="1" minValue="10.309999999999945" maxValue="499.92999999999938"/>
    </cacheField>
    <cacheField name="total_profit" numFmtId="0">
      <sharedItems containsSemiMixedTypes="0" containsString="0" containsNumber="1" minValue="17.360000000000127" maxValue="23441.109999999528"/>
    </cacheField>
    <cacheField name="month" numFmtId="0">
      <sharedItems count="12">
        <s v="Feb"/>
        <s v="Apr"/>
        <s v="Sep"/>
        <s v="Aug"/>
        <s v="Mar"/>
        <s v="Jan"/>
        <s v="Jun"/>
        <s v="Oct"/>
        <s v="Nov"/>
        <s v="Dec"/>
        <s v="May"/>
        <s v="Jul"/>
      </sharedItems>
    </cacheField>
  </cacheFields>
  <extLst>
    <ext xmlns:x14="http://schemas.microsoft.com/office/spreadsheetml/2009/9/main" uri="{725AE2AE-9491-48be-B2B4-4EB974FC3084}">
      <x14:pivotCacheDefinition pivotCacheId="1020012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052"/>
    <d v="2023-02-03T00:00:00"/>
    <n v="4377.0636000000013"/>
    <n v="18"/>
    <n v="152.75"/>
    <n v="267.22000000000003"/>
    <x v="0"/>
    <x v="0"/>
    <x v="0"/>
    <x v="0"/>
    <x v="0"/>
    <x v="0"/>
    <x v="0"/>
    <n v="114.47000000000003"/>
    <n v="2060.4600000000005"/>
    <x v="0"/>
  </r>
  <r>
    <n v="1093"/>
    <d v="2023-04-21T00:00:00"/>
    <n v="63688.8272"/>
    <n v="17"/>
    <n v="3816.39"/>
    <n v="4209.4399999999996"/>
    <x v="1"/>
    <x v="0"/>
    <x v="1"/>
    <x v="0"/>
    <x v="0"/>
    <x v="0"/>
    <x v="1"/>
    <n v="393.04999999999973"/>
    <n v="6681.8499999999949"/>
    <x v="1"/>
  </r>
  <r>
    <n v="1015"/>
    <d v="2023-09-21T00:00:00"/>
    <n v="8913.6"/>
    <n v="30"/>
    <n v="261.56"/>
    <n v="371.4"/>
    <x v="2"/>
    <x v="1"/>
    <x v="2"/>
    <x v="1"/>
    <x v="0"/>
    <x v="1"/>
    <x v="1"/>
    <n v="109.83999999999997"/>
    <n v="3295.1999999999994"/>
    <x v="2"/>
  </r>
  <r>
    <n v="1072"/>
    <d v="2023-08-24T00:00:00"/>
    <n v="170757.405"/>
    <n v="39"/>
    <n v="4330.03"/>
    <n v="4467.75"/>
    <x v="3"/>
    <x v="0"/>
    <x v="2"/>
    <x v="2"/>
    <x v="1"/>
    <x v="2"/>
    <x v="1"/>
    <n v="137.72000000000025"/>
    <n v="5371.0800000000099"/>
    <x v="3"/>
  </r>
  <r>
    <n v="1061"/>
    <d v="2023-03-24T00:00:00"/>
    <n v="8284.8115999999991"/>
    <n v="13"/>
    <n v="637.37"/>
    <n v="692.71"/>
    <x v="4"/>
    <x v="2"/>
    <x v="3"/>
    <x v="3"/>
    <x v="1"/>
    <x v="2"/>
    <x v="0"/>
    <n v="55.340000000000032"/>
    <n v="719.42000000000041"/>
    <x v="4"/>
  </r>
  <r>
    <n v="1021"/>
    <d v="2023-02-11T00:00:00"/>
    <n v="27972.572800000002"/>
    <n v="32"/>
    <n v="900.79"/>
    <n v="1106.51"/>
    <x v="5"/>
    <x v="2"/>
    <x v="1"/>
    <x v="1"/>
    <x v="1"/>
    <x v="0"/>
    <x v="0"/>
    <n v="205.72000000000003"/>
    <n v="6583.0400000000009"/>
    <x v="0"/>
  </r>
  <r>
    <n v="1083"/>
    <d v="2023-04-11T00:00:00"/>
    <n v="65444.804600000003"/>
    <n v="29"/>
    <n v="2408.81"/>
    <n v="2624.09"/>
    <x v="6"/>
    <x v="0"/>
    <x v="1"/>
    <x v="0"/>
    <x v="0"/>
    <x v="0"/>
    <x v="0"/>
    <n v="215.2800000000002"/>
    <n v="6243.1200000000063"/>
    <x v="1"/>
  </r>
  <r>
    <n v="1087"/>
    <d v="2023-01-06T00:00:00"/>
    <n v="160489.03200000001"/>
    <n v="46"/>
    <n v="3702.51"/>
    <n v="3964.65"/>
    <x v="7"/>
    <x v="3"/>
    <x v="2"/>
    <x v="0"/>
    <x v="1"/>
    <x v="1"/>
    <x v="0"/>
    <n v="262.13999999999987"/>
    <n v="12058.439999999995"/>
    <x v="5"/>
  </r>
  <r>
    <n v="1075"/>
    <d v="2023-06-29T00:00:00"/>
    <n v="31220.324999999713"/>
    <n v="30"/>
    <n v="738.06"/>
    <n v="1095.44999999999"/>
    <x v="8"/>
    <x v="1"/>
    <x v="2"/>
    <x v="0"/>
    <x v="1"/>
    <x v="1"/>
    <x v="0"/>
    <n v="357.3899999999901"/>
    <n v="10721.699999999702"/>
    <x v="6"/>
  </r>
  <r>
    <n v="1075"/>
    <d v="2023-10-09T00:00:00"/>
    <n v="42005.4444"/>
    <n v="18"/>
    <n v="2228.35"/>
    <n v="2682.34"/>
    <x v="9"/>
    <x v="2"/>
    <x v="1"/>
    <x v="2"/>
    <x v="1"/>
    <x v="1"/>
    <x v="0"/>
    <n v="453.99000000000024"/>
    <n v="8171.8200000000043"/>
    <x v="7"/>
  </r>
  <r>
    <n v="1088"/>
    <d v="2023-11-16T00:00:00"/>
    <n v="25201.175999999999"/>
    <n v="13"/>
    <n v="2440.11"/>
    <n v="2517.6"/>
    <x v="10"/>
    <x v="3"/>
    <x v="0"/>
    <x v="0"/>
    <x v="1"/>
    <x v="1"/>
    <x v="1"/>
    <n v="77.489999999999782"/>
    <n v="1007.3699999999972"/>
    <x v="8"/>
  </r>
  <r>
    <n v="1100"/>
    <d v="2023-08-14T00:00:00"/>
    <n v="44997.126400000008"/>
    <n v="43"/>
    <n v="1100.81"/>
    <n v="1137.44"/>
    <x v="4"/>
    <x v="0"/>
    <x v="1"/>
    <x v="1"/>
    <x v="0"/>
    <x v="1"/>
    <x v="0"/>
    <n v="36.630000000000109"/>
    <n v="1575.0900000000047"/>
    <x v="3"/>
  </r>
  <r>
    <n v="1024"/>
    <d v="2023-11-11T00:00:00"/>
    <n v="13462.890000000001"/>
    <n v="21"/>
    <n v="622.01"/>
    <n v="641.09"/>
    <x v="11"/>
    <x v="3"/>
    <x v="1"/>
    <x v="1"/>
    <x v="0"/>
    <x v="1"/>
    <x v="1"/>
    <n v="19.080000000000041"/>
    <n v="400.68000000000086"/>
    <x v="8"/>
  </r>
  <r>
    <n v="1003"/>
    <d v="2023-12-31T00:00:00"/>
    <n v="102495.59999999999"/>
    <n v="30"/>
    <n v="4190.28"/>
    <n v="4270.6499999999996"/>
    <x v="2"/>
    <x v="4"/>
    <x v="2"/>
    <x v="0"/>
    <x v="1"/>
    <x v="0"/>
    <x v="0"/>
    <n v="80.369999999999891"/>
    <n v="2411.0999999999967"/>
    <x v="9"/>
  </r>
  <r>
    <n v="1022"/>
    <d v="2023-08-17T00:00:00"/>
    <n v="42785.735999999997"/>
    <n v="21"/>
    <n v="2537.1999999999998"/>
    <n v="2869.6"/>
    <x v="12"/>
    <x v="2"/>
    <x v="2"/>
    <x v="1"/>
    <x v="1"/>
    <x v="1"/>
    <x v="1"/>
    <n v="332.40000000000009"/>
    <n v="6980.4000000000015"/>
    <x v="3"/>
  </r>
  <r>
    <n v="1053"/>
    <d v="2023-10-16T00:00:00"/>
    <n v="19193.903999999999"/>
    <n v="48"/>
    <n v="121.19"/>
    <n v="487.65"/>
    <x v="13"/>
    <x v="0"/>
    <x v="0"/>
    <x v="0"/>
    <x v="1"/>
    <x v="0"/>
    <x v="1"/>
    <n v="366.46"/>
    <n v="17590.079999999998"/>
    <x v="7"/>
  </r>
  <r>
    <n v="1002"/>
    <d v="2023-05-30T00:00:00"/>
    <n v="72136.847999999984"/>
    <n v="17"/>
    <n v="4024.76"/>
    <n v="4420.1499999999996"/>
    <x v="14"/>
    <x v="1"/>
    <x v="0"/>
    <x v="0"/>
    <x v="0"/>
    <x v="0"/>
    <x v="0"/>
    <n v="395.38999999999942"/>
    <n v="6721.6299999999901"/>
    <x v="10"/>
  </r>
  <r>
    <n v="1088"/>
    <d v="2023-10-04T00:00:00"/>
    <n v="181236.6"/>
    <n v="40"/>
    <n v="4904.93"/>
    <n v="5034.3500000000004"/>
    <x v="15"/>
    <x v="0"/>
    <x v="3"/>
    <x v="3"/>
    <x v="1"/>
    <x v="2"/>
    <x v="1"/>
    <n v="129.42000000000007"/>
    <n v="5176.8000000000029"/>
    <x v="7"/>
  </r>
  <r>
    <n v="1030"/>
    <d v="2023-07-17T00:00:00"/>
    <n v="45121.633199999997"/>
    <n v="19"/>
    <n v="3049.33"/>
    <n v="3209.22"/>
    <x v="16"/>
    <x v="1"/>
    <x v="1"/>
    <x v="2"/>
    <x v="0"/>
    <x v="0"/>
    <x v="0"/>
    <n v="159.88999999999987"/>
    <n v="3037.9099999999976"/>
    <x v="11"/>
  </r>
  <r>
    <n v="1038"/>
    <d v="2023-03-11T00:00:00"/>
    <n v="38921.894999999997"/>
    <n v="15"/>
    <n v="2543.36"/>
    <n v="2790.1"/>
    <x v="17"/>
    <x v="0"/>
    <x v="2"/>
    <x v="2"/>
    <x v="0"/>
    <x v="0"/>
    <x v="0"/>
    <n v="246.73999999999978"/>
    <n v="3701.0999999999967"/>
    <x v="4"/>
  </r>
  <r>
    <n v="1002"/>
    <d v="2023-04-22T00:00:00"/>
    <n v="32760.705600000005"/>
    <n v="9"/>
    <n v="4398.16"/>
    <n v="4439.12"/>
    <x v="13"/>
    <x v="3"/>
    <x v="0"/>
    <x v="3"/>
    <x v="1"/>
    <x v="1"/>
    <x v="0"/>
    <n v="40.960000000000036"/>
    <n v="368.64000000000033"/>
    <x v="1"/>
  </r>
  <r>
    <n v="1064"/>
    <d v="2023-01-04T00:00:00"/>
    <n v="44654.896000000001"/>
    <n v="10"/>
    <n v="4764.96"/>
    <n v="5074.42"/>
    <x v="7"/>
    <x v="3"/>
    <x v="3"/>
    <x v="3"/>
    <x v="1"/>
    <x v="0"/>
    <x v="0"/>
    <n v="309.46000000000004"/>
    <n v="3094.6000000000004"/>
    <x v="5"/>
  </r>
  <r>
    <n v="1060"/>
    <d v="2023-12-16T00:00:00"/>
    <n v="176896.3064"/>
    <n v="44"/>
    <n v="3784.96"/>
    <n v="4276.99"/>
    <x v="18"/>
    <x v="3"/>
    <x v="3"/>
    <x v="2"/>
    <x v="1"/>
    <x v="1"/>
    <x v="1"/>
    <n v="492.02999999999975"/>
    <n v="21649.319999999989"/>
    <x v="9"/>
  </r>
  <r>
    <n v="1021"/>
    <d v="2023-11-27T00:00:00"/>
    <n v="57528.572400000005"/>
    <n v="31"/>
    <n v="2254.9899999999998"/>
    <n v="2441.79"/>
    <x v="19"/>
    <x v="4"/>
    <x v="2"/>
    <x v="0"/>
    <x v="0"/>
    <x v="1"/>
    <x v="0"/>
    <n v="186.80000000000018"/>
    <n v="5790.8000000000056"/>
    <x v="8"/>
  </r>
  <r>
    <n v="1033"/>
    <d v="2023-11-14T00:00:00"/>
    <n v="60285.576000000001"/>
    <n v="23"/>
    <n v="2981.5"/>
    <n v="3360.4"/>
    <x v="20"/>
    <x v="1"/>
    <x v="2"/>
    <x v="0"/>
    <x v="0"/>
    <x v="1"/>
    <x v="1"/>
    <n v="378.90000000000009"/>
    <n v="8714.7000000000025"/>
    <x v="8"/>
  </r>
  <r>
    <n v="1076"/>
    <d v="2023-12-16T00:00:00"/>
    <n v="90591.6"/>
    <n v="30"/>
    <n v="3519.63"/>
    <n v="3774.65"/>
    <x v="2"/>
    <x v="3"/>
    <x v="3"/>
    <x v="2"/>
    <x v="1"/>
    <x v="2"/>
    <x v="1"/>
    <n v="255.01999999999998"/>
    <n v="7650.5999999999995"/>
    <x v="9"/>
  </r>
  <r>
    <n v="1058"/>
    <d v="2023-04-05T00:00:00"/>
    <n v="33276.553199999995"/>
    <n v="33"/>
    <n v="1011.65"/>
    <n v="1084.28"/>
    <x v="17"/>
    <x v="4"/>
    <x v="0"/>
    <x v="0"/>
    <x v="0"/>
    <x v="1"/>
    <x v="1"/>
    <n v="72.63"/>
    <n v="2396.79"/>
    <x v="1"/>
  </r>
  <r>
    <n v="1022"/>
    <d v="2023-06-01T00:00:00"/>
    <n v="22339.6335"/>
    <n v="9"/>
    <n v="2263.65"/>
    <n v="2558.9499999999998"/>
    <x v="21"/>
    <x v="1"/>
    <x v="3"/>
    <x v="3"/>
    <x v="1"/>
    <x v="0"/>
    <x v="0"/>
    <n v="295.29999999999973"/>
    <n v="2657.6999999999975"/>
    <x v="6"/>
  </r>
  <r>
    <n v="1089"/>
    <d v="2023-11-07T00:00:00"/>
    <n v="168310.98559999961"/>
    <n v="47"/>
    <n v="4157.62"/>
    <n v="4314.5599999999904"/>
    <x v="22"/>
    <x v="0"/>
    <x v="1"/>
    <x v="0"/>
    <x v="1"/>
    <x v="1"/>
    <x v="1"/>
    <n v="156.9399999999905"/>
    <n v="7376.1799999995537"/>
    <x v="8"/>
  </r>
  <r>
    <n v="1049"/>
    <d v="2023-05-17T00:00:00"/>
    <n v="2753.7325000000001"/>
    <n v="1"/>
    <n v="3290.89"/>
    <n v="3317.75"/>
    <x v="22"/>
    <x v="4"/>
    <x v="1"/>
    <x v="0"/>
    <x v="0"/>
    <x v="1"/>
    <x v="0"/>
    <n v="26.860000000000127"/>
    <n v="26.860000000000127"/>
    <x v="10"/>
  </r>
  <r>
    <n v="1091"/>
    <d v="2023-09-04T00:00:00"/>
    <n v="99536.148799999981"/>
    <n v="44"/>
    <n v="2085.46"/>
    <n v="2406.58"/>
    <x v="18"/>
    <x v="2"/>
    <x v="2"/>
    <x v="1"/>
    <x v="0"/>
    <x v="1"/>
    <x v="1"/>
    <n v="321.11999999999989"/>
    <n v="14129.279999999995"/>
    <x v="2"/>
  </r>
  <r>
    <n v="1059"/>
    <d v="2023-08-31T00:00:00"/>
    <n v="129123.03600000001"/>
    <n v="35"/>
    <n v="3333.64"/>
    <n v="3764.52"/>
    <x v="3"/>
    <x v="4"/>
    <x v="0"/>
    <x v="1"/>
    <x v="0"/>
    <x v="2"/>
    <x v="0"/>
    <n v="430.88000000000011"/>
    <n v="15080.800000000003"/>
    <x v="3"/>
  </r>
  <r>
    <n v="1042"/>
    <d v="2023-01-31T00:00:00"/>
    <n v="8776.4291999999987"/>
    <n v="11"/>
    <n v="635.20000000000005"/>
    <n v="814.14"/>
    <x v="3"/>
    <x v="4"/>
    <x v="0"/>
    <x v="1"/>
    <x v="0"/>
    <x v="0"/>
    <x v="0"/>
    <n v="178.93999999999994"/>
    <n v="1968.3399999999992"/>
    <x v="5"/>
  </r>
  <r>
    <n v="1092"/>
    <d v="2023-02-09T00:00:00"/>
    <n v="53279.87"/>
    <n v="34"/>
    <n v="2037.41"/>
    <n v="2238.65"/>
    <x v="23"/>
    <x v="1"/>
    <x v="1"/>
    <x v="0"/>
    <x v="1"/>
    <x v="2"/>
    <x v="0"/>
    <n v="201.24"/>
    <n v="6842.16"/>
    <x v="0"/>
  </r>
  <r>
    <n v="1060"/>
    <d v="2023-08-17T00:00:00"/>
    <n v="53778.6944"/>
    <n v="16"/>
    <n v="3975.99"/>
    <n v="4422.59"/>
    <x v="19"/>
    <x v="0"/>
    <x v="3"/>
    <x v="2"/>
    <x v="1"/>
    <x v="0"/>
    <x v="0"/>
    <n v="446.60000000000036"/>
    <n v="7145.6000000000058"/>
    <x v="3"/>
  </r>
  <r>
    <n v="1080"/>
    <d v="2023-02-05T00:00:00"/>
    <n v="10045.2312"/>
    <n v="9"/>
    <n v="1141.52"/>
    <n v="1550.19"/>
    <x v="24"/>
    <x v="2"/>
    <x v="2"/>
    <x v="3"/>
    <x v="1"/>
    <x v="2"/>
    <x v="1"/>
    <n v="408.67000000000007"/>
    <n v="3678.0300000000007"/>
    <x v="0"/>
  </r>
  <r>
    <n v="1015"/>
    <d v="2023-08-11T00:00:00"/>
    <n v="40031.667199999996"/>
    <n v="32"/>
    <n v="970.51"/>
    <n v="1330.84"/>
    <x v="18"/>
    <x v="3"/>
    <x v="3"/>
    <x v="0"/>
    <x v="0"/>
    <x v="0"/>
    <x v="1"/>
    <n v="360.32999999999993"/>
    <n v="11530.559999999998"/>
    <x v="3"/>
  </r>
  <r>
    <n v="1062"/>
    <d v="2023-01-06T00:00:00"/>
    <n v="52062.098999999995"/>
    <n v="15"/>
    <n v="4756.55"/>
    <n v="4888.46"/>
    <x v="12"/>
    <x v="3"/>
    <x v="3"/>
    <x v="2"/>
    <x v="1"/>
    <x v="2"/>
    <x v="0"/>
    <n v="131.90999999999985"/>
    <n v="1978.6499999999978"/>
    <x v="5"/>
  </r>
  <r>
    <n v="1062"/>
    <d v="2023-11-18T00:00:00"/>
    <n v="17798.399999999998"/>
    <n v="12"/>
    <n v="1088.99"/>
    <n v="1545"/>
    <x v="14"/>
    <x v="4"/>
    <x v="3"/>
    <x v="0"/>
    <x v="0"/>
    <x v="1"/>
    <x v="1"/>
    <n v="456.01"/>
    <n v="5472.12"/>
    <x v="8"/>
  </r>
  <r>
    <n v="1047"/>
    <d v="2023-08-08T00:00:00"/>
    <n v="40033.2405"/>
    <n v="33"/>
    <n v="1341.55"/>
    <n v="1427.21"/>
    <x v="25"/>
    <x v="1"/>
    <x v="0"/>
    <x v="3"/>
    <x v="0"/>
    <x v="2"/>
    <x v="0"/>
    <n v="85.660000000000082"/>
    <n v="2826.7800000000025"/>
    <x v="3"/>
  </r>
  <r>
    <n v="1062"/>
    <d v="2023-03-16T00:00:00"/>
    <n v="174376.80000000002"/>
    <n v="45"/>
    <n v="4849.6000000000004"/>
    <n v="5166.72"/>
    <x v="26"/>
    <x v="1"/>
    <x v="1"/>
    <x v="0"/>
    <x v="0"/>
    <x v="2"/>
    <x v="0"/>
    <n v="317.11999999999989"/>
    <n v="14270.399999999994"/>
    <x v="4"/>
  </r>
  <r>
    <n v="1051"/>
    <d v="2023-01-04T00:00:00"/>
    <n v="46757.592000000004"/>
    <n v="14"/>
    <n v="3686.81"/>
    <n v="3710.92"/>
    <x v="15"/>
    <x v="3"/>
    <x v="0"/>
    <x v="3"/>
    <x v="1"/>
    <x v="1"/>
    <x v="1"/>
    <n v="24.110000000000127"/>
    <n v="337.54000000000178"/>
    <x v="5"/>
  </r>
  <r>
    <n v="1055"/>
    <d v="2023-12-01T00:00:00"/>
    <n v="26715.403200000001"/>
    <n v="8"/>
    <n v="3513"/>
    <n v="3838.42"/>
    <x v="9"/>
    <x v="2"/>
    <x v="1"/>
    <x v="0"/>
    <x v="0"/>
    <x v="1"/>
    <x v="0"/>
    <n v="325.42000000000007"/>
    <n v="2603.3600000000006"/>
    <x v="9"/>
  </r>
  <r>
    <n v="1064"/>
    <d v="2023-05-14T00:00:00"/>
    <n v="33928.627199999995"/>
    <n v="8"/>
    <n v="4271.99"/>
    <n v="4417.79"/>
    <x v="14"/>
    <x v="0"/>
    <x v="2"/>
    <x v="3"/>
    <x v="0"/>
    <x v="0"/>
    <x v="0"/>
    <n v="145.80000000000018"/>
    <n v="1166.4000000000015"/>
    <x v="10"/>
  </r>
  <r>
    <n v="1003"/>
    <d v="2023-04-28T00:00:00"/>
    <n v="22126.867200000001"/>
    <n v="27"/>
    <n v="623.32000000000005"/>
    <n v="853.66"/>
    <x v="14"/>
    <x v="2"/>
    <x v="2"/>
    <x v="0"/>
    <x v="0"/>
    <x v="0"/>
    <x v="0"/>
    <n v="230.33999999999992"/>
    <n v="6219.1799999999976"/>
    <x v="1"/>
  </r>
  <r>
    <n v="1051"/>
    <d v="2023-04-04T00:00:00"/>
    <n v="36193.975200000001"/>
    <n v="12"/>
    <n v="3544.48"/>
    <n v="3723.66"/>
    <x v="27"/>
    <x v="0"/>
    <x v="3"/>
    <x v="3"/>
    <x v="0"/>
    <x v="0"/>
    <x v="0"/>
    <n v="179.17999999999984"/>
    <n v="2150.159999999998"/>
    <x v="1"/>
  </r>
  <r>
    <n v="1007"/>
    <d v="2023-03-03T00:00:00"/>
    <n v="2110.328"/>
    <n v="1"/>
    <n v="2543.2600000000002"/>
    <n v="2637.91"/>
    <x v="2"/>
    <x v="3"/>
    <x v="1"/>
    <x v="1"/>
    <x v="0"/>
    <x v="2"/>
    <x v="0"/>
    <n v="94.649999999999636"/>
    <n v="94.649999999999636"/>
    <x v="4"/>
  </r>
  <r>
    <n v="1021"/>
    <d v="2023-07-13T00:00:00"/>
    <n v="147970.90769999998"/>
    <n v="43"/>
    <n v="4154.3"/>
    <n v="4469.07"/>
    <x v="10"/>
    <x v="0"/>
    <x v="1"/>
    <x v="0"/>
    <x v="0"/>
    <x v="0"/>
    <x v="1"/>
    <n v="314.76999999999953"/>
    <n v="13535.109999999979"/>
    <x v="11"/>
  </r>
  <r>
    <n v="1073"/>
    <d v="2023-12-01T00:00:00"/>
    <n v="99848.003999999986"/>
    <n v="40"/>
    <n v="2565.3000000000002"/>
    <n v="3007.47"/>
    <x v="22"/>
    <x v="1"/>
    <x v="1"/>
    <x v="0"/>
    <x v="0"/>
    <x v="2"/>
    <x v="1"/>
    <n v="442.16999999999962"/>
    <n v="17686.799999999985"/>
    <x v="9"/>
  </r>
  <r>
    <n v="1039"/>
    <d v="2023-07-22T00:00:00"/>
    <n v="122476.76280000001"/>
    <n v="42"/>
    <n v="3120.19"/>
    <n v="3600.14"/>
    <x v="27"/>
    <x v="4"/>
    <x v="3"/>
    <x v="2"/>
    <x v="0"/>
    <x v="2"/>
    <x v="1"/>
    <n v="479.94999999999982"/>
    <n v="20157.899999999994"/>
    <x v="11"/>
  </r>
  <r>
    <n v="1018"/>
    <d v="2023-01-26T00:00:00"/>
    <n v="27709.77"/>
    <n v="11"/>
    <n v="2414.8200000000002"/>
    <n v="2519.0700000000002"/>
    <x v="11"/>
    <x v="4"/>
    <x v="3"/>
    <x v="2"/>
    <x v="0"/>
    <x v="0"/>
    <x v="0"/>
    <n v="104.25"/>
    <n v="1146.75"/>
    <x v="5"/>
  </r>
  <r>
    <n v="1004"/>
    <d v="2023-06-22T00:00:00"/>
    <n v="102939.71999999962"/>
    <n v="39"/>
    <n v="2416.89"/>
    <n v="2778.3999999999901"/>
    <x v="8"/>
    <x v="3"/>
    <x v="2"/>
    <x v="3"/>
    <x v="0"/>
    <x v="0"/>
    <x v="0"/>
    <n v="361.50999999999021"/>
    <n v="14098.889999999617"/>
    <x v="6"/>
  </r>
  <r>
    <n v="1089"/>
    <d v="2023-10-27T00:00:00"/>
    <n v="126028.09799999998"/>
    <n v="43"/>
    <n v="3851.45"/>
    <n v="4186.9799999999996"/>
    <x v="23"/>
    <x v="1"/>
    <x v="0"/>
    <x v="0"/>
    <x v="0"/>
    <x v="2"/>
    <x v="0"/>
    <n v="335.52999999999975"/>
    <n v="14427.78999999999"/>
    <x v="7"/>
  </r>
  <r>
    <n v="1060"/>
    <d v="2023-05-13T00:00:00"/>
    <n v="101458.87079999999"/>
    <n v="31"/>
    <n v="3161.4"/>
    <n v="3339.66"/>
    <x v="3"/>
    <x v="2"/>
    <x v="1"/>
    <x v="3"/>
    <x v="0"/>
    <x v="1"/>
    <x v="0"/>
    <n v="178.25999999999976"/>
    <n v="5526.0599999999922"/>
    <x v="10"/>
  </r>
  <r>
    <n v="1014"/>
    <d v="2023-11-22T00:00:00"/>
    <n v="43574.536000000007"/>
    <n v="17"/>
    <n v="3184.65"/>
    <n v="3204.01"/>
    <x v="2"/>
    <x v="1"/>
    <x v="1"/>
    <x v="1"/>
    <x v="1"/>
    <x v="1"/>
    <x v="0"/>
    <n v="19.360000000000127"/>
    <n v="329.12000000000216"/>
    <x v="8"/>
  </r>
  <r>
    <n v="1009"/>
    <d v="2023-04-28T00:00:00"/>
    <n v="82353.314999999988"/>
    <n v="33"/>
    <n v="2278.9"/>
    <n v="2626.9"/>
    <x v="8"/>
    <x v="4"/>
    <x v="0"/>
    <x v="2"/>
    <x v="1"/>
    <x v="2"/>
    <x v="0"/>
    <n v="348"/>
    <n v="11484"/>
    <x v="1"/>
  </r>
  <r>
    <n v="1090"/>
    <d v="2023-11-20T00:00:00"/>
    <n v="78680.908799999757"/>
    <n v="32"/>
    <n v="2678.99"/>
    <n v="3152.2799999999902"/>
    <x v="20"/>
    <x v="4"/>
    <x v="1"/>
    <x v="3"/>
    <x v="0"/>
    <x v="0"/>
    <x v="1"/>
    <n v="473.28999999999041"/>
    <n v="15145.279999999693"/>
    <x v="8"/>
  </r>
  <r>
    <n v="1053"/>
    <d v="2023-10-02T00:00:00"/>
    <n v="93038.426400000011"/>
    <n v="29"/>
    <n v="3741.3"/>
    <n v="4061.04"/>
    <x v="5"/>
    <x v="1"/>
    <x v="3"/>
    <x v="3"/>
    <x v="0"/>
    <x v="2"/>
    <x v="0"/>
    <n v="319.73999999999978"/>
    <n v="9272.4599999999937"/>
    <x v="7"/>
  </r>
  <r>
    <n v="1002"/>
    <d v="2023-07-31T00:00:00"/>
    <n v="85184.000999999989"/>
    <n v="21"/>
    <n v="4138.41"/>
    <n v="4361.7"/>
    <x v="17"/>
    <x v="1"/>
    <x v="3"/>
    <x v="2"/>
    <x v="0"/>
    <x v="2"/>
    <x v="1"/>
    <n v="223.28999999999996"/>
    <n v="4689.0899999999992"/>
    <x v="11"/>
  </r>
  <r>
    <n v="1084"/>
    <d v="2023-08-13T00:00:00"/>
    <n v="72745.789199999999"/>
    <n v="21"/>
    <n v="3497.98"/>
    <n v="3765.31"/>
    <x v="4"/>
    <x v="4"/>
    <x v="1"/>
    <x v="0"/>
    <x v="1"/>
    <x v="0"/>
    <x v="0"/>
    <n v="267.32999999999993"/>
    <n v="5613.9299999999985"/>
    <x v="3"/>
  </r>
  <r>
    <n v="1092"/>
    <d v="2023-01-20T00:00:00"/>
    <n v="151423.35999999999"/>
    <n v="40"/>
    <n v="4624.16"/>
    <n v="4731.9799999999996"/>
    <x v="2"/>
    <x v="2"/>
    <x v="3"/>
    <x v="3"/>
    <x v="1"/>
    <x v="1"/>
    <x v="1"/>
    <n v="107.81999999999971"/>
    <n v="4312.7999999999884"/>
    <x v="5"/>
  </r>
  <r>
    <n v="1060"/>
    <d v="2023-04-23T00:00:00"/>
    <n v="90844.608800000002"/>
    <n v="23"/>
    <n v="4110.6000000000004"/>
    <n v="4488.37"/>
    <x v="7"/>
    <x v="3"/>
    <x v="3"/>
    <x v="2"/>
    <x v="1"/>
    <x v="2"/>
    <x v="0"/>
    <n v="377.76999999999953"/>
    <n v="8688.7099999999882"/>
    <x v="1"/>
  </r>
  <r>
    <n v="1071"/>
    <d v="2023-05-20T00:00:00"/>
    <n v="18087.367200000001"/>
    <n v="6"/>
    <n v="2831.23"/>
    <n v="3206.98"/>
    <x v="18"/>
    <x v="3"/>
    <x v="1"/>
    <x v="0"/>
    <x v="0"/>
    <x v="1"/>
    <x v="1"/>
    <n v="375.75"/>
    <n v="2254.5"/>
    <x v="10"/>
  </r>
  <r>
    <n v="1044"/>
    <d v="2023-02-16T00:00:00"/>
    <n v="59283.681600000004"/>
    <n v="22"/>
    <n v="3373.46"/>
    <n v="3454.76"/>
    <x v="20"/>
    <x v="1"/>
    <x v="2"/>
    <x v="1"/>
    <x v="0"/>
    <x v="1"/>
    <x v="1"/>
    <n v="81.300000000000182"/>
    <n v="1788.600000000004"/>
    <x v="0"/>
  </r>
  <r>
    <n v="1008"/>
    <d v="2023-01-01T00:00:00"/>
    <n v="183223.38399999996"/>
    <n v="38"/>
    <n v="4635.2299999999996"/>
    <n v="5075.4399999999996"/>
    <x v="8"/>
    <x v="3"/>
    <x v="0"/>
    <x v="2"/>
    <x v="0"/>
    <x v="0"/>
    <x v="0"/>
    <n v="440.21000000000004"/>
    <n v="16727.980000000003"/>
    <x v="5"/>
  </r>
  <r>
    <n v="1047"/>
    <d v="2023-03-31T00:00:00"/>
    <n v="89170.636400000003"/>
    <n v="37"/>
    <n v="3114.88"/>
    <n v="3256.78"/>
    <x v="16"/>
    <x v="4"/>
    <x v="3"/>
    <x v="3"/>
    <x v="0"/>
    <x v="2"/>
    <x v="0"/>
    <n v="141.90000000000009"/>
    <n v="5250.3000000000029"/>
    <x v="4"/>
  </r>
  <r>
    <n v="1035"/>
    <d v="2023-05-22T00:00:00"/>
    <n v="176871.82500000001"/>
    <n v="45"/>
    <n v="4132.79"/>
    <n v="4624.1000000000004"/>
    <x v="25"/>
    <x v="4"/>
    <x v="2"/>
    <x v="1"/>
    <x v="1"/>
    <x v="2"/>
    <x v="1"/>
    <n v="491.3100000000004"/>
    <n v="22108.950000000019"/>
    <x v="10"/>
  </r>
  <r>
    <n v="1078"/>
    <d v="2023-11-16T00:00:00"/>
    <n v="28380.104800000001"/>
    <n v="8"/>
    <n v="3459.61"/>
    <n v="3657.23"/>
    <x v="21"/>
    <x v="1"/>
    <x v="3"/>
    <x v="0"/>
    <x v="0"/>
    <x v="1"/>
    <x v="0"/>
    <n v="197.61999999999989"/>
    <n v="1580.9599999999991"/>
    <x v="8"/>
  </r>
  <r>
    <n v="1081"/>
    <d v="2023-02-07T00:00:00"/>
    <n v="93258.583599999998"/>
    <n v="41"/>
    <n v="2782.08"/>
    <n v="2879.24"/>
    <x v="5"/>
    <x v="1"/>
    <x v="3"/>
    <x v="0"/>
    <x v="1"/>
    <x v="1"/>
    <x v="0"/>
    <n v="97.159999999999854"/>
    <n v="3983.559999999994"/>
    <x v="0"/>
  </r>
  <r>
    <n v="1036"/>
    <d v="2023-10-20T00:00:00"/>
    <n v="58835.75039999959"/>
    <n v="49"/>
    <n v="1247.0999999999999"/>
    <n v="1429.4399999999901"/>
    <x v="28"/>
    <x v="1"/>
    <x v="0"/>
    <x v="2"/>
    <x v="1"/>
    <x v="0"/>
    <x v="0"/>
    <n v="182.33999999999014"/>
    <n v="8934.659999999516"/>
    <x v="7"/>
  </r>
  <r>
    <n v="1050"/>
    <d v="2023-05-19T00:00:00"/>
    <n v="75942.503000000012"/>
    <n v="35"/>
    <n v="2158.69"/>
    <n v="2384.38"/>
    <x v="0"/>
    <x v="2"/>
    <x v="3"/>
    <x v="2"/>
    <x v="0"/>
    <x v="1"/>
    <x v="1"/>
    <n v="225.69000000000005"/>
    <n v="7899.1500000000015"/>
    <x v="10"/>
  </r>
  <r>
    <n v="1004"/>
    <d v="2023-12-22T00:00:00"/>
    <n v="46742.655299999999"/>
    <n v="11"/>
    <n v="4840.33"/>
    <n v="4884.29"/>
    <x v="9"/>
    <x v="3"/>
    <x v="0"/>
    <x v="2"/>
    <x v="1"/>
    <x v="0"/>
    <x v="0"/>
    <n v="43.960000000000036"/>
    <n v="483.5600000000004"/>
    <x v="9"/>
  </r>
  <r>
    <n v="1002"/>
    <d v="2023-11-29T00:00:00"/>
    <n v="78608.056800000006"/>
    <n v="24"/>
    <n v="3305.94"/>
    <n v="3599.27"/>
    <x v="0"/>
    <x v="1"/>
    <x v="0"/>
    <x v="0"/>
    <x v="1"/>
    <x v="2"/>
    <x v="1"/>
    <n v="293.32999999999993"/>
    <n v="7039.9199999999983"/>
    <x v="8"/>
  </r>
  <r>
    <n v="1006"/>
    <d v="2023-09-16T00:00:00"/>
    <n v="141848.728"/>
    <n v="49"/>
    <n v="2843.76"/>
    <n v="3146.6"/>
    <x v="4"/>
    <x v="0"/>
    <x v="0"/>
    <x v="1"/>
    <x v="1"/>
    <x v="0"/>
    <x v="1"/>
    <n v="302.83999999999969"/>
    <n v="14839.159999999985"/>
    <x v="2"/>
  </r>
  <r>
    <n v="1054"/>
    <d v="2023-06-10T00:00:00"/>
    <n v="100552.38900000001"/>
    <n v="21"/>
    <n v="4668.1400000000003"/>
    <n v="5040.22"/>
    <x v="8"/>
    <x v="0"/>
    <x v="2"/>
    <x v="0"/>
    <x v="1"/>
    <x v="1"/>
    <x v="0"/>
    <n v="372.07999999999993"/>
    <n v="7813.6799999999985"/>
    <x v="6"/>
  </r>
  <r>
    <n v="1004"/>
    <d v="2023-06-27T00:00:00"/>
    <n v="5299.9856"/>
    <n v="2"/>
    <n v="2953.23"/>
    <n v="2977.52"/>
    <x v="1"/>
    <x v="4"/>
    <x v="1"/>
    <x v="3"/>
    <x v="0"/>
    <x v="2"/>
    <x v="1"/>
    <n v="24.289999999999964"/>
    <n v="48.579999999999927"/>
    <x v="6"/>
  </r>
  <r>
    <n v="1054"/>
    <d v="2023-01-10T00:00:00"/>
    <n v="107798.97600000001"/>
    <n v="40"/>
    <n v="2654.11"/>
    <n v="2929.32"/>
    <x v="4"/>
    <x v="3"/>
    <x v="2"/>
    <x v="0"/>
    <x v="0"/>
    <x v="0"/>
    <x v="0"/>
    <n v="275.21000000000004"/>
    <n v="11008.400000000001"/>
    <x v="5"/>
  </r>
  <r>
    <n v="1093"/>
    <d v="2023-09-18T00:00:00"/>
    <n v="57706.095100000006"/>
    <n v="19"/>
    <n v="3808.59"/>
    <n v="3844.51"/>
    <x v="5"/>
    <x v="1"/>
    <x v="1"/>
    <x v="3"/>
    <x v="1"/>
    <x v="2"/>
    <x v="0"/>
    <n v="35.920000000000073"/>
    <n v="682.48000000000138"/>
    <x v="2"/>
  </r>
  <r>
    <n v="1063"/>
    <d v="2023-05-18T00:00:00"/>
    <n v="121121.8125"/>
    <n v="39"/>
    <n v="3577.69"/>
    <n v="3931.25"/>
    <x v="5"/>
    <x v="0"/>
    <x v="1"/>
    <x v="1"/>
    <x v="0"/>
    <x v="0"/>
    <x v="1"/>
    <n v="353.55999999999995"/>
    <n v="13788.839999999998"/>
    <x v="10"/>
  </r>
  <r>
    <n v="1018"/>
    <d v="2023-06-21T00:00:00"/>
    <n v="24834.11"/>
    <n v="28"/>
    <n v="1006.14"/>
    <n v="1043.45"/>
    <x v="25"/>
    <x v="3"/>
    <x v="0"/>
    <x v="2"/>
    <x v="1"/>
    <x v="1"/>
    <x v="1"/>
    <n v="37.310000000000059"/>
    <n v="1044.6800000000017"/>
    <x v="6"/>
  </r>
  <r>
    <n v="1090"/>
    <d v="2023-01-13T00:00:00"/>
    <n v="37172.065700000006"/>
    <n v="17"/>
    <n v="2382.98"/>
    <n v="2839.73"/>
    <x v="10"/>
    <x v="4"/>
    <x v="3"/>
    <x v="2"/>
    <x v="0"/>
    <x v="1"/>
    <x v="1"/>
    <n v="456.75"/>
    <n v="7764.75"/>
    <x v="5"/>
  </r>
  <r>
    <n v="1044"/>
    <d v="2023-06-17T00:00:00"/>
    <n v="12343.365"/>
    <n v="6"/>
    <n v="2388.9499999999998"/>
    <n v="2742.97"/>
    <x v="26"/>
    <x v="2"/>
    <x v="0"/>
    <x v="0"/>
    <x v="0"/>
    <x v="2"/>
    <x v="1"/>
    <n v="354.02"/>
    <n v="2124.12"/>
    <x v="6"/>
  </r>
  <r>
    <n v="1034"/>
    <d v="2023-05-10T00:00:00"/>
    <n v="34391.689099999996"/>
    <n v="19"/>
    <n v="1922.21"/>
    <n v="2180.83"/>
    <x v="22"/>
    <x v="3"/>
    <x v="3"/>
    <x v="2"/>
    <x v="0"/>
    <x v="2"/>
    <x v="1"/>
    <n v="258.61999999999989"/>
    <n v="4913.7799999999979"/>
    <x v="10"/>
  </r>
  <r>
    <n v="1074"/>
    <d v="2023-03-25T00:00:00"/>
    <n v="87321.013200000001"/>
    <n v="38"/>
    <n v="2610.6"/>
    <n v="2836.94"/>
    <x v="27"/>
    <x v="3"/>
    <x v="1"/>
    <x v="1"/>
    <x v="0"/>
    <x v="2"/>
    <x v="0"/>
    <n v="226.34000000000015"/>
    <n v="8600.9200000000055"/>
    <x v="4"/>
  </r>
  <r>
    <n v="1062"/>
    <d v="2023-11-17T00:00:00"/>
    <n v="55871.121599999999"/>
    <n v="28"/>
    <n v="2094.88"/>
    <n v="2168.91"/>
    <x v="4"/>
    <x v="2"/>
    <x v="0"/>
    <x v="2"/>
    <x v="0"/>
    <x v="0"/>
    <x v="1"/>
    <n v="74.029999999999745"/>
    <n v="2072.8399999999929"/>
    <x v="8"/>
  </r>
  <r>
    <n v="1100"/>
    <d v="2023-11-15T00:00:00"/>
    <n v="1736.4509999999998"/>
    <n v="2"/>
    <n v="1036.76"/>
    <n v="1189.3499999999999"/>
    <x v="29"/>
    <x v="3"/>
    <x v="3"/>
    <x v="0"/>
    <x v="1"/>
    <x v="1"/>
    <x v="0"/>
    <n v="152.58999999999992"/>
    <n v="305.17999999999984"/>
    <x v="8"/>
  </r>
  <r>
    <n v="1014"/>
    <d v="2023-04-11T00:00:00"/>
    <n v="95065.74"/>
    <n v="38"/>
    <n v="2091.21"/>
    <n v="2527"/>
    <x v="30"/>
    <x v="4"/>
    <x v="2"/>
    <x v="1"/>
    <x v="0"/>
    <x v="2"/>
    <x v="0"/>
    <n v="435.78999999999996"/>
    <n v="16560.019999999997"/>
    <x v="1"/>
  </r>
  <r>
    <n v="1095"/>
    <d v="2023-11-25T00:00:00"/>
    <n v="28669.635000000002"/>
    <n v="37"/>
    <n v="407.77"/>
    <n v="860.95"/>
    <x v="15"/>
    <x v="4"/>
    <x v="3"/>
    <x v="3"/>
    <x v="1"/>
    <x v="2"/>
    <x v="1"/>
    <n v="453.18000000000006"/>
    <n v="16767.660000000003"/>
    <x v="8"/>
  </r>
  <r>
    <n v="1048"/>
    <d v="2023-09-30T00:00:00"/>
    <n v="9080.7911999999706"/>
    <n v="4"/>
    <n v="2900.14"/>
    <n v="2910.5099999999902"/>
    <x v="20"/>
    <x v="2"/>
    <x v="0"/>
    <x v="0"/>
    <x v="1"/>
    <x v="2"/>
    <x v="1"/>
    <n v="10.369999999990341"/>
    <n v="41.479999999961365"/>
    <x v="2"/>
  </r>
  <r>
    <n v="1015"/>
    <d v="2023-09-22T00:00:00"/>
    <n v="98674.083200000008"/>
    <n v="22"/>
    <n v="4275.59"/>
    <n v="4576.72"/>
    <x v="3"/>
    <x v="1"/>
    <x v="2"/>
    <x v="3"/>
    <x v="0"/>
    <x v="0"/>
    <x v="1"/>
    <n v="301.13000000000011"/>
    <n v="6624.8600000000024"/>
    <x v="2"/>
  </r>
  <r>
    <n v="1072"/>
    <d v="2023-02-07T00:00:00"/>
    <n v="98864.960999999996"/>
    <n v="26"/>
    <n v="3640.17"/>
    <n v="4002.63"/>
    <x v="8"/>
    <x v="0"/>
    <x v="3"/>
    <x v="1"/>
    <x v="1"/>
    <x v="2"/>
    <x v="1"/>
    <n v="362.46000000000004"/>
    <n v="9423.9600000000009"/>
    <x v="0"/>
  </r>
  <r>
    <n v="1078"/>
    <d v="2023-04-04T00:00:00"/>
    <n v="86272.085200000001"/>
    <n v="49"/>
    <n v="1833.95"/>
    <n v="2147.14"/>
    <x v="13"/>
    <x v="1"/>
    <x v="3"/>
    <x v="0"/>
    <x v="0"/>
    <x v="2"/>
    <x v="1"/>
    <n v="313.18999999999983"/>
    <n v="15346.309999999992"/>
    <x v="1"/>
  </r>
  <r>
    <n v="1087"/>
    <d v="2023-04-05T00:00:00"/>
    <n v="18952.103800000001"/>
    <n v="43"/>
    <n v="481"/>
    <n v="531.02"/>
    <x v="22"/>
    <x v="3"/>
    <x v="3"/>
    <x v="0"/>
    <x v="1"/>
    <x v="0"/>
    <x v="0"/>
    <n v="50.019999999999982"/>
    <n v="2150.8599999999992"/>
    <x v="1"/>
  </r>
  <r>
    <n v="1062"/>
    <d v="2023-11-01T00:00:00"/>
    <n v="32778.626400000001"/>
    <n v="36"/>
    <n v="1050.6400000000001"/>
    <n v="1167.33"/>
    <x v="20"/>
    <x v="0"/>
    <x v="3"/>
    <x v="1"/>
    <x v="1"/>
    <x v="0"/>
    <x v="0"/>
    <n v="116.68999999999983"/>
    <n v="4200.8399999999938"/>
    <x v="8"/>
  </r>
  <r>
    <n v="1040"/>
    <d v="2023-03-10T00:00:00"/>
    <n v="28482.557999999997"/>
    <n v="13"/>
    <n v="2750.18"/>
    <n v="2882.85"/>
    <x v="19"/>
    <x v="2"/>
    <x v="3"/>
    <x v="2"/>
    <x v="0"/>
    <x v="2"/>
    <x v="0"/>
    <n v="132.67000000000007"/>
    <n v="1724.7100000000009"/>
    <x v="4"/>
  </r>
  <r>
    <n v="1085"/>
    <d v="2023-11-14T00:00:00"/>
    <n v="45848.9856"/>
    <n v="32"/>
    <n v="1074.93"/>
    <n v="1492.48"/>
    <x v="14"/>
    <x v="2"/>
    <x v="2"/>
    <x v="0"/>
    <x v="0"/>
    <x v="2"/>
    <x v="1"/>
    <n v="417.54999999999995"/>
    <n v="13361.599999999999"/>
    <x v="8"/>
  </r>
  <r>
    <n v="1080"/>
    <d v="2023-08-24T00:00:00"/>
    <n v="50147.341199999995"/>
    <n v="17"/>
    <n v="2742.67"/>
    <n v="2979.64"/>
    <x v="30"/>
    <x v="0"/>
    <x v="1"/>
    <x v="0"/>
    <x v="0"/>
    <x v="0"/>
    <x v="1"/>
    <n v="236.9699999999998"/>
    <n v="4028.4899999999966"/>
    <x v="3"/>
  </r>
  <r>
    <n v="1082"/>
    <d v="2023-11-30T00:00:00"/>
    <n v="46802.578300000008"/>
    <n v="41"/>
    <n v="1196.42"/>
    <n v="1444.97"/>
    <x v="5"/>
    <x v="4"/>
    <x v="2"/>
    <x v="3"/>
    <x v="0"/>
    <x v="1"/>
    <x v="0"/>
    <n v="248.54999999999995"/>
    <n v="10190.549999999997"/>
    <x v="8"/>
  </r>
  <r>
    <n v="1053"/>
    <d v="2023-05-17T00:00:00"/>
    <n v="154636.04520000002"/>
    <n v="36"/>
    <n v="4252.17"/>
    <n v="4720.2700000000004"/>
    <x v="0"/>
    <x v="0"/>
    <x v="2"/>
    <x v="2"/>
    <x v="1"/>
    <x v="0"/>
    <x v="1"/>
    <n v="468.10000000000036"/>
    <n v="16851.600000000013"/>
    <x v="10"/>
  </r>
  <r>
    <n v="1024"/>
    <d v="2023-03-17T00:00:00"/>
    <n v="87138.47159999999"/>
    <n v="46"/>
    <n v="2016.49"/>
    <n v="2338.66"/>
    <x v="27"/>
    <x v="3"/>
    <x v="2"/>
    <x v="3"/>
    <x v="0"/>
    <x v="1"/>
    <x v="1"/>
    <n v="322.16999999999985"/>
    <n v="14819.819999999992"/>
    <x v="4"/>
  </r>
  <r>
    <n v="1026"/>
    <d v="2023-02-04T00:00:00"/>
    <n v="30970.731499999994"/>
    <n v="19"/>
    <n v="1265.48"/>
    <n v="1715.83"/>
    <x v="8"/>
    <x v="4"/>
    <x v="1"/>
    <x v="3"/>
    <x v="1"/>
    <x v="2"/>
    <x v="1"/>
    <n v="450.34999999999991"/>
    <n v="8556.6499999999978"/>
    <x v="0"/>
  </r>
  <r>
    <n v="1089"/>
    <d v="2023-01-01T00:00:00"/>
    <n v="129571.47"/>
    <n v="35"/>
    <n v="4071.01"/>
    <n v="4304.7"/>
    <x v="6"/>
    <x v="2"/>
    <x v="0"/>
    <x v="2"/>
    <x v="1"/>
    <x v="2"/>
    <x v="0"/>
    <n v="233.6899999999996"/>
    <n v="8179.149999999986"/>
    <x v="5"/>
  </r>
  <r>
    <n v="1060"/>
    <d v="2023-10-23T00:00:00"/>
    <n v="71563.557000000001"/>
    <n v="46"/>
    <n v="1747.05"/>
    <n v="1830.27"/>
    <x v="25"/>
    <x v="0"/>
    <x v="1"/>
    <x v="2"/>
    <x v="1"/>
    <x v="1"/>
    <x v="1"/>
    <n v="83.220000000000027"/>
    <n v="3828.1200000000013"/>
    <x v="7"/>
  </r>
  <r>
    <n v="1041"/>
    <d v="2023-11-16T00:00:00"/>
    <n v="35014.983999999997"/>
    <n v="40"/>
    <n v="601.86"/>
    <n v="1067.53"/>
    <x v="13"/>
    <x v="1"/>
    <x v="2"/>
    <x v="1"/>
    <x v="1"/>
    <x v="0"/>
    <x v="0"/>
    <n v="465.66999999999996"/>
    <n v="18626.8"/>
    <x v="8"/>
  </r>
  <r>
    <n v="1029"/>
    <d v="2023-03-01T00:00:00"/>
    <n v="73977.540000000008"/>
    <n v="28"/>
    <n v="2873.53"/>
    <n v="3108.3"/>
    <x v="25"/>
    <x v="1"/>
    <x v="3"/>
    <x v="2"/>
    <x v="1"/>
    <x v="2"/>
    <x v="1"/>
    <n v="234.76999999999998"/>
    <n v="6573.5599999999995"/>
    <x v="4"/>
  </r>
  <r>
    <n v="1015"/>
    <d v="2023-11-16T00:00:00"/>
    <n v="2573.5789999999997"/>
    <n v="1"/>
    <n v="2928.74"/>
    <n v="3027.74"/>
    <x v="25"/>
    <x v="3"/>
    <x v="3"/>
    <x v="0"/>
    <x v="1"/>
    <x v="1"/>
    <x v="1"/>
    <n v="99"/>
    <n v="99"/>
    <x v="8"/>
  </r>
  <r>
    <n v="1045"/>
    <d v="2023-12-15T00:00:00"/>
    <n v="141595.39800000002"/>
    <n v="42"/>
    <n v="3587.74"/>
    <n v="3745.91"/>
    <x v="15"/>
    <x v="1"/>
    <x v="2"/>
    <x v="2"/>
    <x v="0"/>
    <x v="0"/>
    <x v="0"/>
    <n v="158.17000000000007"/>
    <n v="6643.1400000000031"/>
    <x v="9"/>
  </r>
  <r>
    <n v="1065"/>
    <d v="2023-11-24T00:00:00"/>
    <n v="22473.0072"/>
    <n v="18"/>
    <n v="1239.0899999999999"/>
    <n v="1273.98"/>
    <x v="3"/>
    <x v="0"/>
    <x v="3"/>
    <x v="1"/>
    <x v="1"/>
    <x v="1"/>
    <x v="1"/>
    <n v="34.8900000000001"/>
    <n v="628.0200000000018"/>
    <x v="8"/>
  </r>
  <r>
    <n v="1089"/>
    <d v="2023-09-24T00:00:00"/>
    <n v="115754.6784"/>
    <n v="48"/>
    <n v="2246.67"/>
    <n v="2486.14"/>
    <x v="21"/>
    <x v="0"/>
    <x v="2"/>
    <x v="1"/>
    <x v="1"/>
    <x v="0"/>
    <x v="1"/>
    <n v="239.4699999999998"/>
    <n v="11494.55999999999"/>
    <x v="2"/>
  </r>
  <r>
    <n v="1071"/>
    <d v="2023-12-27T00:00:00"/>
    <n v="65276.1"/>
    <n v="40"/>
    <n v="1447.72"/>
    <n v="1875.75"/>
    <x v="9"/>
    <x v="1"/>
    <x v="3"/>
    <x v="1"/>
    <x v="1"/>
    <x v="0"/>
    <x v="1"/>
    <n v="428.03"/>
    <n v="17121.199999999997"/>
    <x v="9"/>
  </r>
  <r>
    <n v="1009"/>
    <d v="2023-08-17T00:00:00"/>
    <n v="26966.652899999997"/>
    <n v="33"/>
    <n v="450.72"/>
    <n v="918.17"/>
    <x v="1"/>
    <x v="0"/>
    <x v="1"/>
    <x v="2"/>
    <x v="0"/>
    <x v="0"/>
    <x v="0"/>
    <n v="467.44999999999993"/>
    <n v="15425.849999999999"/>
    <x v="3"/>
  </r>
  <r>
    <n v="1088"/>
    <d v="2023-09-27T00:00:00"/>
    <n v="49533.443999999901"/>
    <n v="12"/>
    <n v="4389.24"/>
    <n v="4856.2199999999903"/>
    <x v="25"/>
    <x v="3"/>
    <x v="0"/>
    <x v="2"/>
    <x v="0"/>
    <x v="0"/>
    <x v="1"/>
    <n v="466.97999999999047"/>
    <n v="5603.7599999998856"/>
    <x v="2"/>
  </r>
  <r>
    <n v="1001"/>
    <d v="2023-11-12T00:00:00"/>
    <n v="27149.085600000002"/>
    <n v="8"/>
    <n v="3657.91"/>
    <n v="3729.27"/>
    <x v="0"/>
    <x v="4"/>
    <x v="0"/>
    <x v="3"/>
    <x v="1"/>
    <x v="1"/>
    <x v="1"/>
    <n v="71.360000000000127"/>
    <n v="570.88000000000102"/>
    <x v="8"/>
  </r>
  <r>
    <n v="1008"/>
    <d v="2023-10-13T00:00:00"/>
    <n v="32979.972000000002"/>
    <n v="24"/>
    <n v="1542.24"/>
    <n v="1739.45"/>
    <x v="5"/>
    <x v="3"/>
    <x v="1"/>
    <x v="3"/>
    <x v="0"/>
    <x v="1"/>
    <x v="1"/>
    <n v="197.21000000000004"/>
    <n v="4733.0400000000009"/>
    <x v="7"/>
  </r>
  <r>
    <n v="1088"/>
    <d v="2023-10-18T00:00:00"/>
    <n v="36002.243199999997"/>
    <n v="16"/>
    <n v="3016.9"/>
    <n v="3040.73"/>
    <x v="16"/>
    <x v="3"/>
    <x v="1"/>
    <x v="0"/>
    <x v="1"/>
    <x v="1"/>
    <x v="1"/>
    <n v="23.829999999999927"/>
    <n v="381.27999999999884"/>
    <x v="7"/>
  </r>
  <r>
    <n v="1063"/>
    <d v="2023-08-01T00:00:00"/>
    <n v="5370.0555999999997"/>
    <n v="4"/>
    <n v="1046.26"/>
    <n v="1475.29"/>
    <x v="0"/>
    <x v="0"/>
    <x v="2"/>
    <x v="3"/>
    <x v="0"/>
    <x v="1"/>
    <x v="1"/>
    <n v="429.03"/>
    <n v="1716.12"/>
    <x v="3"/>
  </r>
  <r>
    <n v="1011"/>
    <d v="2023-06-14T00:00:00"/>
    <n v="165828.67120000001"/>
    <n v="38"/>
    <n v="4456.67"/>
    <n v="4642.46"/>
    <x v="18"/>
    <x v="4"/>
    <x v="2"/>
    <x v="0"/>
    <x v="1"/>
    <x v="1"/>
    <x v="0"/>
    <n v="185.78999999999996"/>
    <n v="7060.0199999999986"/>
    <x v="6"/>
  </r>
  <r>
    <n v="1081"/>
    <d v="2023-01-05T00:00:00"/>
    <n v="40035.547199999994"/>
    <n v="44"/>
    <n v="618.79"/>
    <n v="938.04"/>
    <x v="21"/>
    <x v="0"/>
    <x v="2"/>
    <x v="1"/>
    <x v="0"/>
    <x v="0"/>
    <x v="0"/>
    <n v="319.25"/>
    <n v="14047"/>
    <x v="5"/>
  </r>
  <r>
    <n v="1008"/>
    <d v="2023-12-05T00:00:00"/>
    <n v="9504.4806000000008"/>
    <n v="27"/>
    <n v="68.989999999999995"/>
    <n v="429.29"/>
    <x v="13"/>
    <x v="2"/>
    <x v="3"/>
    <x v="3"/>
    <x v="0"/>
    <x v="2"/>
    <x v="1"/>
    <n v="360.3"/>
    <n v="9728.1"/>
    <x v="9"/>
  </r>
  <r>
    <n v="1035"/>
    <d v="2023-03-19T00:00:00"/>
    <n v="21576.034800000001"/>
    <n v="9"/>
    <n v="2534.94"/>
    <n v="2755.56"/>
    <x v="9"/>
    <x v="0"/>
    <x v="2"/>
    <x v="2"/>
    <x v="0"/>
    <x v="2"/>
    <x v="1"/>
    <n v="220.61999999999989"/>
    <n v="1985.579999999999"/>
    <x v="4"/>
  </r>
  <r>
    <n v="1035"/>
    <d v="2023-03-03T00:00:00"/>
    <n v="136809.55519999997"/>
    <n v="47"/>
    <n v="2936.48"/>
    <n v="3096.64"/>
    <x v="18"/>
    <x v="0"/>
    <x v="1"/>
    <x v="3"/>
    <x v="1"/>
    <x v="1"/>
    <x v="0"/>
    <n v="160.15999999999985"/>
    <n v="7527.5199999999932"/>
    <x v="4"/>
  </r>
  <r>
    <n v="1033"/>
    <d v="2023-05-12T00:00:00"/>
    <n v="43486.208000000006"/>
    <n v="16"/>
    <n v="2915.88"/>
    <n v="3397.36"/>
    <x v="2"/>
    <x v="0"/>
    <x v="0"/>
    <x v="0"/>
    <x v="1"/>
    <x v="1"/>
    <x v="1"/>
    <n v="481.48"/>
    <n v="7703.68"/>
    <x v="10"/>
  </r>
  <r>
    <n v="1005"/>
    <d v="2023-03-30T00:00:00"/>
    <n v="9243.9935999999998"/>
    <n v="12"/>
    <n v="319.83"/>
    <n v="802.43"/>
    <x v="14"/>
    <x v="4"/>
    <x v="3"/>
    <x v="3"/>
    <x v="1"/>
    <x v="2"/>
    <x v="1"/>
    <n v="482.59999999999997"/>
    <n v="5791.2"/>
    <x v="4"/>
  </r>
  <r>
    <n v="1041"/>
    <d v="2023-08-25T00:00:00"/>
    <n v="45190.628199999999"/>
    <n v="31"/>
    <n v="1604.52"/>
    <n v="1756.34"/>
    <x v="22"/>
    <x v="0"/>
    <x v="2"/>
    <x v="1"/>
    <x v="0"/>
    <x v="0"/>
    <x v="1"/>
    <n v="151.81999999999994"/>
    <n v="4706.4199999999983"/>
    <x v="3"/>
  </r>
  <r>
    <n v="1028"/>
    <d v="2023-02-11T00:00:00"/>
    <n v="55763.568000000007"/>
    <n v="24"/>
    <n v="2521.0300000000002"/>
    <n v="2766.05"/>
    <x v="28"/>
    <x v="4"/>
    <x v="3"/>
    <x v="2"/>
    <x v="0"/>
    <x v="1"/>
    <x v="1"/>
    <n v="245.01999999999998"/>
    <n v="5880.48"/>
    <x v="0"/>
  </r>
  <r>
    <n v="1007"/>
    <d v="2023-03-30T00:00:00"/>
    <n v="17567.659200000002"/>
    <n v="14"/>
    <n v="1122.07"/>
    <n v="1608.76"/>
    <x v="20"/>
    <x v="1"/>
    <x v="3"/>
    <x v="0"/>
    <x v="1"/>
    <x v="0"/>
    <x v="1"/>
    <n v="486.69000000000005"/>
    <n v="6813.6600000000008"/>
    <x v="4"/>
  </r>
  <r>
    <n v="1073"/>
    <d v="2023-10-23T00:00:00"/>
    <n v="193241.34900000002"/>
    <n v="45"/>
    <n v="4369.5"/>
    <n v="4381.8900000000003"/>
    <x v="3"/>
    <x v="2"/>
    <x v="2"/>
    <x v="2"/>
    <x v="0"/>
    <x v="2"/>
    <x v="1"/>
    <n v="12.390000000000327"/>
    <n v="557.55000000001473"/>
    <x v="7"/>
  </r>
  <r>
    <n v="1072"/>
    <d v="2023-11-24T00:00:00"/>
    <n v="12654.55"/>
    <n v="25"/>
    <n v="481.19"/>
    <n v="693.4"/>
    <x v="29"/>
    <x v="4"/>
    <x v="3"/>
    <x v="2"/>
    <x v="1"/>
    <x v="2"/>
    <x v="1"/>
    <n v="212.20999999999998"/>
    <n v="5305.2499999999991"/>
    <x v="8"/>
  </r>
  <r>
    <n v="1012"/>
    <d v="2023-10-22T00:00:00"/>
    <n v="67734.742199999993"/>
    <n v="34"/>
    <n v="2462.5500000000002"/>
    <n v="2521.77"/>
    <x v="5"/>
    <x v="1"/>
    <x v="0"/>
    <x v="0"/>
    <x v="1"/>
    <x v="1"/>
    <x v="1"/>
    <n v="59.2199999999998"/>
    <n v="2013.4799999999932"/>
    <x v="7"/>
  </r>
  <r>
    <n v="1034"/>
    <d v="2023-04-14T00:00:00"/>
    <n v="10524.24"/>
    <n v="3"/>
    <n v="3472.51"/>
    <n v="3732"/>
    <x v="18"/>
    <x v="4"/>
    <x v="1"/>
    <x v="2"/>
    <x v="1"/>
    <x v="0"/>
    <x v="0"/>
    <n v="259.48999999999978"/>
    <n v="778.46999999999935"/>
    <x v="1"/>
  </r>
  <r>
    <n v="1033"/>
    <d v="2023-01-14T00:00:00"/>
    <n v="30856.665599999997"/>
    <n v="24"/>
    <n v="1345.67"/>
    <n v="1367.76"/>
    <x v="18"/>
    <x v="4"/>
    <x v="1"/>
    <x v="2"/>
    <x v="1"/>
    <x v="1"/>
    <x v="0"/>
    <n v="22.089999999999918"/>
    <n v="530.15999999999804"/>
    <x v="5"/>
  </r>
  <r>
    <n v="1048"/>
    <d v="2023-10-15T00:00:00"/>
    <n v="122385.9798"/>
    <n v="42"/>
    <n v="3139.99"/>
    <n v="3349.37"/>
    <x v="9"/>
    <x v="2"/>
    <x v="0"/>
    <x v="3"/>
    <x v="0"/>
    <x v="2"/>
    <x v="1"/>
    <n v="209.38000000000011"/>
    <n v="8793.9600000000046"/>
    <x v="7"/>
  </r>
  <r>
    <n v="1023"/>
    <d v="2023-06-28T00:00:00"/>
    <n v="28846.800000000003"/>
    <n v="9"/>
    <n v="4155.46"/>
    <n v="4273.6000000000004"/>
    <x v="26"/>
    <x v="3"/>
    <x v="3"/>
    <x v="2"/>
    <x v="0"/>
    <x v="0"/>
    <x v="1"/>
    <n v="118.14000000000033"/>
    <n v="1063.2600000000029"/>
    <x v="6"/>
  </r>
  <r>
    <n v="1062"/>
    <d v="2023-05-05T00:00:00"/>
    <n v="24638.055"/>
    <n v="26"/>
    <n v="992.17"/>
    <n v="1263.49"/>
    <x v="26"/>
    <x v="3"/>
    <x v="2"/>
    <x v="2"/>
    <x v="0"/>
    <x v="1"/>
    <x v="1"/>
    <n v="271.32000000000005"/>
    <n v="7054.3200000000015"/>
    <x v="10"/>
  </r>
  <r>
    <n v="1088"/>
    <d v="2023-12-19T00:00:00"/>
    <n v="85483.103999999992"/>
    <n v="20"/>
    <n v="4590.24"/>
    <n v="5088.28"/>
    <x v="28"/>
    <x v="4"/>
    <x v="3"/>
    <x v="2"/>
    <x v="1"/>
    <x v="1"/>
    <x v="1"/>
    <n v="498.03999999999996"/>
    <n v="9960.7999999999993"/>
    <x v="9"/>
  </r>
  <r>
    <n v="1037"/>
    <d v="2023-01-23T00:00:00"/>
    <n v="94494.151999999987"/>
    <n v="40"/>
    <n v="2790.11"/>
    <n v="3192.37"/>
    <x v="16"/>
    <x v="0"/>
    <x v="0"/>
    <x v="2"/>
    <x v="0"/>
    <x v="1"/>
    <x v="0"/>
    <n v="402.25999999999976"/>
    <n v="16090.399999999991"/>
    <x v="5"/>
  </r>
  <r>
    <n v="1099"/>
    <d v="2023-03-04T00:00:00"/>
    <n v="19555.599999999999"/>
    <n v="10"/>
    <n v="1531.2"/>
    <n v="1955.56"/>
    <x v="11"/>
    <x v="1"/>
    <x v="3"/>
    <x v="0"/>
    <x v="1"/>
    <x v="2"/>
    <x v="0"/>
    <n v="424.3599999999999"/>
    <n v="4243.5999999999985"/>
    <x v="4"/>
  </r>
  <r>
    <n v="1044"/>
    <d v="2023-05-23T00:00:00"/>
    <n v="47100.804299999814"/>
    <n v="19"/>
    <n v="2182.75"/>
    <n v="2504.0299999999902"/>
    <x v="30"/>
    <x v="0"/>
    <x v="1"/>
    <x v="1"/>
    <x v="1"/>
    <x v="1"/>
    <x v="0"/>
    <n v="321.2799999999902"/>
    <n v="6104.3199999998142"/>
    <x v="10"/>
  </r>
  <r>
    <n v="1086"/>
    <d v="2023-06-02T00:00:00"/>
    <n v="3560.3048999999783"/>
    <n v="3"/>
    <n v="1595.35"/>
    <n v="1625.70999999999"/>
    <x v="29"/>
    <x v="0"/>
    <x v="3"/>
    <x v="3"/>
    <x v="1"/>
    <x v="0"/>
    <x v="0"/>
    <n v="30.359999999990123"/>
    <n v="91.079999999970369"/>
    <x v="6"/>
  </r>
  <r>
    <n v="1091"/>
    <d v="2023-05-25T00:00:00"/>
    <n v="69311.642399999997"/>
    <n v="24"/>
    <n v="3639.3"/>
    <n v="3750.63"/>
    <x v="10"/>
    <x v="4"/>
    <x v="0"/>
    <x v="2"/>
    <x v="1"/>
    <x v="1"/>
    <x v="1"/>
    <n v="111.32999999999993"/>
    <n v="2671.9199999999983"/>
    <x v="10"/>
  </r>
  <r>
    <n v="1035"/>
    <d v="2023-08-13T00:00:00"/>
    <n v="19156.371000000003"/>
    <n v="5"/>
    <n v="3991.69"/>
    <n v="4454.97"/>
    <x v="6"/>
    <x v="4"/>
    <x v="1"/>
    <x v="2"/>
    <x v="1"/>
    <x v="2"/>
    <x v="1"/>
    <n v="463.2800000000002"/>
    <n v="2316.400000000001"/>
    <x v="3"/>
  </r>
  <r>
    <n v="1065"/>
    <d v="2023-11-05T00:00:00"/>
    <n v="10077.2364"/>
    <n v="3"/>
    <n v="4173.04"/>
    <n v="4362.4399999999996"/>
    <x v="10"/>
    <x v="4"/>
    <x v="3"/>
    <x v="0"/>
    <x v="1"/>
    <x v="1"/>
    <x v="1"/>
    <n v="189.39999999999964"/>
    <n v="568.19999999999891"/>
    <x v="8"/>
  </r>
  <r>
    <n v="1099"/>
    <d v="2023-04-14T00:00:00"/>
    <n v="95664.626099999994"/>
    <n v="27"/>
    <n v="4929.55"/>
    <n v="4990.33"/>
    <x v="12"/>
    <x v="4"/>
    <x v="3"/>
    <x v="1"/>
    <x v="0"/>
    <x v="2"/>
    <x v="0"/>
    <n v="60.779999999999745"/>
    <n v="1641.0599999999931"/>
    <x v="1"/>
  </r>
  <r>
    <n v="1047"/>
    <d v="2023-04-14T00:00:00"/>
    <n v="53235.212800000001"/>
    <n v="16"/>
    <n v="3966.86"/>
    <n v="4321.04"/>
    <x v="10"/>
    <x v="3"/>
    <x v="1"/>
    <x v="2"/>
    <x v="0"/>
    <x v="2"/>
    <x v="1"/>
    <n v="354.17999999999984"/>
    <n v="5666.8799999999974"/>
    <x v="1"/>
  </r>
  <r>
    <n v="1078"/>
    <d v="2023-02-08T00:00:00"/>
    <n v="116996.56499999999"/>
    <n v="49"/>
    <n v="3026.85"/>
    <n v="3183.58"/>
    <x v="26"/>
    <x v="4"/>
    <x v="2"/>
    <x v="0"/>
    <x v="0"/>
    <x v="0"/>
    <x v="1"/>
    <n v="156.73000000000002"/>
    <n v="7679.77"/>
    <x v="0"/>
  </r>
  <r>
    <n v="1003"/>
    <d v="2023-07-17T00:00:00"/>
    <n v="21608.664000000001"/>
    <n v="15"/>
    <n v="1729.14"/>
    <n v="1870.88"/>
    <x v="10"/>
    <x v="3"/>
    <x v="1"/>
    <x v="3"/>
    <x v="0"/>
    <x v="0"/>
    <x v="0"/>
    <n v="141.74"/>
    <n v="2126.1000000000004"/>
    <x v="11"/>
  </r>
  <r>
    <n v="1001"/>
    <d v="2023-05-14T00:00:00"/>
    <n v="107888.27"/>
    <n v="35"/>
    <n v="2745.75"/>
    <n v="3244.76"/>
    <x v="8"/>
    <x v="3"/>
    <x v="2"/>
    <x v="3"/>
    <x v="1"/>
    <x v="1"/>
    <x v="0"/>
    <n v="499.01000000000022"/>
    <n v="17465.350000000006"/>
    <x v="10"/>
  </r>
  <r>
    <n v="1005"/>
    <d v="2023-03-08T00:00:00"/>
    <n v="6154.02"/>
    <n v="12"/>
    <n v="253.29"/>
    <n v="683.78"/>
    <x v="26"/>
    <x v="4"/>
    <x v="0"/>
    <x v="2"/>
    <x v="1"/>
    <x v="2"/>
    <x v="0"/>
    <n v="430.49"/>
    <n v="5165.88"/>
    <x v="4"/>
  </r>
  <r>
    <n v="1090"/>
    <d v="2023-06-28T00:00:00"/>
    <n v="152108.51579999999"/>
    <n v="41"/>
    <n v="3736.88"/>
    <n v="3946.77"/>
    <x v="18"/>
    <x v="2"/>
    <x v="0"/>
    <x v="2"/>
    <x v="0"/>
    <x v="2"/>
    <x v="0"/>
    <n v="209.88999999999987"/>
    <n v="8605.4899999999943"/>
    <x v="6"/>
  </r>
  <r>
    <n v="1014"/>
    <d v="2023-02-11T00:00:00"/>
    <n v="88259.657200000001"/>
    <n v="44"/>
    <n v="2257.48"/>
    <n v="2747.81"/>
    <x v="29"/>
    <x v="1"/>
    <x v="1"/>
    <x v="1"/>
    <x v="0"/>
    <x v="0"/>
    <x v="0"/>
    <n v="490.32999999999993"/>
    <n v="21574.519999999997"/>
    <x v="0"/>
  </r>
  <r>
    <n v="1027"/>
    <d v="2023-01-15T00:00:00"/>
    <n v="10680.7012"/>
    <n v="26"/>
    <n v="149.11000000000001"/>
    <n v="477.67"/>
    <x v="6"/>
    <x v="0"/>
    <x v="1"/>
    <x v="1"/>
    <x v="0"/>
    <x v="0"/>
    <x v="1"/>
    <n v="328.56"/>
    <n v="8542.56"/>
    <x v="5"/>
  </r>
  <r>
    <n v="1009"/>
    <d v="2023-04-21T00:00:00"/>
    <n v="27560.800000000003"/>
    <n v="47"/>
    <n v="359.41"/>
    <n v="733"/>
    <x v="2"/>
    <x v="3"/>
    <x v="0"/>
    <x v="2"/>
    <x v="0"/>
    <x v="1"/>
    <x v="1"/>
    <n v="373.59"/>
    <n v="17558.73"/>
    <x v="1"/>
  </r>
  <r>
    <n v="1079"/>
    <d v="2023-06-06T00:00:00"/>
    <n v="57609.26"/>
    <n v="34"/>
    <n v="1967.96"/>
    <n v="1993.4"/>
    <x v="25"/>
    <x v="1"/>
    <x v="2"/>
    <x v="0"/>
    <x v="0"/>
    <x v="2"/>
    <x v="0"/>
    <n v="25.440000000000055"/>
    <n v="864.96000000000186"/>
    <x v="6"/>
  </r>
  <r>
    <n v="1015"/>
    <d v="2023-10-16T00:00:00"/>
    <n v="67097.994300000006"/>
    <n v="23"/>
    <n v="2937.94"/>
    <n v="3007.53"/>
    <x v="21"/>
    <x v="2"/>
    <x v="0"/>
    <x v="1"/>
    <x v="0"/>
    <x v="0"/>
    <x v="1"/>
    <n v="69.590000000000146"/>
    <n v="1600.5700000000033"/>
    <x v="7"/>
  </r>
  <r>
    <n v="1090"/>
    <d v="2023-08-19T00:00:00"/>
    <n v="75264.844199999992"/>
    <n v="31"/>
    <n v="2347.81"/>
    <n v="2668.02"/>
    <x v="0"/>
    <x v="0"/>
    <x v="1"/>
    <x v="2"/>
    <x v="0"/>
    <x v="1"/>
    <x v="1"/>
    <n v="320.21000000000004"/>
    <n v="9926.510000000002"/>
    <x v="3"/>
  </r>
  <r>
    <n v="1042"/>
    <d v="2023-06-06T00:00:00"/>
    <n v="49918.12"/>
    <n v="20"/>
    <n v="3115.06"/>
    <n v="3565.58"/>
    <x v="23"/>
    <x v="0"/>
    <x v="0"/>
    <x v="1"/>
    <x v="0"/>
    <x v="2"/>
    <x v="1"/>
    <n v="450.52"/>
    <n v="9010.4"/>
    <x v="6"/>
  </r>
  <r>
    <n v="1077"/>
    <d v="2023-02-07T00:00:00"/>
    <n v="23371.126800000002"/>
    <n v="12"/>
    <n v="2427.46"/>
    <n v="2743.09"/>
    <x v="12"/>
    <x v="3"/>
    <x v="1"/>
    <x v="2"/>
    <x v="1"/>
    <x v="2"/>
    <x v="1"/>
    <n v="315.63000000000011"/>
    <n v="3787.5600000000013"/>
    <x v="0"/>
  </r>
  <r>
    <n v="1051"/>
    <d v="2023-04-07T00:00:00"/>
    <n v="70402.77"/>
    <n v="23"/>
    <n v="3325.43"/>
    <n v="3401.1"/>
    <x v="15"/>
    <x v="4"/>
    <x v="1"/>
    <x v="3"/>
    <x v="1"/>
    <x v="0"/>
    <x v="0"/>
    <n v="75.670000000000073"/>
    <n v="1740.4100000000017"/>
    <x v="1"/>
  </r>
  <r>
    <n v="1063"/>
    <d v="2023-10-16T00:00:00"/>
    <n v="3363.8920000000003"/>
    <n v="4"/>
    <n v="1134.67"/>
    <n v="1201.3900000000001"/>
    <x v="23"/>
    <x v="2"/>
    <x v="0"/>
    <x v="2"/>
    <x v="1"/>
    <x v="1"/>
    <x v="1"/>
    <n v="66.720000000000027"/>
    <n v="266.88000000000011"/>
    <x v="7"/>
  </r>
  <r>
    <n v="1096"/>
    <d v="2023-09-11T00:00:00"/>
    <n v="17805.795000000002"/>
    <n v="23"/>
    <n v="608.57000000000005"/>
    <n v="1032.22"/>
    <x v="26"/>
    <x v="3"/>
    <x v="2"/>
    <x v="3"/>
    <x v="1"/>
    <x v="0"/>
    <x v="1"/>
    <n v="423.65"/>
    <n v="9743.9499999999989"/>
    <x v="2"/>
  </r>
  <r>
    <n v="1052"/>
    <d v="2023-07-15T00:00:00"/>
    <n v="121252.80960000001"/>
    <n v="48"/>
    <n v="3002.35"/>
    <n v="3080.61"/>
    <x v="13"/>
    <x v="2"/>
    <x v="3"/>
    <x v="1"/>
    <x v="0"/>
    <x v="1"/>
    <x v="1"/>
    <n v="78.260000000000218"/>
    <n v="3756.4800000000105"/>
    <x v="11"/>
  </r>
  <r>
    <n v="1096"/>
    <d v="2023-03-27T00:00:00"/>
    <n v="128974.98239999999"/>
    <n v="48"/>
    <n v="2449.21"/>
    <n v="2714.12"/>
    <x v="30"/>
    <x v="4"/>
    <x v="0"/>
    <x v="2"/>
    <x v="1"/>
    <x v="2"/>
    <x v="0"/>
    <n v="264.90999999999985"/>
    <n v="12715.679999999993"/>
    <x v="4"/>
  </r>
  <r>
    <n v="1004"/>
    <d v="2023-11-18T00:00:00"/>
    <n v="154.16140000000001"/>
    <n v="1"/>
    <n v="182.99"/>
    <n v="211.18"/>
    <x v="29"/>
    <x v="4"/>
    <x v="3"/>
    <x v="1"/>
    <x v="0"/>
    <x v="1"/>
    <x v="1"/>
    <n v="28.189999999999998"/>
    <n v="28.189999999999998"/>
    <x v="8"/>
  </r>
  <r>
    <n v="1094"/>
    <d v="2023-01-10T00:00:00"/>
    <n v="41145.589999999997"/>
    <n v="25"/>
    <n v="1933.39"/>
    <n v="1982.92"/>
    <x v="22"/>
    <x v="3"/>
    <x v="0"/>
    <x v="3"/>
    <x v="1"/>
    <x v="1"/>
    <x v="0"/>
    <n v="49.529999999999973"/>
    <n v="1238.2499999999993"/>
    <x v="5"/>
  </r>
  <r>
    <n v="1023"/>
    <d v="2023-01-05T00:00:00"/>
    <n v="1353.8596"/>
    <n v="2"/>
    <n v="575.32000000000005"/>
    <n v="914.77"/>
    <x v="16"/>
    <x v="4"/>
    <x v="3"/>
    <x v="2"/>
    <x v="0"/>
    <x v="1"/>
    <x v="0"/>
    <n v="339.44999999999993"/>
    <n v="678.89999999999986"/>
    <x v="5"/>
  </r>
  <r>
    <n v="1015"/>
    <d v="2023-05-03T00:00:00"/>
    <n v="68128.199999999779"/>
    <n v="30"/>
    <n v="2680.22"/>
    <n v="3027.9199999999901"/>
    <x v="26"/>
    <x v="1"/>
    <x v="2"/>
    <x v="1"/>
    <x v="0"/>
    <x v="1"/>
    <x v="0"/>
    <n v="347.69999999999027"/>
    <n v="10430.999999999709"/>
    <x v="10"/>
  </r>
  <r>
    <n v="1043"/>
    <d v="2023-11-26T00:00:00"/>
    <n v="4919.4449999999997"/>
    <n v="3"/>
    <n v="2009.1"/>
    <n v="2186.42"/>
    <x v="26"/>
    <x v="0"/>
    <x v="2"/>
    <x v="3"/>
    <x v="1"/>
    <x v="1"/>
    <x v="0"/>
    <n v="177.32000000000016"/>
    <n v="531.96000000000049"/>
    <x v="8"/>
  </r>
  <r>
    <n v="1029"/>
    <d v="2023-12-19T00:00:00"/>
    <n v="53100.442500000005"/>
    <n v="21"/>
    <n v="3085.1"/>
    <n v="3200.75"/>
    <x v="5"/>
    <x v="3"/>
    <x v="0"/>
    <x v="1"/>
    <x v="1"/>
    <x v="0"/>
    <x v="1"/>
    <n v="115.65000000000009"/>
    <n v="2428.6500000000019"/>
    <x v="9"/>
  </r>
  <r>
    <n v="1036"/>
    <d v="2023-04-28T00:00:00"/>
    <n v="101156.7375"/>
    <n v="25"/>
    <n v="4037.73"/>
    <n v="4446.45"/>
    <x v="0"/>
    <x v="2"/>
    <x v="1"/>
    <x v="0"/>
    <x v="0"/>
    <x v="1"/>
    <x v="0"/>
    <n v="408.7199999999998"/>
    <n v="10217.999999999995"/>
    <x v="1"/>
  </r>
  <r>
    <n v="1013"/>
    <d v="2023-10-21T00:00:00"/>
    <n v="29695.319999999821"/>
    <n v="20"/>
    <n v="1533.36"/>
    <n v="1649.73999999999"/>
    <x v="15"/>
    <x v="1"/>
    <x v="3"/>
    <x v="3"/>
    <x v="0"/>
    <x v="1"/>
    <x v="0"/>
    <n v="116.3799999999901"/>
    <n v="2327.5999999998021"/>
    <x v="7"/>
  </r>
  <r>
    <n v="1032"/>
    <d v="2023-06-08T00:00:00"/>
    <n v="226873.92"/>
    <n v="49"/>
    <n v="4812.41"/>
    <n v="5088"/>
    <x v="0"/>
    <x v="3"/>
    <x v="1"/>
    <x v="3"/>
    <x v="0"/>
    <x v="2"/>
    <x v="0"/>
    <n v="275.59000000000015"/>
    <n v="13503.910000000007"/>
    <x v="6"/>
  </r>
  <r>
    <n v="1071"/>
    <d v="2023-10-30T00:00:00"/>
    <n v="69386.941799999986"/>
    <n v="22"/>
    <n v="2701.39"/>
    <n v="3185.81"/>
    <x v="30"/>
    <x v="4"/>
    <x v="1"/>
    <x v="3"/>
    <x v="1"/>
    <x v="1"/>
    <x v="0"/>
    <n v="484.42000000000007"/>
    <n v="10657.240000000002"/>
    <x v="7"/>
  </r>
  <r>
    <n v="1059"/>
    <d v="2023-08-16T00:00:00"/>
    <n v="55653.815699999992"/>
    <n v="21"/>
    <n v="3110.54"/>
    <n v="3192.99"/>
    <x v="22"/>
    <x v="4"/>
    <x v="1"/>
    <x v="2"/>
    <x v="1"/>
    <x v="2"/>
    <x v="0"/>
    <n v="82.449999999999818"/>
    <n v="1731.4499999999962"/>
    <x v="3"/>
  </r>
  <r>
    <n v="1086"/>
    <d v="2023-12-31T00:00:00"/>
    <n v="101421.68519999975"/>
    <n v="33"/>
    <n v="3419.33"/>
    <n v="3890.3599999999901"/>
    <x v="5"/>
    <x v="4"/>
    <x v="2"/>
    <x v="2"/>
    <x v="0"/>
    <x v="0"/>
    <x v="1"/>
    <n v="471.0299999999902"/>
    <n v="15543.989999999676"/>
    <x v="9"/>
  </r>
  <r>
    <n v="1028"/>
    <d v="2023-08-04T00:00:00"/>
    <n v="97012.3128"/>
    <n v="38"/>
    <n v="3350.32"/>
    <n v="3449.94"/>
    <x v="16"/>
    <x v="4"/>
    <x v="0"/>
    <x v="2"/>
    <x v="1"/>
    <x v="0"/>
    <x v="0"/>
    <n v="99.619999999999891"/>
    <n v="3785.5599999999959"/>
    <x v="3"/>
  </r>
  <r>
    <n v="1066"/>
    <d v="2023-07-03T00:00:00"/>
    <n v="41289.983999999997"/>
    <n v="15"/>
    <n v="2579.31"/>
    <n v="2867.36"/>
    <x v="14"/>
    <x v="2"/>
    <x v="0"/>
    <x v="0"/>
    <x v="0"/>
    <x v="1"/>
    <x v="1"/>
    <n v="288.05000000000018"/>
    <n v="4320.7500000000027"/>
    <x v="11"/>
  </r>
  <r>
    <n v="1042"/>
    <d v="2023-01-15T00:00:00"/>
    <n v="91465.130400000009"/>
    <n v="46"/>
    <n v="2172.38"/>
    <n v="2367.11"/>
    <x v="28"/>
    <x v="1"/>
    <x v="2"/>
    <x v="0"/>
    <x v="1"/>
    <x v="0"/>
    <x v="1"/>
    <n v="194.73000000000002"/>
    <n v="8957.5800000000017"/>
    <x v="5"/>
  </r>
  <r>
    <n v="1045"/>
    <d v="2023-06-06T00:00:00"/>
    <n v="11985.599999999999"/>
    <n v="15"/>
    <n v="316.22000000000003"/>
    <n v="799.04"/>
    <x v="11"/>
    <x v="0"/>
    <x v="2"/>
    <x v="3"/>
    <x v="1"/>
    <x v="1"/>
    <x v="0"/>
    <n v="482.81999999999994"/>
    <n v="7242.2999999999993"/>
    <x v="6"/>
  </r>
  <r>
    <n v="1062"/>
    <d v="2023-05-16T00:00:00"/>
    <n v="13535.923200000001"/>
    <n v="46"/>
    <n v="159.32"/>
    <n v="303.36"/>
    <x v="21"/>
    <x v="2"/>
    <x v="0"/>
    <x v="0"/>
    <x v="1"/>
    <x v="0"/>
    <x v="1"/>
    <n v="144.04000000000002"/>
    <n v="6625.8400000000011"/>
    <x v="10"/>
  </r>
  <r>
    <n v="1057"/>
    <d v="2023-09-18T00:00:00"/>
    <n v="49679.63"/>
    <n v="25"/>
    <n v="1821.91"/>
    <n v="2027.74"/>
    <x v="3"/>
    <x v="2"/>
    <x v="1"/>
    <x v="1"/>
    <x v="1"/>
    <x v="1"/>
    <x v="1"/>
    <n v="205.82999999999993"/>
    <n v="5145.7499999999982"/>
    <x v="2"/>
  </r>
  <r>
    <n v="1006"/>
    <d v="2023-06-06T00:00:00"/>
    <n v="35924.943599999999"/>
    <n v="21"/>
    <n v="1701.62"/>
    <n v="2193.2199999999998"/>
    <x v="20"/>
    <x v="0"/>
    <x v="3"/>
    <x v="3"/>
    <x v="1"/>
    <x v="1"/>
    <x v="1"/>
    <n v="491.59999999999991"/>
    <n v="10323.599999999999"/>
    <x v="6"/>
  </r>
  <r>
    <n v="1028"/>
    <d v="2023-02-16T00:00:00"/>
    <n v="52730.8992"/>
    <n v="24"/>
    <n v="1969.09"/>
    <n v="2241.96"/>
    <x v="3"/>
    <x v="0"/>
    <x v="3"/>
    <x v="3"/>
    <x v="0"/>
    <x v="2"/>
    <x v="0"/>
    <n v="272.87000000000012"/>
    <n v="6548.8800000000028"/>
    <x v="0"/>
  </r>
  <r>
    <n v="1028"/>
    <d v="2023-11-20T00:00:00"/>
    <n v="3915.2795000000001"/>
    <n v="5"/>
    <n v="734.92"/>
    <n v="991.21"/>
    <x v="5"/>
    <x v="4"/>
    <x v="3"/>
    <x v="1"/>
    <x v="0"/>
    <x v="2"/>
    <x v="0"/>
    <n v="256.29000000000008"/>
    <n v="1281.4500000000003"/>
    <x v="8"/>
  </r>
  <r>
    <n v="1044"/>
    <d v="2023-11-28T00:00:00"/>
    <n v="21428.539199999996"/>
    <n v="6"/>
    <n v="3703.93"/>
    <n v="3840.24"/>
    <x v="17"/>
    <x v="2"/>
    <x v="1"/>
    <x v="3"/>
    <x v="1"/>
    <x v="2"/>
    <x v="0"/>
    <n v="136.30999999999995"/>
    <n v="817.85999999999967"/>
    <x v="8"/>
  </r>
  <r>
    <n v="1084"/>
    <d v="2023-06-22T00:00:00"/>
    <n v="168450.90640000001"/>
    <n v="49"/>
    <n v="4291.97"/>
    <n v="4645.6400000000003"/>
    <x v="16"/>
    <x v="3"/>
    <x v="0"/>
    <x v="0"/>
    <x v="0"/>
    <x v="2"/>
    <x v="0"/>
    <n v="353.67000000000007"/>
    <n v="17329.830000000002"/>
    <x v="6"/>
  </r>
  <r>
    <n v="1030"/>
    <d v="2023-05-10T00:00:00"/>
    <n v="154043.06240000002"/>
    <n v="43"/>
    <n v="4696.6400000000003"/>
    <n v="4713.68"/>
    <x v="19"/>
    <x v="0"/>
    <x v="2"/>
    <x v="2"/>
    <x v="0"/>
    <x v="1"/>
    <x v="0"/>
    <n v="17.039999999999964"/>
    <n v="732.71999999999844"/>
    <x v="10"/>
  </r>
  <r>
    <n v="1062"/>
    <d v="2023-04-05T00:00:00"/>
    <n v="85931.015999999989"/>
    <n v="48"/>
    <n v="2487.19"/>
    <n v="2521.4499999999998"/>
    <x v="12"/>
    <x v="0"/>
    <x v="0"/>
    <x v="1"/>
    <x v="1"/>
    <x v="0"/>
    <x v="0"/>
    <n v="34.259999999999764"/>
    <n v="1644.4799999999886"/>
    <x v="1"/>
  </r>
  <r>
    <n v="1075"/>
    <d v="2023-04-25T00:00:00"/>
    <n v="122794.1176"/>
    <n v="44"/>
    <n v="3519.29"/>
    <n v="3822.98"/>
    <x v="29"/>
    <x v="1"/>
    <x v="1"/>
    <x v="0"/>
    <x v="0"/>
    <x v="1"/>
    <x v="0"/>
    <n v="303.69000000000005"/>
    <n v="13362.360000000002"/>
    <x v="1"/>
  </r>
  <r>
    <n v="1092"/>
    <d v="2023-08-31T00:00:00"/>
    <n v="151007.61599999998"/>
    <n v="47"/>
    <n v="4284.9799999999996"/>
    <n v="4462.3999999999996"/>
    <x v="24"/>
    <x v="3"/>
    <x v="2"/>
    <x v="1"/>
    <x v="1"/>
    <x v="2"/>
    <x v="1"/>
    <n v="177.42000000000007"/>
    <n v="8338.7400000000034"/>
    <x v="3"/>
  </r>
  <r>
    <n v="1089"/>
    <d v="2023-10-19T00:00:00"/>
    <n v="44212.343400000005"/>
    <n v="23"/>
    <n v="2120.54"/>
    <n v="2597.67"/>
    <x v="16"/>
    <x v="3"/>
    <x v="1"/>
    <x v="1"/>
    <x v="0"/>
    <x v="2"/>
    <x v="1"/>
    <n v="477.13000000000011"/>
    <n v="10973.990000000002"/>
    <x v="7"/>
  </r>
  <r>
    <n v="1062"/>
    <d v="2023-10-09T00:00:00"/>
    <n v="6427.9139999999688"/>
    <n v="4"/>
    <n v="1581.59"/>
    <n v="2034.1499999999901"/>
    <x v="5"/>
    <x v="0"/>
    <x v="3"/>
    <x v="3"/>
    <x v="0"/>
    <x v="0"/>
    <x v="0"/>
    <n v="452.55999999999017"/>
    <n v="1810.2399999999607"/>
    <x v="7"/>
  </r>
  <r>
    <n v="1097"/>
    <d v="2023-10-26T00:00:00"/>
    <n v="129442.98150000001"/>
    <n v="27"/>
    <n v="4686.79"/>
    <n v="5046.51"/>
    <x v="8"/>
    <x v="4"/>
    <x v="3"/>
    <x v="3"/>
    <x v="0"/>
    <x v="2"/>
    <x v="1"/>
    <n v="359.72000000000025"/>
    <n v="9712.440000000006"/>
    <x v="7"/>
  </r>
  <r>
    <n v="1001"/>
    <d v="2023-10-10T00:00:00"/>
    <n v="49903.394399999997"/>
    <n v="18"/>
    <n v="2602.6"/>
    <n v="3013.49"/>
    <x v="4"/>
    <x v="1"/>
    <x v="1"/>
    <x v="0"/>
    <x v="0"/>
    <x v="1"/>
    <x v="0"/>
    <n v="410.88999999999987"/>
    <n v="7396.0199999999977"/>
    <x v="7"/>
  </r>
  <r>
    <n v="1027"/>
    <d v="2023-03-10T00:00:00"/>
    <n v="56227.415999999801"/>
    <n v="21"/>
    <n v="2511.41"/>
    <n v="2848.3999999999901"/>
    <x v="18"/>
    <x v="3"/>
    <x v="2"/>
    <x v="1"/>
    <x v="0"/>
    <x v="1"/>
    <x v="0"/>
    <n v="336.98999999999023"/>
    <n v="7076.7899999997953"/>
    <x v="4"/>
  </r>
  <r>
    <n v="1062"/>
    <d v="2023-05-28T00:00:00"/>
    <n v="23067.911999999775"/>
    <n v="28"/>
    <n v="933.16"/>
    <n v="1004.69999999999"/>
    <x v="13"/>
    <x v="0"/>
    <x v="2"/>
    <x v="3"/>
    <x v="0"/>
    <x v="1"/>
    <x v="0"/>
    <n v="71.539999999990073"/>
    <n v="2003.119999999722"/>
    <x v="10"/>
  </r>
  <r>
    <n v="1077"/>
    <d v="2023-01-11T00:00:00"/>
    <n v="28872.077499999999"/>
    <n v="35"/>
    <n v="585.37"/>
    <n v="970.49"/>
    <x v="25"/>
    <x v="3"/>
    <x v="0"/>
    <x v="3"/>
    <x v="0"/>
    <x v="1"/>
    <x v="1"/>
    <n v="385.12"/>
    <n v="13479.2"/>
    <x v="5"/>
  </r>
  <r>
    <n v="1003"/>
    <d v="2023-09-11T00:00:00"/>
    <n v="70515.517600000006"/>
    <n v="22"/>
    <n v="4218.43"/>
    <n v="4331.42"/>
    <x v="16"/>
    <x v="1"/>
    <x v="3"/>
    <x v="1"/>
    <x v="1"/>
    <x v="1"/>
    <x v="0"/>
    <n v="112.98999999999978"/>
    <n v="2485.7799999999952"/>
    <x v="2"/>
  </r>
  <r>
    <n v="1070"/>
    <d v="2023-11-26T00:00:00"/>
    <n v="92539.98"/>
    <n v="40"/>
    <n v="3089.96"/>
    <n v="3258.45"/>
    <x v="12"/>
    <x v="1"/>
    <x v="0"/>
    <x v="0"/>
    <x v="1"/>
    <x v="0"/>
    <x v="0"/>
    <n v="168.48999999999978"/>
    <n v="6739.5999999999913"/>
    <x v="8"/>
  </r>
  <r>
    <n v="1072"/>
    <d v="2023-12-26T00:00:00"/>
    <n v="41982.82"/>
    <n v="23"/>
    <n v="1662.83"/>
    <n v="2074.25"/>
    <x v="7"/>
    <x v="2"/>
    <x v="0"/>
    <x v="0"/>
    <x v="1"/>
    <x v="1"/>
    <x v="0"/>
    <n v="411.42000000000007"/>
    <n v="9462.6600000000017"/>
    <x v="9"/>
  </r>
  <r>
    <n v="1027"/>
    <d v="2023-02-07T00:00:00"/>
    <n v="3243.5745000000002"/>
    <n v="3"/>
    <n v="999.09"/>
    <n v="1271.99"/>
    <x v="25"/>
    <x v="0"/>
    <x v="1"/>
    <x v="1"/>
    <x v="1"/>
    <x v="2"/>
    <x v="0"/>
    <n v="272.89999999999998"/>
    <n v="818.69999999999993"/>
    <x v="0"/>
  </r>
  <r>
    <n v="1009"/>
    <d v="2023-05-14T00:00:00"/>
    <n v="91762.671999999991"/>
    <n v="40"/>
    <n v="2799.71"/>
    <n v="3231.08"/>
    <x v="12"/>
    <x v="1"/>
    <x v="1"/>
    <x v="0"/>
    <x v="0"/>
    <x v="2"/>
    <x v="1"/>
    <n v="431.36999999999989"/>
    <n v="17254.799999999996"/>
    <x v="10"/>
  </r>
  <r>
    <n v="1062"/>
    <d v="2023-07-19T00:00:00"/>
    <n v="28104.068000000003"/>
    <n v="10"/>
    <n v="2940.4"/>
    <n v="3054.79"/>
    <x v="4"/>
    <x v="2"/>
    <x v="0"/>
    <x v="3"/>
    <x v="0"/>
    <x v="2"/>
    <x v="0"/>
    <n v="114.38999999999987"/>
    <n v="1143.8999999999987"/>
    <x v="11"/>
  </r>
  <r>
    <n v="1037"/>
    <d v="2023-01-23T00:00:00"/>
    <n v="26266.169999999813"/>
    <n v="25"/>
    <n v="1074.6199999999999"/>
    <n v="1382.4299999999901"/>
    <x v="19"/>
    <x v="2"/>
    <x v="3"/>
    <x v="1"/>
    <x v="0"/>
    <x v="2"/>
    <x v="1"/>
    <n v="307.80999999999017"/>
    <n v="7695.2499999997544"/>
    <x v="5"/>
  </r>
  <r>
    <n v="1097"/>
    <d v="2023-10-30T00:00:00"/>
    <n v="196658.2464"/>
    <n v="49"/>
    <n v="4264.46"/>
    <n v="4315.5200000000004"/>
    <x v="17"/>
    <x v="3"/>
    <x v="1"/>
    <x v="3"/>
    <x v="1"/>
    <x v="0"/>
    <x v="1"/>
    <n v="51.0600000000004"/>
    <n v="2501.9400000000196"/>
    <x v="7"/>
  </r>
  <r>
    <n v="1051"/>
    <d v="2023-12-12T00:00:00"/>
    <n v="5070.1440000000002"/>
    <n v="8"/>
    <n v="467.11"/>
    <n v="792.21"/>
    <x v="2"/>
    <x v="3"/>
    <x v="0"/>
    <x v="2"/>
    <x v="1"/>
    <x v="2"/>
    <x v="0"/>
    <n v="325.10000000000002"/>
    <n v="2600.8000000000002"/>
    <x v="9"/>
  </r>
  <r>
    <n v="1044"/>
    <d v="2023-10-29T00:00:00"/>
    <n v="22226.556000000004"/>
    <n v="11"/>
    <n v="1812.66"/>
    <n v="2196.3000000000002"/>
    <x v="4"/>
    <x v="2"/>
    <x v="0"/>
    <x v="2"/>
    <x v="1"/>
    <x v="0"/>
    <x v="0"/>
    <n v="383.6400000000001"/>
    <n v="4220.0400000000009"/>
    <x v="7"/>
  </r>
  <r>
    <n v="1024"/>
    <d v="2023-12-29T00:00:00"/>
    <n v="13557.997999999998"/>
    <n v="5"/>
    <n v="3417.9"/>
    <n v="3714.52"/>
    <x v="29"/>
    <x v="3"/>
    <x v="0"/>
    <x v="0"/>
    <x v="0"/>
    <x v="2"/>
    <x v="1"/>
    <n v="296.61999999999989"/>
    <n v="1483.0999999999995"/>
    <x v="9"/>
  </r>
  <r>
    <n v="1079"/>
    <d v="2023-08-06T00:00:00"/>
    <n v="57793.522499999999"/>
    <n v="45"/>
    <n v="1406.9"/>
    <n v="1547.35"/>
    <x v="22"/>
    <x v="1"/>
    <x v="0"/>
    <x v="2"/>
    <x v="1"/>
    <x v="0"/>
    <x v="1"/>
    <n v="140.44999999999982"/>
    <n v="6320.2499999999918"/>
    <x v="3"/>
  </r>
  <r>
    <n v="1059"/>
    <d v="2023-05-21T00:00:00"/>
    <n v="145114.33299999963"/>
    <n v="37"/>
    <n v="4146.99"/>
    <n v="4172.3499999999904"/>
    <x v="18"/>
    <x v="4"/>
    <x v="0"/>
    <x v="3"/>
    <x v="0"/>
    <x v="0"/>
    <x v="1"/>
    <n v="25.359999999990578"/>
    <n v="938.31999999965137"/>
    <x v="10"/>
  </r>
  <r>
    <n v="1032"/>
    <d v="2023-04-14T00:00:00"/>
    <n v="158229.82800000001"/>
    <n v="45"/>
    <n v="3712.35"/>
    <n v="3780.88"/>
    <x v="17"/>
    <x v="1"/>
    <x v="0"/>
    <x v="2"/>
    <x v="1"/>
    <x v="0"/>
    <x v="1"/>
    <n v="68.5300000000002"/>
    <n v="3083.850000000009"/>
    <x v="1"/>
  </r>
  <r>
    <n v="1096"/>
    <d v="2023-07-29T00:00:00"/>
    <n v="137940.057"/>
    <n v="38"/>
    <n v="3955.66"/>
    <n v="4270.59"/>
    <x v="25"/>
    <x v="2"/>
    <x v="1"/>
    <x v="3"/>
    <x v="0"/>
    <x v="2"/>
    <x v="0"/>
    <n v="314.93000000000029"/>
    <n v="11967.340000000011"/>
    <x v="11"/>
  </r>
  <r>
    <n v="1088"/>
    <d v="2023-04-21T00:00:00"/>
    <n v="22802.395500000002"/>
    <n v="29"/>
    <n v="639.58000000000004"/>
    <n v="1107.45"/>
    <x v="12"/>
    <x v="2"/>
    <x v="3"/>
    <x v="0"/>
    <x v="1"/>
    <x v="0"/>
    <x v="1"/>
    <n v="467.87"/>
    <n v="13568.23"/>
    <x v="1"/>
  </r>
  <r>
    <n v="1052"/>
    <d v="2023-04-14T00:00:00"/>
    <n v="3299.1035000000002"/>
    <n v="5"/>
    <n v="745.71"/>
    <n v="856.91"/>
    <x v="10"/>
    <x v="1"/>
    <x v="0"/>
    <x v="0"/>
    <x v="0"/>
    <x v="1"/>
    <x v="1"/>
    <n v="111.19999999999993"/>
    <n v="555.99999999999966"/>
    <x v="1"/>
  </r>
  <r>
    <n v="1062"/>
    <d v="2023-11-12T00:00:00"/>
    <n v="14062.306499999999"/>
    <n v="9"/>
    <n v="1468.05"/>
    <n v="1838.21"/>
    <x v="25"/>
    <x v="3"/>
    <x v="2"/>
    <x v="3"/>
    <x v="1"/>
    <x v="1"/>
    <x v="1"/>
    <n v="370.16000000000008"/>
    <n v="3331.4400000000005"/>
    <x v="8"/>
  </r>
  <r>
    <n v="1058"/>
    <d v="2023-06-20T00:00:00"/>
    <n v="131718.52799999999"/>
    <n v="48"/>
    <n v="2614.48"/>
    <n v="3049.04"/>
    <x v="15"/>
    <x v="3"/>
    <x v="1"/>
    <x v="2"/>
    <x v="1"/>
    <x v="2"/>
    <x v="1"/>
    <n v="434.55999999999995"/>
    <n v="20858.879999999997"/>
    <x v="6"/>
  </r>
  <r>
    <n v="1052"/>
    <d v="2023-12-22T00:00:00"/>
    <n v="6750.0887999999995"/>
    <n v="2"/>
    <n v="3752.68"/>
    <n v="4017.91"/>
    <x v="28"/>
    <x v="2"/>
    <x v="1"/>
    <x v="0"/>
    <x v="0"/>
    <x v="1"/>
    <x v="0"/>
    <n v="265.23"/>
    <n v="530.46"/>
    <x v="9"/>
  </r>
  <r>
    <n v="1012"/>
    <d v="2023-11-20T00:00:00"/>
    <n v="3532.4405999999926"/>
    <n v="1"/>
    <n v="4190.83"/>
    <n v="4528.7699999999904"/>
    <x v="20"/>
    <x v="0"/>
    <x v="0"/>
    <x v="1"/>
    <x v="0"/>
    <x v="1"/>
    <x v="0"/>
    <n v="337.9399999999905"/>
    <n v="337.9399999999905"/>
    <x v="8"/>
  </r>
  <r>
    <n v="1039"/>
    <d v="2023-05-13T00:00:00"/>
    <n v="119952.92800000001"/>
    <n v="40"/>
    <n v="3536.46"/>
    <n v="3945.82"/>
    <x v="19"/>
    <x v="3"/>
    <x v="1"/>
    <x v="0"/>
    <x v="1"/>
    <x v="1"/>
    <x v="0"/>
    <n v="409.36000000000013"/>
    <n v="16374.400000000005"/>
    <x v="10"/>
  </r>
  <r>
    <n v="1002"/>
    <d v="2023-10-20T00:00:00"/>
    <n v="129175.56"/>
    <n v="30"/>
    <n v="4646.55"/>
    <n v="4784.28"/>
    <x v="15"/>
    <x v="1"/>
    <x v="0"/>
    <x v="2"/>
    <x v="0"/>
    <x v="2"/>
    <x v="1"/>
    <n v="137.72999999999956"/>
    <n v="4131.8999999999869"/>
    <x v="7"/>
  </r>
  <r>
    <n v="1003"/>
    <d v="2023-11-24T00:00:00"/>
    <n v="33138.190800000004"/>
    <n v="11"/>
    <n v="3706.78"/>
    <n v="3862.26"/>
    <x v="20"/>
    <x v="3"/>
    <x v="3"/>
    <x v="1"/>
    <x v="1"/>
    <x v="2"/>
    <x v="1"/>
    <n v="155.48000000000002"/>
    <n v="1710.2800000000002"/>
    <x v="8"/>
  </r>
  <r>
    <n v="1056"/>
    <d v="2023-05-07T00:00:00"/>
    <n v="35310.015999999996"/>
    <n v="28"/>
    <n v="1566.03"/>
    <n v="1576.34"/>
    <x v="2"/>
    <x v="1"/>
    <x v="3"/>
    <x v="2"/>
    <x v="0"/>
    <x v="1"/>
    <x v="0"/>
    <n v="10.309999999999945"/>
    <n v="288.67999999999847"/>
    <x v="10"/>
  </r>
  <r>
    <n v="1081"/>
    <d v="2023-04-16T00:00:00"/>
    <n v="57608.746800000001"/>
    <n v="44"/>
    <n v="1362.15"/>
    <n v="1844.07"/>
    <x v="12"/>
    <x v="2"/>
    <x v="1"/>
    <x v="3"/>
    <x v="1"/>
    <x v="2"/>
    <x v="0"/>
    <n v="481.91999999999985"/>
    <n v="21204.479999999992"/>
    <x v="1"/>
  </r>
  <r>
    <n v="1059"/>
    <d v="2023-04-02T00:00:00"/>
    <n v="34177.68"/>
    <n v="12"/>
    <n v="3496.15"/>
    <n v="3955.75"/>
    <x v="24"/>
    <x v="3"/>
    <x v="1"/>
    <x v="1"/>
    <x v="0"/>
    <x v="0"/>
    <x v="1"/>
    <n v="459.59999999999991"/>
    <n v="5515.1999999999989"/>
    <x v="1"/>
  </r>
  <r>
    <n v="1002"/>
    <d v="2023-10-14T00:00:00"/>
    <n v="41180.333999999995"/>
    <n v="39"/>
    <n v="1004.71"/>
    <n v="1389.35"/>
    <x v="19"/>
    <x v="1"/>
    <x v="2"/>
    <x v="2"/>
    <x v="1"/>
    <x v="1"/>
    <x v="0"/>
    <n v="384.63999999999987"/>
    <n v="15000.959999999995"/>
    <x v="7"/>
  </r>
  <r>
    <n v="1002"/>
    <d v="2023-02-20T00:00:00"/>
    <n v="11309.953200000002"/>
    <n v="26"/>
    <n v="508.94"/>
    <n v="557.69000000000005"/>
    <x v="20"/>
    <x v="2"/>
    <x v="1"/>
    <x v="1"/>
    <x v="1"/>
    <x v="2"/>
    <x v="1"/>
    <n v="48.750000000000057"/>
    <n v="1267.5000000000014"/>
    <x v="0"/>
  </r>
  <r>
    <n v="1092"/>
    <d v="2023-01-29T00:00:00"/>
    <n v="34848.808799999999"/>
    <n v="13"/>
    <n v="2684.5"/>
    <n v="2913.78"/>
    <x v="4"/>
    <x v="0"/>
    <x v="2"/>
    <x v="2"/>
    <x v="1"/>
    <x v="2"/>
    <x v="1"/>
    <n v="229.2800000000002"/>
    <n v="2980.6400000000026"/>
    <x v="5"/>
  </r>
  <r>
    <n v="1054"/>
    <d v="2023-10-23T00:00:00"/>
    <n v="25062.36"/>
    <n v="8"/>
    <n v="4117.13"/>
    <n v="4177.0600000000004"/>
    <x v="26"/>
    <x v="1"/>
    <x v="3"/>
    <x v="1"/>
    <x v="0"/>
    <x v="1"/>
    <x v="1"/>
    <n v="59.930000000000291"/>
    <n v="479.44000000000233"/>
    <x v="7"/>
  </r>
  <r>
    <n v="1087"/>
    <d v="2023-10-24T00:00:00"/>
    <n v="13876.186799999999"/>
    <n v="28"/>
    <n v="551.83000000000004"/>
    <n v="569.63"/>
    <x v="9"/>
    <x v="0"/>
    <x v="3"/>
    <x v="2"/>
    <x v="1"/>
    <x v="2"/>
    <x v="1"/>
    <n v="17.799999999999955"/>
    <n v="498.39999999999873"/>
    <x v="7"/>
  </r>
  <r>
    <n v="1096"/>
    <d v="2023-08-02T00:00:00"/>
    <n v="118177.40400000001"/>
    <n v="30"/>
    <n v="3969.86"/>
    <n v="4281.79"/>
    <x v="4"/>
    <x v="0"/>
    <x v="0"/>
    <x v="3"/>
    <x v="0"/>
    <x v="1"/>
    <x v="1"/>
    <n v="311.92999999999984"/>
    <n v="9357.8999999999942"/>
    <x v="3"/>
  </r>
  <r>
    <n v="1097"/>
    <d v="2023-09-24T00:00:00"/>
    <n v="36020.872799999997"/>
    <n v="9"/>
    <n v="4067.28"/>
    <n v="4548.09"/>
    <x v="7"/>
    <x v="4"/>
    <x v="3"/>
    <x v="1"/>
    <x v="0"/>
    <x v="2"/>
    <x v="1"/>
    <n v="480.80999999999995"/>
    <n v="4327.2899999999991"/>
    <x v="2"/>
  </r>
  <r>
    <n v="1001"/>
    <d v="2023-09-14T00:00:00"/>
    <n v="84522.847500000003"/>
    <n v="39"/>
    <n v="2437.2600000000002"/>
    <n v="2889.67"/>
    <x v="26"/>
    <x v="3"/>
    <x v="2"/>
    <x v="1"/>
    <x v="0"/>
    <x v="0"/>
    <x v="0"/>
    <n v="452.40999999999985"/>
    <n v="17643.989999999994"/>
    <x v="2"/>
  </r>
  <r>
    <n v="1019"/>
    <d v="2023-10-29T00:00:00"/>
    <n v="20388.576000000001"/>
    <n v="31"/>
    <n v="333.69"/>
    <n v="685.1"/>
    <x v="14"/>
    <x v="1"/>
    <x v="1"/>
    <x v="1"/>
    <x v="1"/>
    <x v="1"/>
    <x v="0"/>
    <n v="351.41"/>
    <n v="10893.710000000001"/>
    <x v="7"/>
  </r>
  <r>
    <n v="1002"/>
    <d v="2023-04-11T00:00:00"/>
    <n v="17546.554200000002"/>
    <n v="21"/>
    <n v="914.22"/>
    <n v="971.57"/>
    <x v="6"/>
    <x v="0"/>
    <x v="0"/>
    <x v="1"/>
    <x v="0"/>
    <x v="0"/>
    <x v="0"/>
    <n v="57.350000000000023"/>
    <n v="1204.3500000000004"/>
    <x v="1"/>
  </r>
  <r>
    <n v="1053"/>
    <d v="2023-12-12T00:00:00"/>
    <n v="147659.19499999998"/>
    <n v="47"/>
    <n v="3551.76"/>
    <n v="3696.1"/>
    <x v="25"/>
    <x v="4"/>
    <x v="2"/>
    <x v="3"/>
    <x v="0"/>
    <x v="1"/>
    <x v="1"/>
    <n v="144.33999999999969"/>
    <n v="6783.979999999985"/>
    <x v="9"/>
  </r>
  <r>
    <n v="1044"/>
    <d v="2023-04-20T00:00:00"/>
    <n v="125892.7758"/>
    <n v="34"/>
    <n v="3573.3"/>
    <n v="3740.13"/>
    <x v="30"/>
    <x v="2"/>
    <x v="1"/>
    <x v="1"/>
    <x v="0"/>
    <x v="2"/>
    <x v="0"/>
    <n v="166.82999999999993"/>
    <n v="5672.2199999999975"/>
    <x v="1"/>
  </r>
  <r>
    <n v="1090"/>
    <d v="2023-07-01T00:00:00"/>
    <n v="142226.5119999997"/>
    <n v="31"/>
    <n v="4496.8599999999997"/>
    <n v="4880.7999999999902"/>
    <x v="18"/>
    <x v="1"/>
    <x v="0"/>
    <x v="0"/>
    <x v="1"/>
    <x v="0"/>
    <x v="1"/>
    <n v="383.9399999999905"/>
    <n v="11902.139999999705"/>
    <x v="11"/>
  </r>
  <r>
    <n v="1032"/>
    <d v="2023-11-09T00:00:00"/>
    <n v="62576.25"/>
    <n v="25"/>
    <n v="2934.3"/>
    <n v="3337.4"/>
    <x v="26"/>
    <x v="0"/>
    <x v="3"/>
    <x v="3"/>
    <x v="0"/>
    <x v="2"/>
    <x v="1"/>
    <n v="403.09999999999991"/>
    <n v="10077.499999999998"/>
    <x v="8"/>
  </r>
  <r>
    <n v="1070"/>
    <d v="2023-01-01T00:00:00"/>
    <n v="7767.27"/>
    <n v="12"/>
    <n v="664.33"/>
    <n v="863.03"/>
    <x v="26"/>
    <x v="3"/>
    <x v="2"/>
    <x v="0"/>
    <x v="0"/>
    <x v="1"/>
    <x v="1"/>
    <n v="198.69999999999993"/>
    <n v="2384.3999999999992"/>
    <x v="5"/>
  </r>
  <r>
    <n v="1032"/>
    <d v="2023-11-15T00:00:00"/>
    <n v="787.84159999999997"/>
    <n v="1"/>
    <n v="651"/>
    <n v="865.76"/>
    <x v="0"/>
    <x v="4"/>
    <x v="1"/>
    <x v="1"/>
    <x v="0"/>
    <x v="1"/>
    <x v="1"/>
    <n v="214.76"/>
    <n v="214.76"/>
    <x v="8"/>
  </r>
  <r>
    <n v="1068"/>
    <d v="2023-02-24T00:00:00"/>
    <n v="59445.117600000005"/>
    <n v="22"/>
    <n v="3619.61"/>
    <n v="3651.42"/>
    <x v="16"/>
    <x v="0"/>
    <x v="0"/>
    <x v="2"/>
    <x v="0"/>
    <x v="1"/>
    <x v="0"/>
    <n v="31.809999999999945"/>
    <n v="699.8199999999988"/>
    <x v="0"/>
  </r>
  <r>
    <n v="1055"/>
    <d v="2023-05-29T00:00:00"/>
    <n v="34231.428"/>
    <n v="40"/>
    <n v="959.73"/>
    <n v="1111.4100000000001"/>
    <x v="10"/>
    <x v="3"/>
    <x v="0"/>
    <x v="0"/>
    <x v="1"/>
    <x v="1"/>
    <x v="0"/>
    <n v="151.68000000000006"/>
    <n v="6067.2000000000025"/>
    <x v="10"/>
  </r>
  <r>
    <n v="1075"/>
    <d v="2023-11-05T00:00:00"/>
    <n v="61374.741599999674"/>
    <n v="37"/>
    <n v="1675.51"/>
    <n v="1906.6399999999901"/>
    <x v="9"/>
    <x v="0"/>
    <x v="3"/>
    <x v="1"/>
    <x v="1"/>
    <x v="1"/>
    <x v="0"/>
    <n v="231.1299999999901"/>
    <n v="8551.8099999996339"/>
    <x v="8"/>
  </r>
  <r>
    <n v="1056"/>
    <d v="2023-05-17T00:00:00"/>
    <n v="92713.873200000002"/>
    <n v="47"/>
    <n v="2461.6999999999998"/>
    <n v="2529.02"/>
    <x v="20"/>
    <x v="1"/>
    <x v="1"/>
    <x v="0"/>
    <x v="0"/>
    <x v="0"/>
    <x v="1"/>
    <n v="67.320000000000164"/>
    <n v="3164.0400000000077"/>
    <x v="10"/>
  </r>
  <r>
    <n v="1017"/>
    <d v="2023-07-21T00:00:00"/>
    <n v="287.32990000000001"/>
    <n v="1"/>
    <n v="172.59"/>
    <n v="404.69"/>
    <x v="12"/>
    <x v="1"/>
    <x v="3"/>
    <x v="1"/>
    <x v="0"/>
    <x v="1"/>
    <x v="0"/>
    <n v="232.1"/>
    <n v="232.1"/>
    <x v="11"/>
  </r>
  <r>
    <n v="1038"/>
    <d v="2023-11-09T00:00:00"/>
    <n v="1470.3506"/>
    <n v="1"/>
    <n v="1281.6500000000001"/>
    <n v="1709.71"/>
    <x v="6"/>
    <x v="1"/>
    <x v="3"/>
    <x v="1"/>
    <x v="0"/>
    <x v="2"/>
    <x v="0"/>
    <n v="428.05999999999995"/>
    <n v="428.05999999999995"/>
    <x v="8"/>
  </r>
  <r>
    <n v="1024"/>
    <d v="2023-04-27T00:00:00"/>
    <n v="92333.933999999994"/>
    <n v="42"/>
    <n v="2069.0500000000002"/>
    <n v="2363.9"/>
    <x v="17"/>
    <x v="4"/>
    <x v="1"/>
    <x v="1"/>
    <x v="0"/>
    <x v="0"/>
    <x v="0"/>
    <n v="294.84999999999991"/>
    <n v="12383.699999999997"/>
    <x v="1"/>
  </r>
  <r>
    <n v="1069"/>
    <d v="2023-06-03T00:00:00"/>
    <n v="44842.2912"/>
    <n v="42"/>
    <n v="1434.2"/>
    <n v="1482.88"/>
    <x v="24"/>
    <x v="1"/>
    <x v="1"/>
    <x v="2"/>
    <x v="1"/>
    <x v="2"/>
    <x v="1"/>
    <n v="48.680000000000064"/>
    <n v="2044.5600000000027"/>
    <x v="6"/>
  </r>
  <r>
    <n v="1098"/>
    <d v="2023-10-18T00:00:00"/>
    <n v="14274.518999999984"/>
    <n v="21"/>
    <n v="725.03"/>
    <n v="828.94999999999902"/>
    <x v="13"/>
    <x v="3"/>
    <x v="1"/>
    <x v="0"/>
    <x v="1"/>
    <x v="1"/>
    <x v="0"/>
    <n v="103.91999999999905"/>
    <n v="2182.3199999999802"/>
    <x v="7"/>
  </r>
  <r>
    <n v="1070"/>
    <d v="2023-03-04T00:00:00"/>
    <n v="56689.5645"/>
    <n v="15"/>
    <n v="3653.66"/>
    <n v="3896.19"/>
    <x v="21"/>
    <x v="0"/>
    <x v="2"/>
    <x v="3"/>
    <x v="1"/>
    <x v="2"/>
    <x v="1"/>
    <n v="242.5300000000002"/>
    <n v="3637.950000000003"/>
    <x v="4"/>
  </r>
  <r>
    <n v="1086"/>
    <d v="2023-09-01T00:00:00"/>
    <n v="60139.783100000001"/>
    <n v="17"/>
    <n v="4075.08"/>
    <n v="4262.21"/>
    <x v="22"/>
    <x v="2"/>
    <x v="1"/>
    <x v="3"/>
    <x v="1"/>
    <x v="0"/>
    <x v="0"/>
    <n v="187.13000000000011"/>
    <n v="3181.2100000000019"/>
    <x v="2"/>
  </r>
  <r>
    <n v="1011"/>
    <d v="2023-01-25T00:00:00"/>
    <n v="28242.609999999997"/>
    <n v="22"/>
    <n v="1324.52"/>
    <n v="1510.3"/>
    <x v="25"/>
    <x v="3"/>
    <x v="0"/>
    <x v="3"/>
    <x v="0"/>
    <x v="0"/>
    <x v="1"/>
    <n v="185.77999999999997"/>
    <n v="4087.1599999999994"/>
    <x v="5"/>
  </r>
  <r>
    <n v="1016"/>
    <d v="2023-03-31T00:00:00"/>
    <n v="116774.48640000001"/>
    <n v="38"/>
    <n v="3883.38"/>
    <n v="4152.72"/>
    <x v="16"/>
    <x v="3"/>
    <x v="3"/>
    <x v="3"/>
    <x v="0"/>
    <x v="0"/>
    <x v="0"/>
    <n v="269.34000000000015"/>
    <n v="10234.920000000006"/>
    <x v="4"/>
  </r>
  <r>
    <n v="1097"/>
    <d v="2023-03-16T00:00:00"/>
    <n v="66292.296000000002"/>
    <n v="35"/>
    <n v="1958.49"/>
    <n v="2254.84"/>
    <x v="28"/>
    <x v="1"/>
    <x v="2"/>
    <x v="1"/>
    <x v="1"/>
    <x v="2"/>
    <x v="0"/>
    <n v="296.35000000000014"/>
    <n v="10372.250000000005"/>
    <x v="4"/>
  </r>
  <r>
    <n v="1073"/>
    <d v="2023-10-21T00:00:00"/>
    <n v="122483.97"/>
    <n v="45"/>
    <n v="2558.09"/>
    <n v="2958.55"/>
    <x v="4"/>
    <x v="4"/>
    <x v="1"/>
    <x v="0"/>
    <x v="1"/>
    <x v="0"/>
    <x v="0"/>
    <n v="400.46000000000004"/>
    <n v="18020.7"/>
    <x v="7"/>
  </r>
  <r>
    <n v="1059"/>
    <d v="2023-07-29T00:00:00"/>
    <n v="57142.784"/>
    <n v="16"/>
    <n v="4287.21"/>
    <n v="4464.28"/>
    <x v="2"/>
    <x v="0"/>
    <x v="2"/>
    <x v="0"/>
    <x v="0"/>
    <x v="2"/>
    <x v="1"/>
    <n v="177.06999999999971"/>
    <n v="2833.1199999999953"/>
    <x v="11"/>
  </r>
  <r>
    <n v="1070"/>
    <d v="2023-12-13T00:00:00"/>
    <n v="28001.903999999999"/>
    <n v="8"/>
    <n v="3762.27"/>
    <n v="4166.95"/>
    <x v="28"/>
    <x v="4"/>
    <x v="1"/>
    <x v="2"/>
    <x v="0"/>
    <x v="1"/>
    <x v="0"/>
    <n v="404.67999999999984"/>
    <n v="3237.4399999999987"/>
    <x v="9"/>
  </r>
  <r>
    <n v="1080"/>
    <d v="2023-01-17T00:00:00"/>
    <n v="184073.73749999999"/>
    <n v="47"/>
    <n v="4035.33"/>
    <n v="4211.25"/>
    <x v="17"/>
    <x v="0"/>
    <x v="2"/>
    <x v="0"/>
    <x v="0"/>
    <x v="1"/>
    <x v="0"/>
    <n v="175.92000000000007"/>
    <n v="8268.2400000000034"/>
    <x v="5"/>
  </r>
  <r>
    <n v="1093"/>
    <d v="2023-05-08T00:00:00"/>
    <n v="10787.6594"/>
    <n v="17"/>
    <n v="727.38"/>
    <n v="764.54"/>
    <x v="22"/>
    <x v="0"/>
    <x v="3"/>
    <x v="0"/>
    <x v="0"/>
    <x v="2"/>
    <x v="1"/>
    <n v="37.159999999999968"/>
    <n v="631.71999999999946"/>
    <x v="10"/>
  </r>
  <r>
    <n v="1003"/>
    <d v="2023-12-30T00:00:00"/>
    <n v="8627.4149999999991"/>
    <n v="17"/>
    <n v="395.11"/>
    <n v="676.66"/>
    <x v="26"/>
    <x v="4"/>
    <x v="3"/>
    <x v="0"/>
    <x v="0"/>
    <x v="0"/>
    <x v="1"/>
    <n v="281.54999999999995"/>
    <n v="4786.3499999999995"/>
    <x v="9"/>
  </r>
  <r>
    <n v="1020"/>
    <d v="2023-09-08T00:00:00"/>
    <n v="122790.61079999999"/>
    <n v="26"/>
    <n v="4472.3500000000004"/>
    <n v="4770.42"/>
    <x v="30"/>
    <x v="3"/>
    <x v="0"/>
    <x v="2"/>
    <x v="1"/>
    <x v="2"/>
    <x v="1"/>
    <n v="298.06999999999971"/>
    <n v="7749.8199999999924"/>
    <x v="2"/>
  </r>
  <r>
    <n v="1059"/>
    <d v="2023-06-28T00:00:00"/>
    <n v="25668.981"/>
    <n v="13"/>
    <n v="1969.78"/>
    <n v="2437.6999999999998"/>
    <x v="27"/>
    <x v="0"/>
    <x v="0"/>
    <x v="3"/>
    <x v="1"/>
    <x v="2"/>
    <x v="1"/>
    <n v="467.91999999999985"/>
    <n v="6082.9599999999982"/>
    <x v="6"/>
  </r>
  <r>
    <n v="1036"/>
    <d v="2023-07-01T00:00:00"/>
    <n v="28163.780999999999"/>
    <n v="17"/>
    <n v="1475"/>
    <n v="1840.77"/>
    <x v="15"/>
    <x v="4"/>
    <x v="1"/>
    <x v="0"/>
    <x v="0"/>
    <x v="2"/>
    <x v="0"/>
    <n v="365.77"/>
    <n v="6218.09"/>
    <x v="11"/>
  </r>
  <r>
    <n v="1019"/>
    <d v="2023-06-01T00:00:00"/>
    <n v="141672.87680000003"/>
    <n v="38"/>
    <n v="3637.25"/>
    <n v="4096.96"/>
    <x v="0"/>
    <x v="0"/>
    <x v="3"/>
    <x v="2"/>
    <x v="0"/>
    <x v="1"/>
    <x v="0"/>
    <n v="459.71000000000004"/>
    <n v="17468.980000000003"/>
    <x v="6"/>
  </r>
  <r>
    <n v="1090"/>
    <d v="2023-01-25T00:00:00"/>
    <n v="69494.436000000016"/>
    <n v="17"/>
    <n v="4190.26"/>
    <n v="4645.3500000000004"/>
    <x v="7"/>
    <x v="2"/>
    <x v="2"/>
    <x v="2"/>
    <x v="1"/>
    <x v="2"/>
    <x v="1"/>
    <n v="455.09000000000015"/>
    <n v="7736.5300000000025"/>
    <x v="5"/>
  </r>
  <r>
    <n v="1067"/>
    <d v="2023-06-29T00:00:00"/>
    <n v="199824.1919999996"/>
    <n v="48"/>
    <n v="4319.32"/>
    <n v="4625.5599999999904"/>
    <x v="15"/>
    <x v="3"/>
    <x v="2"/>
    <x v="1"/>
    <x v="0"/>
    <x v="1"/>
    <x v="0"/>
    <n v="306.23999999999069"/>
    <n v="14699.519999999553"/>
    <x v="6"/>
  </r>
  <r>
    <n v="1019"/>
    <d v="2023-07-17T00:00:00"/>
    <n v="19769.294999999998"/>
    <n v="14"/>
    <n v="1614.19"/>
    <n v="1882.79"/>
    <x v="26"/>
    <x v="1"/>
    <x v="2"/>
    <x v="2"/>
    <x v="1"/>
    <x v="2"/>
    <x v="1"/>
    <n v="268.59999999999991"/>
    <n v="3760.3999999999987"/>
    <x v="11"/>
  </r>
  <r>
    <n v="1020"/>
    <d v="2023-12-10T00:00:00"/>
    <n v="188436.23999999961"/>
    <n v="45"/>
    <n v="4268.45"/>
    <n v="4551.5999999999904"/>
    <x v="4"/>
    <x v="0"/>
    <x v="0"/>
    <x v="3"/>
    <x v="1"/>
    <x v="1"/>
    <x v="0"/>
    <n v="283.14999999999054"/>
    <n v="12741.749999999574"/>
    <x v="9"/>
  </r>
  <r>
    <n v="1096"/>
    <d v="2023-06-10T00:00:00"/>
    <n v="3472.56"/>
    <n v="6"/>
    <n v="252.62"/>
    <n v="742"/>
    <x v="20"/>
    <x v="2"/>
    <x v="2"/>
    <x v="0"/>
    <x v="1"/>
    <x v="2"/>
    <x v="1"/>
    <n v="489.38"/>
    <n v="2936.2799999999997"/>
    <x v="6"/>
  </r>
  <r>
    <n v="1071"/>
    <d v="2023-06-26T00:00:00"/>
    <n v="23244.546499999997"/>
    <n v="35"/>
    <n v="295.82"/>
    <n v="684.67"/>
    <x v="21"/>
    <x v="1"/>
    <x v="0"/>
    <x v="2"/>
    <x v="1"/>
    <x v="2"/>
    <x v="0"/>
    <n v="388.84999999999997"/>
    <n v="13609.749999999998"/>
    <x v="6"/>
  </r>
  <r>
    <n v="1052"/>
    <d v="2023-10-12T00:00:00"/>
    <n v="104462.68339999998"/>
    <n v="46"/>
    <n v="3136.42"/>
    <n v="3198.49"/>
    <x v="12"/>
    <x v="1"/>
    <x v="0"/>
    <x v="3"/>
    <x v="0"/>
    <x v="0"/>
    <x v="1"/>
    <n v="62.069999999999709"/>
    <n v="2855.2199999999866"/>
    <x v="7"/>
  </r>
  <r>
    <n v="1033"/>
    <d v="2023-03-04T00:00:00"/>
    <n v="8548.2054000000007"/>
    <n v="14"/>
    <n v="362.38"/>
    <n v="753.81"/>
    <x v="27"/>
    <x v="0"/>
    <x v="1"/>
    <x v="2"/>
    <x v="0"/>
    <x v="0"/>
    <x v="1"/>
    <n v="391.42999999999995"/>
    <n v="5480.0199999999995"/>
    <x v="4"/>
  </r>
  <r>
    <n v="1040"/>
    <d v="2023-05-30T00:00:00"/>
    <n v="64991.609399999637"/>
    <n v="47"/>
    <n v="1656.82"/>
    <n v="1750.3799999999901"/>
    <x v="5"/>
    <x v="4"/>
    <x v="2"/>
    <x v="2"/>
    <x v="1"/>
    <x v="2"/>
    <x v="0"/>
    <n v="93.559999999990168"/>
    <n v="4397.3199999995377"/>
    <x v="10"/>
  </r>
  <r>
    <n v="1039"/>
    <d v="2023-06-03T00:00:00"/>
    <n v="26275.995199999928"/>
    <n v="8"/>
    <n v="3380.14"/>
    <n v="3609.3399999999901"/>
    <x v="0"/>
    <x v="0"/>
    <x v="2"/>
    <x v="2"/>
    <x v="0"/>
    <x v="2"/>
    <x v="0"/>
    <n v="229.19999999999027"/>
    <n v="1833.5999999999221"/>
    <x v="6"/>
  </r>
  <r>
    <n v="1082"/>
    <d v="2023-06-05T00:00:00"/>
    <n v="24190.32"/>
    <n v="15"/>
    <n v="1719.47"/>
    <n v="1832.6"/>
    <x v="7"/>
    <x v="2"/>
    <x v="3"/>
    <x v="2"/>
    <x v="0"/>
    <x v="2"/>
    <x v="0"/>
    <n v="113.12999999999988"/>
    <n v="1696.9499999999982"/>
    <x v="6"/>
  </r>
  <r>
    <n v="1001"/>
    <d v="2023-02-18T00:00:00"/>
    <n v="32314.5612"/>
    <n v="27"/>
    <n v="939.02"/>
    <n v="1286.92"/>
    <x v="17"/>
    <x v="1"/>
    <x v="1"/>
    <x v="2"/>
    <x v="0"/>
    <x v="2"/>
    <x v="1"/>
    <n v="347.90000000000009"/>
    <n v="9393.3000000000029"/>
    <x v="0"/>
  </r>
  <r>
    <n v="1011"/>
    <d v="2023-12-03T00:00:00"/>
    <n v="17620.855199999998"/>
    <n v="13"/>
    <n v="1442.69"/>
    <n v="1882.57"/>
    <x v="24"/>
    <x v="0"/>
    <x v="3"/>
    <x v="3"/>
    <x v="0"/>
    <x v="0"/>
    <x v="0"/>
    <n v="439.87999999999988"/>
    <n v="5718.4399999999987"/>
    <x v="9"/>
  </r>
  <r>
    <n v="1092"/>
    <d v="2023-03-25T00:00:00"/>
    <n v="102762.21200000001"/>
    <n v="49"/>
    <n v="2315"/>
    <n v="2467.2800000000002"/>
    <x v="25"/>
    <x v="4"/>
    <x v="1"/>
    <x v="0"/>
    <x v="1"/>
    <x v="1"/>
    <x v="1"/>
    <n v="152.2800000000002"/>
    <n v="7461.7200000000103"/>
    <x v="4"/>
  </r>
  <r>
    <n v="1057"/>
    <d v="2023-12-27T00:00:00"/>
    <n v="61603.618499999997"/>
    <n v="31"/>
    <n v="2403.16"/>
    <n v="2453.35"/>
    <x v="27"/>
    <x v="0"/>
    <x v="2"/>
    <x v="0"/>
    <x v="0"/>
    <x v="2"/>
    <x v="0"/>
    <n v="50.190000000000055"/>
    <n v="1555.8900000000017"/>
    <x v="9"/>
  </r>
  <r>
    <n v="1089"/>
    <d v="2023-06-26T00:00:00"/>
    <n v="111441.60299999974"/>
    <n v="35"/>
    <n v="3925.85"/>
    <n v="4082.1099999999901"/>
    <x v="20"/>
    <x v="3"/>
    <x v="0"/>
    <x v="0"/>
    <x v="1"/>
    <x v="0"/>
    <x v="0"/>
    <n v="156.25999999999021"/>
    <n v="5469.0999999996575"/>
    <x v="6"/>
  </r>
  <r>
    <n v="1050"/>
    <d v="2023-05-28T00:00:00"/>
    <n v="21908.524799999999"/>
    <n v="6"/>
    <n v="3763.26"/>
    <n v="4102.72"/>
    <x v="1"/>
    <x v="4"/>
    <x v="0"/>
    <x v="0"/>
    <x v="1"/>
    <x v="2"/>
    <x v="1"/>
    <n v="339.46000000000004"/>
    <n v="2036.7600000000002"/>
    <x v="10"/>
  </r>
  <r>
    <n v="1023"/>
    <d v="2023-04-28T00:00:00"/>
    <n v="9681.1260000000002"/>
    <n v="5"/>
    <n v="2311.25"/>
    <n v="2482.34"/>
    <x v="20"/>
    <x v="2"/>
    <x v="0"/>
    <x v="3"/>
    <x v="0"/>
    <x v="2"/>
    <x v="1"/>
    <n v="171.09000000000015"/>
    <n v="855.45000000000073"/>
    <x v="1"/>
  </r>
  <r>
    <n v="1031"/>
    <d v="2023-12-08T00:00:00"/>
    <n v="77128.831999999995"/>
    <n v="22"/>
    <n v="4236.05"/>
    <n v="4382.32"/>
    <x v="2"/>
    <x v="1"/>
    <x v="0"/>
    <x v="1"/>
    <x v="1"/>
    <x v="1"/>
    <x v="0"/>
    <n v="146.26999999999953"/>
    <n v="3217.9399999999896"/>
    <x v="9"/>
  </r>
  <r>
    <n v="1094"/>
    <d v="2023-03-04T00:00:00"/>
    <n v="27710.166400000006"/>
    <n v="49"/>
    <n v="615.47"/>
    <n v="715.84"/>
    <x v="5"/>
    <x v="0"/>
    <x v="0"/>
    <x v="1"/>
    <x v="0"/>
    <x v="2"/>
    <x v="1"/>
    <n v="100.37"/>
    <n v="4918.13"/>
    <x v="4"/>
  </r>
  <r>
    <n v="1042"/>
    <d v="2023-07-08T00:00:00"/>
    <n v="30650.099000000002"/>
    <n v="23"/>
    <n v="1314"/>
    <n v="1567.78"/>
    <x v="25"/>
    <x v="4"/>
    <x v="3"/>
    <x v="3"/>
    <x v="0"/>
    <x v="2"/>
    <x v="1"/>
    <n v="253.77999999999997"/>
    <n v="5836.94"/>
    <x v="11"/>
  </r>
  <r>
    <n v="1099"/>
    <d v="2023-12-26T00:00:00"/>
    <n v="95534.602499999994"/>
    <n v="25"/>
    <n v="4148.4799999999996"/>
    <n v="4293.6899999999996"/>
    <x v="1"/>
    <x v="3"/>
    <x v="1"/>
    <x v="3"/>
    <x v="1"/>
    <x v="1"/>
    <x v="0"/>
    <n v="145.21000000000004"/>
    <n v="3630.2500000000009"/>
    <x v="9"/>
  </r>
  <r>
    <n v="1007"/>
    <d v="2023-02-18T00:00:00"/>
    <n v="72386.717399999994"/>
    <n v="34"/>
    <n v="1921.07"/>
    <n v="2289.27"/>
    <x v="17"/>
    <x v="4"/>
    <x v="2"/>
    <x v="2"/>
    <x v="0"/>
    <x v="1"/>
    <x v="1"/>
    <n v="368.20000000000005"/>
    <n v="12518.800000000001"/>
    <x v="0"/>
  </r>
  <r>
    <n v="1016"/>
    <d v="2023-11-23T00:00:00"/>
    <n v="96610.60500000001"/>
    <n v="26"/>
    <n v="4906.8500000000004"/>
    <n v="4954.3900000000003"/>
    <x v="26"/>
    <x v="3"/>
    <x v="3"/>
    <x v="2"/>
    <x v="1"/>
    <x v="1"/>
    <x v="0"/>
    <n v="47.539999999999964"/>
    <n v="1236.0399999999991"/>
    <x v="8"/>
  </r>
  <r>
    <n v="1090"/>
    <d v="2023-09-14T00:00:00"/>
    <n v="103800.9382"/>
    <n v="47"/>
    <n v="2357.9499999999998"/>
    <n v="2693.33"/>
    <x v="13"/>
    <x v="2"/>
    <x v="1"/>
    <x v="2"/>
    <x v="1"/>
    <x v="1"/>
    <x v="0"/>
    <n v="335.38000000000011"/>
    <n v="15762.860000000004"/>
    <x v="2"/>
  </r>
  <r>
    <n v="1060"/>
    <d v="2023-08-12T00:00:00"/>
    <n v="17819.687999999998"/>
    <n v="5"/>
    <n v="3970.08"/>
    <n v="4096.4799999999996"/>
    <x v="9"/>
    <x v="1"/>
    <x v="0"/>
    <x v="0"/>
    <x v="0"/>
    <x v="0"/>
    <x v="1"/>
    <n v="126.39999999999964"/>
    <n v="631.99999999999818"/>
    <x v="3"/>
  </r>
  <r>
    <n v="1002"/>
    <d v="2023-05-21T00:00:00"/>
    <n v="42890.702399999995"/>
    <n v="26"/>
    <n v="2041.42"/>
    <n v="2291.17"/>
    <x v="24"/>
    <x v="2"/>
    <x v="1"/>
    <x v="2"/>
    <x v="0"/>
    <x v="0"/>
    <x v="0"/>
    <n v="249.75"/>
    <n v="6493.5"/>
    <x v="10"/>
  </r>
  <r>
    <n v="1001"/>
    <d v="2023-08-03T00:00:00"/>
    <n v="45613.26"/>
    <n v="20"/>
    <n v="2153.52"/>
    <n v="2303.6999999999998"/>
    <x v="30"/>
    <x v="0"/>
    <x v="1"/>
    <x v="1"/>
    <x v="0"/>
    <x v="0"/>
    <x v="1"/>
    <n v="150.17999999999984"/>
    <n v="3003.5999999999967"/>
    <x v="3"/>
  </r>
  <r>
    <n v="1048"/>
    <d v="2023-07-30T00:00:00"/>
    <n v="10253.869199999999"/>
    <n v="6"/>
    <n v="1945.27"/>
    <n v="2309.4299999999998"/>
    <x v="16"/>
    <x v="4"/>
    <x v="0"/>
    <x v="0"/>
    <x v="1"/>
    <x v="2"/>
    <x v="0"/>
    <n v="364.15999999999985"/>
    <n v="2184.9599999999991"/>
    <x v="11"/>
  </r>
  <r>
    <n v="1012"/>
    <d v="2023-11-14T00:00:00"/>
    <n v="17147.004000000001"/>
    <n v="6"/>
    <n v="3609.42"/>
    <n v="4082.62"/>
    <x v="23"/>
    <x v="3"/>
    <x v="0"/>
    <x v="2"/>
    <x v="0"/>
    <x v="1"/>
    <x v="1"/>
    <n v="473.19999999999982"/>
    <n v="2839.1999999999989"/>
    <x v="8"/>
  </r>
  <r>
    <n v="1069"/>
    <d v="2023-02-01T00:00:00"/>
    <n v="42305.281199999998"/>
    <n v="18"/>
    <n v="2760.21"/>
    <n v="3219.58"/>
    <x v="29"/>
    <x v="3"/>
    <x v="0"/>
    <x v="0"/>
    <x v="1"/>
    <x v="1"/>
    <x v="1"/>
    <n v="459.36999999999989"/>
    <n v="8268.659999999998"/>
    <x v="0"/>
  </r>
  <r>
    <n v="1037"/>
    <d v="2023-06-07T00:00:00"/>
    <n v="15253.4432"/>
    <n v="4"/>
    <n v="4721.7"/>
    <n v="5017.58"/>
    <x v="19"/>
    <x v="4"/>
    <x v="2"/>
    <x v="1"/>
    <x v="1"/>
    <x v="0"/>
    <x v="1"/>
    <n v="295.88000000000011"/>
    <n v="1183.5200000000004"/>
    <x v="6"/>
  </r>
  <r>
    <n v="1032"/>
    <d v="2023-10-12T00:00:00"/>
    <n v="23127.566699999999"/>
    <n v="17"/>
    <n v="1291.9100000000001"/>
    <n v="1528.59"/>
    <x v="1"/>
    <x v="4"/>
    <x v="0"/>
    <x v="2"/>
    <x v="0"/>
    <x v="2"/>
    <x v="1"/>
    <n v="236.67999999999984"/>
    <n v="4023.5599999999972"/>
    <x v="7"/>
  </r>
  <r>
    <n v="1009"/>
    <d v="2023-11-01T00:00:00"/>
    <n v="12483.055199999999"/>
    <n v="14"/>
    <n v="547.79"/>
    <n v="958.76"/>
    <x v="17"/>
    <x v="0"/>
    <x v="2"/>
    <x v="1"/>
    <x v="0"/>
    <x v="2"/>
    <x v="1"/>
    <n v="410.97"/>
    <n v="5753.58"/>
    <x v="8"/>
  </r>
  <r>
    <n v="1099"/>
    <d v="2023-10-13T00:00:00"/>
    <n v="25568.852399999996"/>
    <n v="14"/>
    <n v="1996.64"/>
    <n v="2341.4699999999998"/>
    <x v="20"/>
    <x v="2"/>
    <x v="0"/>
    <x v="1"/>
    <x v="0"/>
    <x v="2"/>
    <x v="0"/>
    <n v="344.8299999999997"/>
    <n v="4827.6199999999953"/>
    <x v="7"/>
  </r>
  <r>
    <n v="1019"/>
    <d v="2023-05-24T00:00:00"/>
    <n v="37887.704399999995"/>
    <n v="13"/>
    <n v="3102.73"/>
    <n v="3202.68"/>
    <x v="0"/>
    <x v="3"/>
    <x v="2"/>
    <x v="1"/>
    <x v="1"/>
    <x v="0"/>
    <x v="0"/>
    <n v="99.949999999999818"/>
    <n v="1299.3499999999976"/>
    <x v="10"/>
  </r>
  <r>
    <n v="1048"/>
    <d v="2023-01-19T00:00:00"/>
    <n v="31409.279999999999"/>
    <n v="7"/>
    <n v="4310.95"/>
    <n v="4723.2"/>
    <x v="8"/>
    <x v="0"/>
    <x v="1"/>
    <x v="2"/>
    <x v="0"/>
    <x v="2"/>
    <x v="1"/>
    <n v="412.25"/>
    <n v="2885.75"/>
    <x v="5"/>
  </r>
  <r>
    <n v="1080"/>
    <d v="2023-01-18T00:00:00"/>
    <n v="66338.940799999997"/>
    <n v="44"/>
    <n v="1763.67"/>
    <n v="1983.82"/>
    <x v="19"/>
    <x v="2"/>
    <x v="3"/>
    <x v="3"/>
    <x v="1"/>
    <x v="2"/>
    <x v="0"/>
    <n v="220.14999999999986"/>
    <n v="9686.5999999999949"/>
    <x v="5"/>
  </r>
  <r>
    <n v="1003"/>
    <d v="2023-09-14T00:00:00"/>
    <n v="46257.665999999866"/>
    <n v="15"/>
    <n v="3286.24"/>
    <n v="3388.8399999999901"/>
    <x v="0"/>
    <x v="0"/>
    <x v="1"/>
    <x v="2"/>
    <x v="0"/>
    <x v="2"/>
    <x v="1"/>
    <n v="102.59999999999036"/>
    <n v="1538.9999999998554"/>
    <x v="2"/>
  </r>
  <r>
    <n v="1020"/>
    <d v="2023-03-19T00:00:00"/>
    <n v="26790.7372"/>
    <n v="19"/>
    <n v="1783.48"/>
    <n v="1931.56"/>
    <x v="29"/>
    <x v="3"/>
    <x v="1"/>
    <x v="1"/>
    <x v="0"/>
    <x v="1"/>
    <x v="1"/>
    <n v="148.07999999999993"/>
    <n v="2813.5199999999986"/>
    <x v="4"/>
  </r>
  <r>
    <n v="1024"/>
    <d v="2023-06-24T00:00:00"/>
    <n v="104694.1425"/>
    <n v="43"/>
    <n v="3105.24"/>
    <n v="3246.33"/>
    <x v="26"/>
    <x v="4"/>
    <x v="0"/>
    <x v="2"/>
    <x v="1"/>
    <x v="0"/>
    <x v="0"/>
    <n v="141.09000000000015"/>
    <n v="6066.8700000000063"/>
    <x v="6"/>
  </r>
  <r>
    <n v="1054"/>
    <d v="2023-07-13T00:00:00"/>
    <n v="165470.9025"/>
    <n v="47"/>
    <n v="4429.8"/>
    <n v="4694.21"/>
    <x v="26"/>
    <x v="4"/>
    <x v="2"/>
    <x v="1"/>
    <x v="1"/>
    <x v="1"/>
    <x v="0"/>
    <n v="264.40999999999985"/>
    <n v="12427.269999999993"/>
    <x v="11"/>
  </r>
  <r>
    <n v="1033"/>
    <d v="2023-04-23T00:00:00"/>
    <n v="44723.632799999999"/>
    <n v="44"/>
    <n v="1195.22"/>
    <n v="1320.06"/>
    <x v="10"/>
    <x v="2"/>
    <x v="3"/>
    <x v="3"/>
    <x v="0"/>
    <x v="1"/>
    <x v="1"/>
    <n v="124.83999999999992"/>
    <n v="5492.9599999999964"/>
    <x v="1"/>
  </r>
  <r>
    <n v="1024"/>
    <d v="2023-04-24T00:00:00"/>
    <n v="54948.144999999997"/>
    <n v="35"/>
    <n v="2051"/>
    <n v="2121.5500000000002"/>
    <x v="16"/>
    <x v="1"/>
    <x v="0"/>
    <x v="0"/>
    <x v="0"/>
    <x v="0"/>
    <x v="1"/>
    <n v="70.550000000000182"/>
    <n v="2469.2500000000064"/>
    <x v="1"/>
  </r>
  <r>
    <n v="1075"/>
    <d v="2023-08-10T00:00:00"/>
    <n v="65081.528399999879"/>
    <n v="17"/>
    <n v="4966.66"/>
    <n v="5037.2699999999904"/>
    <x v="19"/>
    <x v="2"/>
    <x v="0"/>
    <x v="3"/>
    <x v="0"/>
    <x v="1"/>
    <x v="1"/>
    <n v="70.609999999990578"/>
    <n v="1200.3699999998398"/>
    <x v="3"/>
  </r>
  <r>
    <n v="1072"/>
    <d v="2023-06-15T00:00:00"/>
    <n v="133316.37900000002"/>
    <n v="35"/>
    <n v="4349.3599999999997"/>
    <n v="4645.17"/>
    <x v="13"/>
    <x v="1"/>
    <x v="0"/>
    <x v="3"/>
    <x v="0"/>
    <x v="2"/>
    <x v="1"/>
    <n v="295.8100000000004"/>
    <n v="10353.350000000013"/>
    <x v="6"/>
  </r>
  <r>
    <n v="1036"/>
    <d v="2023-11-15T00:00:00"/>
    <n v="55587.35"/>
    <n v="19"/>
    <n v="2844.97"/>
    <n v="3215"/>
    <x v="0"/>
    <x v="0"/>
    <x v="1"/>
    <x v="0"/>
    <x v="0"/>
    <x v="2"/>
    <x v="1"/>
    <n v="370.0300000000002"/>
    <n v="7030.5700000000033"/>
    <x v="8"/>
  </r>
  <r>
    <n v="1038"/>
    <d v="2023-05-12T00:00:00"/>
    <n v="40512.956000000006"/>
    <n v="20"/>
    <n v="2607.31"/>
    <n v="2774.86"/>
    <x v="29"/>
    <x v="0"/>
    <x v="2"/>
    <x v="2"/>
    <x v="1"/>
    <x v="2"/>
    <x v="1"/>
    <n v="167.55000000000018"/>
    <n v="3351.0000000000036"/>
    <x v="10"/>
  </r>
  <r>
    <n v="1084"/>
    <d v="2023-09-21T00:00:00"/>
    <n v="40115.25"/>
    <n v="36"/>
    <n v="1458.77"/>
    <n v="1485.75"/>
    <x v="26"/>
    <x v="3"/>
    <x v="2"/>
    <x v="0"/>
    <x v="1"/>
    <x v="2"/>
    <x v="0"/>
    <n v="26.980000000000018"/>
    <n v="971.28000000000065"/>
    <x v="2"/>
  </r>
  <r>
    <n v="1099"/>
    <d v="2023-02-24T00:00:00"/>
    <n v="80744.153000000006"/>
    <n v="35"/>
    <n v="2610.19"/>
    <n v="2682.53"/>
    <x v="6"/>
    <x v="1"/>
    <x v="3"/>
    <x v="2"/>
    <x v="1"/>
    <x v="0"/>
    <x v="1"/>
    <n v="72.340000000000146"/>
    <n v="2531.9000000000051"/>
    <x v="0"/>
  </r>
  <r>
    <n v="1089"/>
    <d v="2023-12-25T00:00:00"/>
    <n v="149108.25599999999"/>
    <n v="32"/>
    <n v="4248.5"/>
    <n v="4706.7"/>
    <x v="30"/>
    <x v="3"/>
    <x v="2"/>
    <x v="2"/>
    <x v="1"/>
    <x v="1"/>
    <x v="1"/>
    <n v="458.19999999999982"/>
    <n v="14662.399999999994"/>
    <x v="9"/>
  </r>
  <r>
    <n v="1099"/>
    <d v="2023-05-11T00:00:00"/>
    <n v="143601.33599999998"/>
    <n v="48"/>
    <n v="3441.61"/>
    <n v="3693.45"/>
    <x v="27"/>
    <x v="4"/>
    <x v="2"/>
    <x v="1"/>
    <x v="0"/>
    <x v="1"/>
    <x v="0"/>
    <n v="251.83999999999969"/>
    <n v="12088.319999999985"/>
    <x v="10"/>
  </r>
  <r>
    <n v="1025"/>
    <d v="2023-10-15T00:00:00"/>
    <n v="74078.866399999999"/>
    <n v="44"/>
    <n v="1485.72"/>
    <n v="1717.97"/>
    <x v="3"/>
    <x v="1"/>
    <x v="0"/>
    <x v="1"/>
    <x v="1"/>
    <x v="2"/>
    <x v="1"/>
    <n v="232.25"/>
    <n v="10219"/>
    <x v="7"/>
  </r>
  <r>
    <n v="1093"/>
    <d v="2023-09-23T00:00:00"/>
    <n v="30985.632000000001"/>
    <n v="40"/>
    <n v="1047.25"/>
    <n v="1075.8900000000001"/>
    <x v="24"/>
    <x v="2"/>
    <x v="0"/>
    <x v="0"/>
    <x v="1"/>
    <x v="2"/>
    <x v="1"/>
    <n v="28.6400000000001"/>
    <n v="1145.600000000004"/>
    <x v="2"/>
  </r>
  <r>
    <n v="1018"/>
    <d v="2024-01-01T00:00:00"/>
    <n v="29475.9624"/>
    <n v="24"/>
    <n v="1362.78"/>
    <n v="1729.81"/>
    <x v="12"/>
    <x v="4"/>
    <x v="1"/>
    <x v="3"/>
    <x v="1"/>
    <x v="1"/>
    <x v="0"/>
    <n v="367.03"/>
    <n v="8808.7199999999993"/>
    <x v="5"/>
  </r>
  <r>
    <n v="1082"/>
    <d v="2023-06-11T00:00:00"/>
    <n v="18521.7788"/>
    <n v="17"/>
    <n v="890.31"/>
    <n v="1159.06"/>
    <x v="18"/>
    <x v="4"/>
    <x v="0"/>
    <x v="0"/>
    <x v="0"/>
    <x v="0"/>
    <x v="1"/>
    <n v="268.75"/>
    <n v="4568.75"/>
    <x v="6"/>
  </r>
  <r>
    <n v="1066"/>
    <d v="2023-03-28T00:00:00"/>
    <n v="3541.6639999999952"/>
    <n v="7"/>
    <n v="523.41999999999996"/>
    <n v="632.43999999999903"/>
    <x v="2"/>
    <x v="2"/>
    <x v="0"/>
    <x v="2"/>
    <x v="1"/>
    <x v="1"/>
    <x v="0"/>
    <n v="109.01999999999907"/>
    <n v="763.13999999999351"/>
    <x v="4"/>
  </r>
  <r>
    <n v="1054"/>
    <d v="2023-02-24T00:00:00"/>
    <n v="91289.008599999986"/>
    <n v="43"/>
    <n v="2124.7199999999998"/>
    <n v="2188.66"/>
    <x v="21"/>
    <x v="4"/>
    <x v="0"/>
    <x v="1"/>
    <x v="0"/>
    <x v="2"/>
    <x v="1"/>
    <n v="63.940000000000055"/>
    <n v="2749.4200000000023"/>
    <x v="0"/>
  </r>
  <r>
    <n v="1035"/>
    <d v="2023-10-15T00:00:00"/>
    <n v="630.77820000000008"/>
    <n v="1"/>
    <n v="610.83000000000004"/>
    <n v="808.69"/>
    <x v="20"/>
    <x v="1"/>
    <x v="0"/>
    <x v="0"/>
    <x v="1"/>
    <x v="2"/>
    <x v="0"/>
    <n v="197.86"/>
    <n v="197.86"/>
    <x v="7"/>
  </r>
  <r>
    <n v="1080"/>
    <d v="2023-06-27T00:00:00"/>
    <n v="41617.170000000006"/>
    <n v="35"/>
    <n v="900.97"/>
    <n v="1321.18"/>
    <x v="15"/>
    <x v="3"/>
    <x v="1"/>
    <x v="0"/>
    <x v="0"/>
    <x v="0"/>
    <x v="0"/>
    <n v="420.21000000000004"/>
    <n v="14707.350000000002"/>
    <x v="6"/>
  </r>
  <r>
    <n v="1061"/>
    <d v="2023-12-15T00:00:00"/>
    <n v="81747.200000000012"/>
    <n v="32"/>
    <n v="2759.26"/>
    <n v="3193.25"/>
    <x v="2"/>
    <x v="4"/>
    <x v="0"/>
    <x v="1"/>
    <x v="1"/>
    <x v="1"/>
    <x v="0"/>
    <n v="433.98999999999978"/>
    <n v="13887.679999999993"/>
    <x v="9"/>
  </r>
  <r>
    <n v="1041"/>
    <d v="2023-01-08T00:00:00"/>
    <n v="37491.926399999684"/>
    <n v="36"/>
    <n v="864.77"/>
    <n v="1170.1599999999901"/>
    <x v="1"/>
    <x v="1"/>
    <x v="3"/>
    <x v="1"/>
    <x v="0"/>
    <x v="0"/>
    <x v="1"/>
    <n v="305.3899999999901"/>
    <n v="10994.039999999644"/>
    <x v="5"/>
  </r>
  <r>
    <n v="1100"/>
    <d v="2023-11-17T00:00:00"/>
    <n v="9143.9712"/>
    <n v="13"/>
    <n v="366.2"/>
    <n v="732.69"/>
    <x v="14"/>
    <x v="0"/>
    <x v="3"/>
    <x v="1"/>
    <x v="1"/>
    <x v="0"/>
    <x v="1"/>
    <n v="366.49000000000007"/>
    <n v="4764.3700000000008"/>
    <x v="8"/>
  </r>
  <r>
    <n v="1033"/>
    <d v="2023-11-09T00:00:00"/>
    <n v="8910"/>
    <n v="6"/>
    <n v="1621.07"/>
    <n v="1687.5"/>
    <x v="7"/>
    <x v="1"/>
    <x v="3"/>
    <x v="2"/>
    <x v="0"/>
    <x v="2"/>
    <x v="0"/>
    <n v="66.430000000000064"/>
    <n v="398.58000000000038"/>
    <x v="8"/>
  </r>
  <r>
    <n v="1068"/>
    <d v="2023-09-04T00:00:00"/>
    <n v="19538.360799999999"/>
    <n v="14"/>
    <n v="1140.58"/>
    <n v="1438.76"/>
    <x v="21"/>
    <x v="3"/>
    <x v="3"/>
    <x v="1"/>
    <x v="0"/>
    <x v="1"/>
    <x v="0"/>
    <n v="298.18000000000006"/>
    <n v="4174.5200000000004"/>
    <x v="2"/>
  </r>
  <r>
    <n v="1033"/>
    <d v="2023-11-19T00:00:00"/>
    <n v="90212.774700000009"/>
    <n v="37"/>
    <n v="2600.7600000000002"/>
    <n v="2937.57"/>
    <x v="22"/>
    <x v="1"/>
    <x v="0"/>
    <x v="3"/>
    <x v="1"/>
    <x v="2"/>
    <x v="1"/>
    <n v="336.80999999999995"/>
    <n v="12461.969999999998"/>
    <x v="8"/>
  </r>
  <r>
    <n v="1014"/>
    <d v="2023-09-12T00:00:00"/>
    <n v="31604.126400000001"/>
    <n v="48"/>
    <n v="556.72"/>
    <n v="665.07"/>
    <x v="30"/>
    <x v="2"/>
    <x v="3"/>
    <x v="0"/>
    <x v="0"/>
    <x v="1"/>
    <x v="1"/>
    <n v="108.35000000000002"/>
    <n v="5200.8000000000011"/>
    <x v="2"/>
  </r>
  <r>
    <n v="1021"/>
    <d v="2023-11-24T00:00:00"/>
    <n v="53078.13"/>
    <n v="15"/>
    <n v="3771.27"/>
    <n v="4212.55"/>
    <x v="28"/>
    <x v="3"/>
    <x v="0"/>
    <x v="1"/>
    <x v="0"/>
    <x v="2"/>
    <x v="1"/>
    <n v="441.2800000000002"/>
    <n v="6619.2000000000025"/>
    <x v="8"/>
  </r>
  <r>
    <n v="1048"/>
    <d v="2023-02-23T00:00:00"/>
    <n v="159246.77709999998"/>
    <n v="47"/>
    <n v="4535.8599999999997"/>
    <n v="4641.41"/>
    <x v="29"/>
    <x v="0"/>
    <x v="1"/>
    <x v="1"/>
    <x v="1"/>
    <x v="2"/>
    <x v="1"/>
    <n v="105.55000000000018"/>
    <n v="4960.8500000000085"/>
    <x v="0"/>
  </r>
  <r>
    <n v="1020"/>
    <d v="2023-09-06T00:00:00"/>
    <n v="11680.8"/>
    <n v="4"/>
    <n v="3730"/>
    <n v="3893.6"/>
    <x v="26"/>
    <x v="2"/>
    <x v="3"/>
    <x v="2"/>
    <x v="1"/>
    <x v="1"/>
    <x v="1"/>
    <n v="163.59999999999991"/>
    <n v="654.39999999999964"/>
    <x v="2"/>
  </r>
  <r>
    <n v="1008"/>
    <d v="2023-08-27T00:00:00"/>
    <n v="88846.175999999992"/>
    <n v="40"/>
    <n v="2687.49"/>
    <n v="3001.56"/>
    <x v="16"/>
    <x v="1"/>
    <x v="2"/>
    <x v="2"/>
    <x v="0"/>
    <x v="1"/>
    <x v="0"/>
    <n v="314.07000000000016"/>
    <n v="12562.800000000007"/>
    <x v="3"/>
  </r>
  <r>
    <n v="1007"/>
    <d v="2023-08-17T00:00:00"/>
    <n v="53373.312000000005"/>
    <n v="16"/>
    <n v="4310.3100000000004"/>
    <n v="4633.1000000000004"/>
    <x v="24"/>
    <x v="3"/>
    <x v="3"/>
    <x v="0"/>
    <x v="1"/>
    <x v="2"/>
    <x v="1"/>
    <n v="322.78999999999996"/>
    <n v="5164.6399999999994"/>
    <x v="3"/>
  </r>
  <r>
    <n v="1067"/>
    <d v="2023-03-08T00:00:00"/>
    <n v="104363.65799999973"/>
    <n v="28"/>
    <n v="3489.85"/>
    <n v="3842.5499999999902"/>
    <x v="21"/>
    <x v="0"/>
    <x v="3"/>
    <x v="3"/>
    <x v="1"/>
    <x v="1"/>
    <x v="0"/>
    <n v="352.69999999999027"/>
    <n v="9875.5999999997275"/>
    <x v="4"/>
  </r>
  <r>
    <n v="1017"/>
    <d v="2023-02-20T00:00:00"/>
    <n v="2566.9632000000001"/>
    <n v="16"/>
    <n v="102.23"/>
    <n v="167.12"/>
    <x v="14"/>
    <x v="2"/>
    <x v="0"/>
    <x v="0"/>
    <x v="1"/>
    <x v="2"/>
    <x v="1"/>
    <n v="64.89"/>
    <n v="1038.24"/>
    <x v="0"/>
  </r>
  <r>
    <n v="1033"/>
    <d v="2023-04-07T00:00:00"/>
    <n v="8057.6067999999987"/>
    <n v="4"/>
    <n v="2000.75"/>
    <n v="2426.9899999999998"/>
    <x v="22"/>
    <x v="0"/>
    <x v="3"/>
    <x v="1"/>
    <x v="0"/>
    <x v="1"/>
    <x v="0"/>
    <n v="426.23999999999978"/>
    <n v="1704.9599999999991"/>
    <x v="1"/>
  </r>
  <r>
    <n v="1048"/>
    <d v="2023-04-02T00:00:00"/>
    <n v="148919.2335"/>
    <n v="45"/>
    <n v="4262.21"/>
    <n v="4533.3100000000004"/>
    <x v="29"/>
    <x v="1"/>
    <x v="2"/>
    <x v="3"/>
    <x v="0"/>
    <x v="2"/>
    <x v="0"/>
    <n v="271.10000000000036"/>
    <n v="12199.500000000016"/>
    <x v="1"/>
  </r>
  <r>
    <n v="1076"/>
    <d v="2023-09-21T00:00:00"/>
    <n v="36974.457000000002"/>
    <n v="26"/>
    <n v="1762"/>
    <n v="2002.95"/>
    <x v="12"/>
    <x v="0"/>
    <x v="0"/>
    <x v="3"/>
    <x v="0"/>
    <x v="2"/>
    <x v="1"/>
    <n v="240.95000000000005"/>
    <n v="6264.7000000000007"/>
    <x v="2"/>
  </r>
  <r>
    <n v="1059"/>
    <d v="2023-10-18T00:00:00"/>
    <n v="19821.463199999998"/>
    <n v="28"/>
    <n v="224.32"/>
    <n v="715.06"/>
    <x v="30"/>
    <x v="4"/>
    <x v="0"/>
    <x v="3"/>
    <x v="0"/>
    <x v="2"/>
    <x v="0"/>
    <n v="490.73999999999995"/>
    <n v="13740.72"/>
    <x v="7"/>
  </r>
  <r>
    <n v="1086"/>
    <d v="2023-04-06T00:00:00"/>
    <n v="117234.50240000001"/>
    <n v="32"/>
    <n v="3743.59"/>
    <n v="4116.38"/>
    <x v="1"/>
    <x v="2"/>
    <x v="1"/>
    <x v="3"/>
    <x v="0"/>
    <x v="0"/>
    <x v="0"/>
    <n v="372.78999999999996"/>
    <n v="11929.279999999999"/>
    <x v="1"/>
  </r>
  <r>
    <n v="1022"/>
    <d v="2023-03-29T00:00:00"/>
    <n v="172918.59299999996"/>
    <n v="45"/>
    <n v="4020.09"/>
    <n v="4087.91"/>
    <x v="18"/>
    <x v="0"/>
    <x v="1"/>
    <x v="0"/>
    <x v="0"/>
    <x v="1"/>
    <x v="0"/>
    <n v="67.819999999999709"/>
    <n v="3051.8999999999869"/>
    <x v="4"/>
  </r>
  <r>
    <n v="1030"/>
    <d v="2023-03-19T00:00:00"/>
    <n v="1887.4856000000002"/>
    <n v="2"/>
    <n v="844.94"/>
    <n v="1225.6400000000001"/>
    <x v="10"/>
    <x v="1"/>
    <x v="3"/>
    <x v="2"/>
    <x v="0"/>
    <x v="2"/>
    <x v="0"/>
    <n v="380.70000000000005"/>
    <n v="761.40000000000009"/>
    <x v="4"/>
  </r>
  <r>
    <n v="1038"/>
    <d v="2023-10-15T00:00:00"/>
    <n v="69467.066100000011"/>
    <n v="31"/>
    <n v="2709.84"/>
    <n v="2766.51"/>
    <x v="27"/>
    <x v="1"/>
    <x v="1"/>
    <x v="2"/>
    <x v="1"/>
    <x v="0"/>
    <x v="1"/>
    <n v="56.670000000000073"/>
    <n v="1756.7700000000023"/>
    <x v="7"/>
  </r>
  <r>
    <n v="1051"/>
    <d v="2023-04-30T00:00:00"/>
    <n v="2948.0832"/>
    <n v="3"/>
    <n v="1000.18"/>
    <n v="1023.64"/>
    <x v="14"/>
    <x v="0"/>
    <x v="1"/>
    <x v="1"/>
    <x v="0"/>
    <x v="2"/>
    <x v="0"/>
    <n v="23.460000000000036"/>
    <n v="70.380000000000109"/>
    <x v="1"/>
  </r>
  <r>
    <n v="1054"/>
    <d v="2023-10-29T00:00:00"/>
    <n v="25962.331999999999"/>
    <n v="8"/>
    <n v="3610.21"/>
    <n v="3817.99"/>
    <x v="25"/>
    <x v="1"/>
    <x v="1"/>
    <x v="2"/>
    <x v="0"/>
    <x v="0"/>
    <x v="1"/>
    <n v="207.77999999999975"/>
    <n v="1662.239999999998"/>
    <x v="7"/>
  </r>
  <r>
    <n v="1008"/>
    <d v="2023-06-14T00:00:00"/>
    <n v="35853.739199999996"/>
    <n v="24"/>
    <n v="1394.17"/>
    <n v="1891.02"/>
    <x v="5"/>
    <x v="3"/>
    <x v="0"/>
    <x v="2"/>
    <x v="1"/>
    <x v="2"/>
    <x v="0"/>
    <n v="496.84999999999991"/>
    <n v="11924.399999999998"/>
    <x v="6"/>
  </r>
  <r>
    <n v="1027"/>
    <d v="2023-07-01T00:00:00"/>
    <n v="19761.4725"/>
    <n v="15"/>
    <n v="1615.26"/>
    <n v="1710.95"/>
    <x v="10"/>
    <x v="3"/>
    <x v="0"/>
    <x v="2"/>
    <x v="1"/>
    <x v="2"/>
    <x v="1"/>
    <n v="95.690000000000055"/>
    <n v="1435.3500000000008"/>
    <x v="11"/>
  </r>
  <r>
    <n v="1027"/>
    <d v="2023-08-11T00:00:00"/>
    <n v="194638.9797"/>
    <n v="43"/>
    <n v="4232.6099999999997"/>
    <n v="4572.21"/>
    <x v="30"/>
    <x v="3"/>
    <x v="0"/>
    <x v="2"/>
    <x v="1"/>
    <x v="0"/>
    <x v="1"/>
    <n v="339.60000000000036"/>
    <n v="14602.800000000016"/>
    <x v="3"/>
  </r>
  <r>
    <n v="1098"/>
    <d v="2023-11-07T00:00:00"/>
    <n v="56637.458800000008"/>
    <n v="31"/>
    <n v="2407.8000000000002"/>
    <n v="2502.7600000000002"/>
    <x v="29"/>
    <x v="4"/>
    <x v="1"/>
    <x v="1"/>
    <x v="0"/>
    <x v="0"/>
    <x v="1"/>
    <n v="94.960000000000036"/>
    <n v="2943.7600000000011"/>
    <x v="8"/>
  </r>
  <r>
    <n v="1021"/>
    <d v="2023-01-07T00:00:00"/>
    <n v="27866.312099999996"/>
    <n v="9"/>
    <n v="3365.28"/>
    <n v="3730.43"/>
    <x v="22"/>
    <x v="0"/>
    <x v="0"/>
    <x v="0"/>
    <x v="1"/>
    <x v="1"/>
    <x v="0"/>
    <n v="365.14999999999964"/>
    <n v="3286.3499999999967"/>
    <x v="5"/>
  </r>
  <r>
    <n v="1030"/>
    <d v="2023-11-26T00:00:00"/>
    <n v="68153.326799999995"/>
    <n v="39"/>
    <n v="2041.75"/>
    <n v="2299.37"/>
    <x v="19"/>
    <x v="4"/>
    <x v="1"/>
    <x v="3"/>
    <x v="0"/>
    <x v="1"/>
    <x v="1"/>
    <n v="257.61999999999989"/>
    <n v="10047.179999999997"/>
    <x v="8"/>
  </r>
  <r>
    <n v="1097"/>
    <d v="2023-09-20T00:00:00"/>
    <n v="63896.543999999994"/>
    <n v="45"/>
    <n v="1525.13"/>
    <n v="1868.32"/>
    <x v="19"/>
    <x v="1"/>
    <x v="0"/>
    <x v="2"/>
    <x v="0"/>
    <x v="0"/>
    <x v="1"/>
    <n v="343.18999999999983"/>
    <n v="15443.549999999992"/>
    <x v="2"/>
  </r>
  <r>
    <n v="1028"/>
    <d v="2023-06-10T00:00:00"/>
    <n v="6120.3963999999814"/>
    <n v="2"/>
    <n v="3146.12"/>
    <n v="3255.5299999999902"/>
    <x v="18"/>
    <x v="4"/>
    <x v="0"/>
    <x v="0"/>
    <x v="0"/>
    <x v="1"/>
    <x v="0"/>
    <n v="109.4099999999903"/>
    <n v="218.81999999998061"/>
    <x v="6"/>
  </r>
  <r>
    <n v="1064"/>
    <d v="2023-05-31T00:00:00"/>
    <n v="9249.1440000000002"/>
    <n v="8"/>
    <n v="816.54"/>
    <n v="1191.9000000000001"/>
    <x v="21"/>
    <x v="1"/>
    <x v="2"/>
    <x v="2"/>
    <x v="1"/>
    <x v="0"/>
    <x v="1"/>
    <n v="375.36000000000013"/>
    <n v="3002.880000000001"/>
    <x v="10"/>
  </r>
  <r>
    <n v="1097"/>
    <d v="2023-03-26T00:00:00"/>
    <n v="13072.331999999999"/>
    <n v="7"/>
    <n v="1896.35"/>
    <n v="2394.1999999999998"/>
    <x v="20"/>
    <x v="1"/>
    <x v="3"/>
    <x v="2"/>
    <x v="1"/>
    <x v="1"/>
    <x v="0"/>
    <n v="497.84999999999991"/>
    <n v="3484.9499999999994"/>
    <x v="4"/>
  </r>
  <r>
    <n v="1069"/>
    <d v="2023-05-27T00:00:00"/>
    <n v="59393.62"/>
    <n v="44"/>
    <n v="1084.73"/>
    <n v="1420.9"/>
    <x v="8"/>
    <x v="2"/>
    <x v="1"/>
    <x v="3"/>
    <x v="0"/>
    <x v="2"/>
    <x v="0"/>
    <n v="336.17000000000007"/>
    <n v="14791.480000000003"/>
    <x v="10"/>
  </r>
  <r>
    <n v="1061"/>
    <d v="2023-04-22T00:00:00"/>
    <n v="109570.5"/>
    <n v="39"/>
    <n v="3494.19"/>
    <n v="3746"/>
    <x v="26"/>
    <x v="3"/>
    <x v="2"/>
    <x v="3"/>
    <x v="0"/>
    <x v="1"/>
    <x v="1"/>
    <n v="251.80999999999995"/>
    <n v="9820.5899999999983"/>
    <x v="1"/>
  </r>
  <r>
    <n v="1048"/>
    <d v="2023-02-05T00:00:00"/>
    <n v="169899.58439999999"/>
    <n v="42"/>
    <n v="4723.83"/>
    <n v="5186.1899999999996"/>
    <x v="20"/>
    <x v="1"/>
    <x v="0"/>
    <x v="3"/>
    <x v="0"/>
    <x v="2"/>
    <x v="0"/>
    <n v="462.35999999999967"/>
    <n v="19419.119999999988"/>
    <x v="0"/>
  </r>
  <r>
    <n v="1019"/>
    <d v="2023-10-12T00:00:00"/>
    <n v="59946.600000000006"/>
    <n v="16"/>
    <n v="4977.78"/>
    <n v="4995.55"/>
    <x v="26"/>
    <x v="2"/>
    <x v="1"/>
    <x v="2"/>
    <x v="1"/>
    <x v="2"/>
    <x v="0"/>
    <n v="17.770000000000437"/>
    <n v="284.32000000000698"/>
    <x v="7"/>
  </r>
  <r>
    <n v="1004"/>
    <d v="2023-07-07T00:00:00"/>
    <n v="84291.980499999685"/>
    <n v="35"/>
    <n v="2278.87"/>
    <n v="2646.5299999999902"/>
    <x v="0"/>
    <x v="3"/>
    <x v="0"/>
    <x v="2"/>
    <x v="0"/>
    <x v="1"/>
    <x v="0"/>
    <n v="367.6599999999903"/>
    <n v="12868.09999999966"/>
    <x v="11"/>
  </r>
  <r>
    <n v="1035"/>
    <d v="2023-03-23T00:00:00"/>
    <n v="47652.696000000004"/>
    <n v="30"/>
    <n v="1300.03"/>
    <n v="1745.52"/>
    <x v="0"/>
    <x v="1"/>
    <x v="3"/>
    <x v="2"/>
    <x v="1"/>
    <x v="0"/>
    <x v="1"/>
    <n v="445.49"/>
    <n v="13364.7"/>
    <x v="4"/>
  </r>
  <r>
    <n v="1064"/>
    <d v="2023-01-02T00:00:00"/>
    <n v="18257.84"/>
    <n v="10"/>
    <n v="2242.0100000000002"/>
    <n v="2282.23"/>
    <x v="2"/>
    <x v="1"/>
    <x v="2"/>
    <x v="3"/>
    <x v="0"/>
    <x v="2"/>
    <x v="0"/>
    <n v="40.2199999999998"/>
    <n v="402.199999999998"/>
    <x v="5"/>
  </r>
  <r>
    <n v="1049"/>
    <d v="2023-10-30T00:00:00"/>
    <n v="168331.06619999962"/>
    <n v="38"/>
    <n v="4243.9799999999996"/>
    <n v="4474.5099999999902"/>
    <x v="30"/>
    <x v="4"/>
    <x v="3"/>
    <x v="1"/>
    <x v="1"/>
    <x v="2"/>
    <x v="0"/>
    <n v="230.52999999999065"/>
    <n v="8760.1399999996447"/>
    <x v="7"/>
  </r>
  <r>
    <n v="1017"/>
    <d v="2023-07-16T00:00:00"/>
    <n v="16567.761600000002"/>
    <n v="18"/>
    <n v="1069.73"/>
    <n v="1180.04"/>
    <x v="20"/>
    <x v="4"/>
    <x v="2"/>
    <x v="0"/>
    <x v="0"/>
    <x v="1"/>
    <x v="0"/>
    <n v="110.30999999999995"/>
    <n v="1985.579999999999"/>
    <x v="11"/>
  </r>
  <r>
    <n v="1044"/>
    <d v="2023-01-11T00:00:00"/>
    <n v="18939.224999999999"/>
    <n v="5"/>
    <n v="4762.87"/>
    <n v="5050.46"/>
    <x v="26"/>
    <x v="3"/>
    <x v="0"/>
    <x v="1"/>
    <x v="1"/>
    <x v="0"/>
    <x v="1"/>
    <n v="287.59000000000015"/>
    <n v="1437.9500000000007"/>
    <x v="5"/>
  </r>
  <r>
    <n v="1092"/>
    <d v="2023-08-22T00:00:00"/>
    <n v="52839.670400000003"/>
    <n v="29"/>
    <n v="1742.24"/>
    <n v="2070.52"/>
    <x v="7"/>
    <x v="1"/>
    <x v="3"/>
    <x v="2"/>
    <x v="1"/>
    <x v="0"/>
    <x v="0"/>
    <n v="328.28"/>
    <n v="9520.119999999999"/>
    <x v="3"/>
  </r>
  <r>
    <n v="1030"/>
    <d v="2023-07-14T00:00:00"/>
    <n v="152793.2405999997"/>
    <n v="39"/>
    <n v="4929.7299999999996"/>
    <n v="5088.0199999999904"/>
    <x v="10"/>
    <x v="0"/>
    <x v="3"/>
    <x v="2"/>
    <x v="1"/>
    <x v="1"/>
    <x v="1"/>
    <n v="158.28999999999087"/>
    <n v="6173.3099999996439"/>
    <x v="11"/>
  </r>
  <r>
    <n v="1093"/>
    <d v="2023-04-29T00:00:00"/>
    <n v="143298.94999999998"/>
    <n v="34"/>
    <n v="4201.1099999999997"/>
    <n v="4436.5"/>
    <x v="8"/>
    <x v="4"/>
    <x v="0"/>
    <x v="1"/>
    <x v="1"/>
    <x v="0"/>
    <x v="0"/>
    <n v="235.39000000000033"/>
    <n v="8003.2600000000111"/>
    <x v="1"/>
  </r>
  <r>
    <n v="1046"/>
    <d v="2023-01-20T00:00:00"/>
    <n v="162512.91"/>
    <n v="43"/>
    <n v="4052.42"/>
    <n v="4199.3"/>
    <x v="15"/>
    <x v="3"/>
    <x v="3"/>
    <x v="2"/>
    <x v="1"/>
    <x v="1"/>
    <x v="1"/>
    <n v="146.88000000000011"/>
    <n v="6315.8400000000047"/>
    <x v="5"/>
  </r>
  <r>
    <n v="1006"/>
    <d v="2023-09-18T00:00:00"/>
    <n v="57977.428500000002"/>
    <n v="45"/>
    <n v="1623.63"/>
    <n v="1814.63"/>
    <x v="12"/>
    <x v="1"/>
    <x v="1"/>
    <x v="0"/>
    <x v="1"/>
    <x v="1"/>
    <x v="1"/>
    <n v="191"/>
    <n v="8595"/>
    <x v="2"/>
  </r>
  <r>
    <n v="1099"/>
    <d v="2023-10-20T00:00:00"/>
    <n v="2924.0819999999999"/>
    <n v="23"/>
    <n v="93.45"/>
    <n v="181.62"/>
    <x v="23"/>
    <x v="1"/>
    <x v="2"/>
    <x v="2"/>
    <x v="0"/>
    <x v="1"/>
    <x v="1"/>
    <n v="88.17"/>
    <n v="2027.91"/>
    <x v="7"/>
  </r>
  <r>
    <n v="1037"/>
    <d v="2023-09-13T00:00:00"/>
    <n v="10138.289999999999"/>
    <n v="5"/>
    <n v="1941.56"/>
    <n v="2385.48"/>
    <x v="25"/>
    <x v="0"/>
    <x v="2"/>
    <x v="0"/>
    <x v="0"/>
    <x v="2"/>
    <x v="0"/>
    <n v="443.92000000000007"/>
    <n v="2219.6000000000004"/>
    <x v="2"/>
  </r>
  <r>
    <n v="1024"/>
    <d v="2023-08-10T00:00:00"/>
    <n v="33671.591999999997"/>
    <n v="30"/>
    <n v="1543.96"/>
    <n v="1558.87"/>
    <x v="24"/>
    <x v="3"/>
    <x v="2"/>
    <x v="1"/>
    <x v="0"/>
    <x v="2"/>
    <x v="0"/>
    <n v="14.909999999999854"/>
    <n v="447.29999999999563"/>
    <x v="3"/>
  </r>
  <r>
    <n v="1093"/>
    <d v="2023-08-14T00:00:00"/>
    <n v="3414.6"/>
    <n v="6"/>
    <n v="235.12"/>
    <n v="677.5"/>
    <x v="28"/>
    <x v="1"/>
    <x v="1"/>
    <x v="1"/>
    <x v="0"/>
    <x v="2"/>
    <x v="0"/>
    <n v="442.38"/>
    <n v="2654.2799999999997"/>
    <x v="3"/>
  </r>
  <r>
    <n v="1046"/>
    <d v="2023-02-22T00:00:00"/>
    <n v="118952.7248"/>
    <n v="46"/>
    <n v="2551.56"/>
    <n v="2841.68"/>
    <x v="0"/>
    <x v="4"/>
    <x v="2"/>
    <x v="2"/>
    <x v="1"/>
    <x v="1"/>
    <x v="1"/>
    <n v="290.11999999999989"/>
    <n v="13345.519999999995"/>
    <x v="0"/>
  </r>
  <r>
    <n v="1053"/>
    <d v="2023-12-21T00:00:00"/>
    <n v="89764.804800000013"/>
    <n v="44"/>
    <n v="2045"/>
    <n v="2217.5100000000002"/>
    <x v="4"/>
    <x v="0"/>
    <x v="0"/>
    <x v="0"/>
    <x v="0"/>
    <x v="2"/>
    <x v="0"/>
    <n v="172.51000000000022"/>
    <n v="7590.4400000000096"/>
    <x v="9"/>
  </r>
  <r>
    <n v="1095"/>
    <d v="2023-12-08T00:00:00"/>
    <n v="10239.407999999999"/>
    <n v="4"/>
    <n v="3191.05"/>
    <n v="3555.35"/>
    <x v="24"/>
    <x v="3"/>
    <x v="3"/>
    <x v="2"/>
    <x v="1"/>
    <x v="2"/>
    <x v="0"/>
    <n v="364.29999999999973"/>
    <n v="1457.1999999999989"/>
    <x v="9"/>
  </r>
  <r>
    <n v="1099"/>
    <d v="2023-12-30T00:00:00"/>
    <n v="93220.108500000002"/>
    <n v="29"/>
    <n v="3124.87"/>
    <n v="3383.67"/>
    <x v="8"/>
    <x v="0"/>
    <x v="1"/>
    <x v="3"/>
    <x v="1"/>
    <x v="2"/>
    <x v="1"/>
    <n v="258.80000000000018"/>
    <n v="7505.2000000000053"/>
    <x v="9"/>
  </r>
  <r>
    <n v="1060"/>
    <d v="2023-10-07T00:00:00"/>
    <n v="17224.143399999997"/>
    <n v="23"/>
    <n v="647.70000000000005"/>
    <n v="902.26"/>
    <x v="22"/>
    <x v="4"/>
    <x v="2"/>
    <x v="3"/>
    <x v="1"/>
    <x v="1"/>
    <x v="0"/>
    <n v="254.55999999999995"/>
    <n v="5854.8799999999992"/>
    <x v="7"/>
  </r>
  <r>
    <n v="1097"/>
    <d v="2023-03-22T00:00:00"/>
    <n v="24650.750999999997"/>
    <n v="6"/>
    <n v="4885.9799999999996"/>
    <n v="4949.95"/>
    <x v="22"/>
    <x v="3"/>
    <x v="0"/>
    <x v="3"/>
    <x v="0"/>
    <x v="1"/>
    <x v="0"/>
    <n v="63.970000000000255"/>
    <n v="383.82000000000153"/>
    <x v="4"/>
  </r>
  <r>
    <n v="1063"/>
    <d v="2023-07-21T00:00:00"/>
    <n v="29357.203200000004"/>
    <n v="32"/>
    <n v="975.31"/>
    <n v="1176.17"/>
    <x v="20"/>
    <x v="0"/>
    <x v="3"/>
    <x v="3"/>
    <x v="1"/>
    <x v="1"/>
    <x v="1"/>
    <n v="200.86000000000013"/>
    <n v="6427.5200000000041"/>
    <x v="11"/>
  </r>
  <r>
    <n v="1085"/>
    <d v="2023-06-07T00:00:00"/>
    <n v="85045.611000000004"/>
    <n v="42"/>
    <n v="2254.11"/>
    <n v="2382.23"/>
    <x v="25"/>
    <x v="2"/>
    <x v="3"/>
    <x v="2"/>
    <x v="0"/>
    <x v="2"/>
    <x v="1"/>
    <n v="128.11999999999989"/>
    <n v="5381.0399999999954"/>
    <x v="6"/>
  </r>
  <r>
    <n v="1032"/>
    <d v="2023-04-30T00:00:00"/>
    <n v="41132.887199999997"/>
    <n v="18"/>
    <n v="2466.1799999999998"/>
    <n v="2483.87"/>
    <x v="4"/>
    <x v="4"/>
    <x v="1"/>
    <x v="3"/>
    <x v="0"/>
    <x v="0"/>
    <x v="0"/>
    <n v="17.690000000000055"/>
    <n v="318.42000000000098"/>
    <x v="1"/>
  </r>
  <r>
    <n v="1087"/>
    <d v="2023-02-28T00:00:00"/>
    <n v="60720.81749999999"/>
    <n v="15"/>
    <n v="4074.66"/>
    <n v="4261.1099999999997"/>
    <x v="8"/>
    <x v="4"/>
    <x v="1"/>
    <x v="0"/>
    <x v="0"/>
    <x v="2"/>
    <x v="1"/>
    <n v="186.44999999999982"/>
    <n v="2796.7499999999973"/>
    <x v="0"/>
  </r>
  <r>
    <n v="1033"/>
    <d v="2023-08-03T00:00:00"/>
    <n v="19284.48"/>
    <n v="40"/>
    <n v="541.19000000000005"/>
    <n v="595.20000000000005"/>
    <x v="27"/>
    <x v="4"/>
    <x v="1"/>
    <x v="1"/>
    <x v="0"/>
    <x v="2"/>
    <x v="0"/>
    <n v="54.009999999999991"/>
    <n v="2160.3999999999996"/>
    <x v="3"/>
  </r>
  <r>
    <n v="1067"/>
    <d v="2023-05-08T00:00:00"/>
    <n v="57598.6944"/>
    <n v="32"/>
    <n v="2171.79"/>
    <n v="2307.64"/>
    <x v="20"/>
    <x v="2"/>
    <x v="0"/>
    <x v="1"/>
    <x v="0"/>
    <x v="1"/>
    <x v="0"/>
    <n v="135.84999999999991"/>
    <n v="4347.1999999999971"/>
    <x v="10"/>
  </r>
  <r>
    <n v="1018"/>
    <d v="2023-08-12T00:00:00"/>
    <n v="24026.657399999996"/>
    <n v="9"/>
    <n v="3161.09"/>
    <n v="3216.42"/>
    <x v="22"/>
    <x v="2"/>
    <x v="0"/>
    <x v="3"/>
    <x v="1"/>
    <x v="1"/>
    <x v="0"/>
    <n v="55.329999999999927"/>
    <n v="497.96999999999935"/>
    <x v="3"/>
  </r>
  <r>
    <n v="1025"/>
    <d v="2023-07-28T00:00:00"/>
    <n v="33895.4928"/>
    <n v="37"/>
    <n v="1115.02"/>
    <n v="1174.48"/>
    <x v="20"/>
    <x v="1"/>
    <x v="1"/>
    <x v="3"/>
    <x v="1"/>
    <x v="2"/>
    <x v="0"/>
    <n v="59.460000000000036"/>
    <n v="2200.0200000000013"/>
    <x v="11"/>
  </r>
  <r>
    <n v="1095"/>
    <d v="2023-04-25T00:00:00"/>
    <n v="31329.503999999997"/>
    <n v="10"/>
    <n v="3155.97"/>
    <n v="3263.49"/>
    <x v="14"/>
    <x v="0"/>
    <x v="2"/>
    <x v="3"/>
    <x v="0"/>
    <x v="2"/>
    <x v="0"/>
    <n v="107.51999999999998"/>
    <n v="1075.1999999999998"/>
    <x v="1"/>
  </r>
  <r>
    <n v="1054"/>
    <d v="2023-07-28T00:00:00"/>
    <n v="75806.635999999999"/>
    <n v="20"/>
    <n v="4622.1400000000003"/>
    <n v="5122.07"/>
    <x v="16"/>
    <x v="1"/>
    <x v="3"/>
    <x v="2"/>
    <x v="1"/>
    <x v="0"/>
    <x v="1"/>
    <n v="499.92999999999938"/>
    <n v="9998.5999999999876"/>
    <x v="11"/>
  </r>
  <r>
    <n v="1058"/>
    <d v="2023-01-14T00:00:00"/>
    <n v="24893.9244"/>
    <n v="6"/>
    <n v="4987.71"/>
    <n v="4998.78"/>
    <x v="22"/>
    <x v="0"/>
    <x v="3"/>
    <x v="1"/>
    <x v="0"/>
    <x v="0"/>
    <x v="1"/>
    <n v="11.069999999999709"/>
    <n v="66.419999999998254"/>
    <x v="5"/>
  </r>
  <r>
    <n v="1067"/>
    <d v="2023-01-09T00:00:00"/>
    <n v="24587.366399999955"/>
    <n v="48"/>
    <n v="210.63"/>
    <n v="533.57999999999902"/>
    <x v="14"/>
    <x v="2"/>
    <x v="0"/>
    <x v="3"/>
    <x v="1"/>
    <x v="1"/>
    <x v="0"/>
    <n v="322.94999999999902"/>
    <n v="15501.599999999953"/>
    <x v="5"/>
  </r>
  <r>
    <n v="1046"/>
    <d v="2023-02-09T00:00:00"/>
    <n v="3342.0545999999995"/>
    <n v="3"/>
    <n v="1216.1600000000001"/>
    <n v="1295.3699999999999"/>
    <x v="6"/>
    <x v="2"/>
    <x v="3"/>
    <x v="0"/>
    <x v="1"/>
    <x v="0"/>
    <x v="1"/>
    <n v="79.209999999999809"/>
    <n v="237.62999999999943"/>
    <x v="0"/>
  </r>
  <r>
    <n v="1024"/>
    <d v="2023-08-25T00:00:00"/>
    <n v="64484.595000000001"/>
    <n v="42"/>
    <n v="1586.02"/>
    <n v="2047.13"/>
    <x v="26"/>
    <x v="1"/>
    <x v="2"/>
    <x v="3"/>
    <x v="1"/>
    <x v="0"/>
    <x v="1"/>
    <n v="461.11000000000013"/>
    <n v="19366.620000000006"/>
    <x v="3"/>
  </r>
  <r>
    <n v="1032"/>
    <d v="2023-10-08T00:00:00"/>
    <n v="16714.846500000003"/>
    <n v="11"/>
    <n v="2025.67"/>
    <n v="2081.5500000000002"/>
    <x v="29"/>
    <x v="3"/>
    <x v="3"/>
    <x v="1"/>
    <x v="1"/>
    <x v="1"/>
    <x v="0"/>
    <n v="55.880000000000109"/>
    <n v="614.6800000000012"/>
    <x v="7"/>
  </r>
  <r>
    <n v="1047"/>
    <d v="2023-12-25T00:00:00"/>
    <n v="68326.054000000004"/>
    <n v="43"/>
    <n v="1249.17"/>
    <n v="1727.15"/>
    <x v="4"/>
    <x v="1"/>
    <x v="0"/>
    <x v="3"/>
    <x v="1"/>
    <x v="0"/>
    <x v="1"/>
    <n v="477.98"/>
    <n v="20553.14"/>
    <x v="9"/>
  </r>
  <r>
    <n v="1086"/>
    <d v="2023-07-20T00:00:00"/>
    <n v="18353.706599999998"/>
    <n v="17"/>
    <n v="1057.27"/>
    <n v="1366.62"/>
    <x v="5"/>
    <x v="0"/>
    <x v="0"/>
    <x v="1"/>
    <x v="1"/>
    <x v="2"/>
    <x v="1"/>
    <n v="309.34999999999991"/>
    <n v="5258.9499999999989"/>
    <x v="11"/>
  </r>
  <r>
    <n v="1023"/>
    <d v="2023-09-03T00:00:00"/>
    <n v="148546.88639999999"/>
    <n v="32"/>
    <n v="4775.04"/>
    <n v="4785.66"/>
    <x v="21"/>
    <x v="1"/>
    <x v="2"/>
    <x v="3"/>
    <x v="1"/>
    <x v="0"/>
    <x v="0"/>
    <n v="10.619999999999891"/>
    <n v="339.83999999999651"/>
    <x v="2"/>
  </r>
  <r>
    <n v="1066"/>
    <d v="2023-10-05T00:00:00"/>
    <n v="19977.170399999999"/>
    <n v="4"/>
    <n v="4596.68"/>
    <n v="5044.74"/>
    <x v="30"/>
    <x v="4"/>
    <x v="2"/>
    <x v="0"/>
    <x v="1"/>
    <x v="1"/>
    <x v="0"/>
    <n v="448.05999999999949"/>
    <n v="1792.239999999998"/>
    <x v="7"/>
  </r>
  <r>
    <n v="1027"/>
    <d v="2023-08-23T00:00:00"/>
    <n v="1820.1899999999998"/>
    <n v="4"/>
    <n v="282.61"/>
    <n v="548.25"/>
    <x v="22"/>
    <x v="0"/>
    <x v="3"/>
    <x v="3"/>
    <x v="1"/>
    <x v="2"/>
    <x v="0"/>
    <n v="265.64"/>
    <n v="1062.56"/>
    <x v="3"/>
  </r>
  <r>
    <n v="1002"/>
    <d v="2023-01-04T00:00:00"/>
    <n v="25058.0969"/>
    <n v="17"/>
    <n v="1727.12"/>
    <n v="1865.83"/>
    <x v="5"/>
    <x v="0"/>
    <x v="3"/>
    <x v="0"/>
    <x v="1"/>
    <x v="0"/>
    <x v="0"/>
    <n v="138.71000000000004"/>
    <n v="2358.0700000000006"/>
    <x v="5"/>
  </r>
  <r>
    <n v="1090"/>
    <d v="2023-06-03T00:00:00"/>
    <n v="76075.893599999996"/>
    <n v="41"/>
    <n v="2055.4899999999998"/>
    <n v="2441.46"/>
    <x v="19"/>
    <x v="3"/>
    <x v="0"/>
    <x v="0"/>
    <x v="1"/>
    <x v="2"/>
    <x v="0"/>
    <n v="385.97000000000025"/>
    <n v="15824.770000000011"/>
    <x v="6"/>
  </r>
  <r>
    <n v="1017"/>
    <d v="2023-01-29T00:00:00"/>
    <n v="29021.94899999983"/>
    <n v="19"/>
    <n v="1233.1199999999999"/>
    <n v="1697.1899999999901"/>
    <x v="15"/>
    <x v="2"/>
    <x v="2"/>
    <x v="3"/>
    <x v="1"/>
    <x v="2"/>
    <x v="0"/>
    <n v="464.06999999999016"/>
    <n v="8817.3299999998126"/>
    <x v="5"/>
  </r>
  <r>
    <n v="1033"/>
    <d v="2023-04-19T00:00:00"/>
    <n v="17049.649999999998"/>
    <n v="5"/>
    <n v="3162.92"/>
    <n v="3409.93"/>
    <x v="11"/>
    <x v="0"/>
    <x v="2"/>
    <x v="0"/>
    <x v="1"/>
    <x v="0"/>
    <x v="0"/>
    <n v="247.00999999999976"/>
    <n v="1235.0499999999988"/>
    <x v="1"/>
  </r>
  <r>
    <n v="1009"/>
    <d v="2023-04-08T00:00:00"/>
    <n v="93141.440000000002"/>
    <n v="32"/>
    <n v="3219.88"/>
    <n v="3384.5"/>
    <x v="6"/>
    <x v="2"/>
    <x v="2"/>
    <x v="2"/>
    <x v="0"/>
    <x v="0"/>
    <x v="1"/>
    <n v="164.61999999999989"/>
    <n v="5267.8399999999965"/>
    <x v="1"/>
  </r>
  <r>
    <n v="1043"/>
    <d v="2023-08-03T00:00:00"/>
    <n v="102444.76"/>
    <n v="22"/>
    <n v="4260"/>
    <n v="4656.58"/>
    <x v="11"/>
    <x v="1"/>
    <x v="3"/>
    <x v="3"/>
    <x v="1"/>
    <x v="1"/>
    <x v="0"/>
    <n v="396.57999999999993"/>
    <n v="8724.7599999999984"/>
    <x v="3"/>
  </r>
  <r>
    <n v="1048"/>
    <d v="2023-10-20T00:00:00"/>
    <n v="23637.1734"/>
    <n v="6"/>
    <n v="3717.3"/>
    <n v="4061.37"/>
    <x v="21"/>
    <x v="4"/>
    <x v="2"/>
    <x v="3"/>
    <x v="1"/>
    <x v="1"/>
    <x v="1"/>
    <n v="344.06999999999971"/>
    <n v="2064.4199999999983"/>
    <x v="7"/>
  </r>
  <r>
    <n v="1039"/>
    <d v="2023-03-16T00:00:00"/>
    <n v="100208.74499999969"/>
    <n v="35"/>
    <n v="2735.74"/>
    <n v="3181.22999999999"/>
    <x v="15"/>
    <x v="3"/>
    <x v="0"/>
    <x v="0"/>
    <x v="1"/>
    <x v="2"/>
    <x v="1"/>
    <n v="445.48999999999023"/>
    <n v="15592.149999999658"/>
    <x v="4"/>
  </r>
  <r>
    <n v="1093"/>
    <d v="2023-11-22T00:00:00"/>
    <n v="69565.861199999999"/>
    <n v="22"/>
    <n v="3285.25"/>
    <n v="3634.58"/>
    <x v="9"/>
    <x v="2"/>
    <x v="0"/>
    <x v="0"/>
    <x v="1"/>
    <x v="1"/>
    <x v="0"/>
    <n v="349.32999999999993"/>
    <n v="7685.2599999999984"/>
    <x v="8"/>
  </r>
  <r>
    <n v="1042"/>
    <d v="2023-05-26T00:00:00"/>
    <n v="1412.7244000000001"/>
    <n v="1"/>
    <n v="1406.24"/>
    <n v="1535.57"/>
    <x v="4"/>
    <x v="0"/>
    <x v="3"/>
    <x v="3"/>
    <x v="1"/>
    <x v="2"/>
    <x v="1"/>
    <n v="129.32999999999993"/>
    <n v="129.32999999999993"/>
    <x v="10"/>
  </r>
  <r>
    <n v="1026"/>
    <d v="2023-05-08T00:00:00"/>
    <n v="57305.523999999998"/>
    <n v="20"/>
    <n v="2985.63"/>
    <n v="3452.14"/>
    <x v="22"/>
    <x v="2"/>
    <x v="1"/>
    <x v="2"/>
    <x v="1"/>
    <x v="2"/>
    <x v="1"/>
    <n v="466.50999999999976"/>
    <n v="9330.1999999999953"/>
    <x v="10"/>
  </r>
  <r>
    <n v="1099"/>
    <d v="2023-12-07T00:00:00"/>
    <n v="54612.342399999994"/>
    <n v="22"/>
    <n v="2471.67"/>
    <n v="2533.04"/>
    <x v="3"/>
    <x v="0"/>
    <x v="3"/>
    <x v="0"/>
    <x v="0"/>
    <x v="1"/>
    <x v="1"/>
    <n v="61.369999999999891"/>
    <n v="1350.1399999999976"/>
    <x v="9"/>
  </r>
  <r>
    <n v="1050"/>
    <d v="2023-02-11T00:00:00"/>
    <n v="39230.207999999955"/>
    <n v="48"/>
    <n v="710.06"/>
    <n v="851.349999999999"/>
    <x v="14"/>
    <x v="2"/>
    <x v="1"/>
    <x v="0"/>
    <x v="0"/>
    <x v="1"/>
    <x v="0"/>
    <n v="141.28999999999905"/>
    <n v="6781.9199999999546"/>
    <x v="0"/>
  </r>
  <r>
    <n v="1025"/>
    <d v="2023-12-22T00:00:00"/>
    <n v="13169.608099999914"/>
    <n v="11"/>
    <n v="1250.5899999999999"/>
    <n v="1515.48999999999"/>
    <x v="5"/>
    <x v="0"/>
    <x v="2"/>
    <x v="1"/>
    <x v="0"/>
    <x v="1"/>
    <x v="1"/>
    <n v="264.89999999999009"/>
    <n v="2913.899999999891"/>
    <x v="9"/>
  </r>
  <r>
    <n v="1024"/>
    <d v="2023-02-10T00:00:00"/>
    <n v="22228.003199999999"/>
    <n v="13"/>
    <n v="1493.88"/>
    <n v="1781.09"/>
    <x v="14"/>
    <x v="1"/>
    <x v="3"/>
    <x v="2"/>
    <x v="1"/>
    <x v="0"/>
    <x v="1"/>
    <n v="287.20999999999981"/>
    <n v="3733.7299999999977"/>
    <x v="0"/>
  </r>
  <r>
    <n v="1013"/>
    <d v="2023-02-03T00:00:00"/>
    <n v="157949.0766"/>
    <n v="42"/>
    <n v="4625.33"/>
    <n v="4642.83"/>
    <x v="27"/>
    <x v="0"/>
    <x v="0"/>
    <x v="2"/>
    <x v="1"/>
    <x v="2"/>
    <x v="0"/>
    <n v="17.5"/>
    <n v="735"/>
    <x v="0"/>
  </r>
  <r>
    <n v="1060"/>
    <d v="2023-01-17T00:00:00"/>
    <n v="4653.6966000000002"/>
    <n v="3"/>
    <n v="1190.4100000000001"/>
    <n v="1582.89"/>
    <x v="3"/>
    <x v="0"/>
    <x v="2"/>
    <x v="3"/>
    <x v="1"/>
    <x v="2"/>
    <x v="1"/>
    <n v="392.48"/>
    <n v="1177.44"/>
    <x v="5"/>
  </r>
  <r>
    <n v="1007"/>
    <d v="2023-06-14T00:00:00"/>
    <n v="13218.084000000001"/>
    <n v="9"/>
    <n v="1481.76"/>
    <n v="1668.95"/>
    <x v="7"/>
    <x v="4"/>
    <x v="0"/>
    <x v="2"/>
    <x v="0"/>
    <x v="2"/>
    <x v="1"/>
    <n v="187.19000000000005"/>
    <n v="1684.7100000000005"/>
    <x v="6"/>
  </r>
  <r>
    <n v="1057"/>
    <d v="2023-06-02T00:00:00"/>
    <n v="23796.929999999997"/>
    <n v="12"/>
    <n v="1878.3"/>
    <n v="2087.4499999999998"/>
    <x v="8"/>
    <x v="0"/>
    <x v="2"/>
    <x v="3"/>
    <x v="1"/>
    <x v="1"/>
    <x v="1"/>
    <n v="209.14999999999986"/>
    <n v="2509.7999999999984"/>
    <x v="6"/>
  </r>
  <r>
    <n v="1036"/>
    <d v="2023-03-17T00:00:00"/>
    <n v="83486.697199999995"/>
    <n v="23"/>
    <n v="3335.53"/>
    <n v="3742.12"/>
    <x v="21"/>
    <x v="4"/>
    <x v="3"/>
    <x v="1"/>
    <x v="1"/>
    <x v="1"/>
    <x v="1"/>
    <n v="406.58999999999969"/>
    <n v="9351.5699999999924"/>
    <x v="4"/>
  </r>
  <r>
    <n v="1045"/>
    <d v="2023-03-28T00:00:00"/>
    <n v="9657.730599999999"/>
    <n v="14"/>
    <n v="635.28"/>
    <n v="831.13"/>
    <x v="22"/>
    <x v="3"/>
    <x v="1"/>
    <x v="2"/>
    <x v="0"/>
    <x v="1"/>
    <x v="1"/>
    <n v="195.85000000000002"/>
    <n v="2741.9000000000005"/>
    <x v="4"/>
  </r>
  <r>
    <n v="1020"/>
    <d v="2023-04-27T00:00:00"/>
    <n v="114170.8392"/>
    <n v="33"/>
    <n v="4772.03"/>
    <n v="4805.17"/>
    <x v="24"/>
    <x v="4"/>
    <x v="2"/>
    <x v="0"/>
    <x v="0"/>
    <x v="1"/>
    <x v="0"/>
    <n v="33.140000000000327"/>
    <n v="1093.6200000000108"/>
    <x v="1"/>
  </r>
  <r>
    <n v="1065"/>
    <d v="2023-12-28T00:00:00"/>
    <n v="78163.545599999998"/>
    <n v="18"/>
    <n v="4334.58"/>
    <n v="4431.04"/>
    <x v="3"/>
    <x v="1"/>
    <x v="1"/>
    <x v="1"/>
    <x v="1"/>
    <x v="1"/>
    <x v="1"/>
    <n v="96.460000000000036"/>
    <n v="1736.2800000000007"/>
    <x v="9"/>
  </r>
  <r>
    <n v="1008"/>
    <d v="2023-12-08T00:00:00"/>
    <n v="144328.55429999958"/>
    <n v="49"/>
    <n v="2907.22"/>
    <n v="3385.6099999999901"/>
    <x v="9"/>
    <x v="4"/>
    <x v="2"/>
    <x v="3"/>
    <x v="1"/>
    <x v="0"/>
    <x v="0"/>
    <n v="478.38999999999032"/>
    <n v="23441.109999999528"/>
    <x v="9"/>
  </r>
  <r>
    <n v="1016"/>
    <d v="2023-01-27T00:00:00"/>
    <n v="111129.76610000001"/>
    <n v="41"/>
    <n v="3386.49"/>
    <n v="3430.99"/>
    <x v="5"/>
    <x v="3"/>
    <x v="0"/>
    <x v="1"/>
    <x v="1"/>
    <x v="1"/>
    <x v="1"/>
    <n v="44.5"/>
    <n v="1824.5"/>
    <x v="5"/>
  </r>
  <r>
    <n v="1014"/>
    <d v="2023-11-09T00:00:00"/>
    <n v="2448.8585999999996"/>
    <n v="9"/>
    <n v="132.47"/>
    <n v="316.39"/>
    <x v="6"/>
    <x v="1"/>
    <x v="0"/>
    <x v="3"/>
    <x v="1"/>
    <x v="2"/>
    <x v="0"/>
    <n v="183.92"/>
    <n v="1655.28"/>
    <x v="8"/>
  </r>
  <r>
    <n v="1076"/>
    <d v="2023-10-14T00:00:00"/>
    <n v="34686.263200000001"/>
    <n v="23"/>
    <n v="1727.78"/>
    <n v="1984.34"/>
    <x v="19"/>
    <x v="2"/>
    <x v="2"/>
    <x v="1"/>
    <x v="0"/>
    <x v="1"/>
    <x v="0"/>
    <n v="256.55999999999995"/>
    <n v="5900.8799999999992"/>
    <x v="7"/>
  </r>
  <r>
    <n v="1087"/>
    <d v="2023-05-14T00:00:00"/>
    <n v="40282.18499999999"/>
    <n v="10"/>
    <n v="3988.52"/>
    <n v="4240.2299999999996"/>
    <x v="8"/>
    <x v="2"/>
    <x v="1"/>
    <x v="3"/>
    <x v="1"/>
    <x v="2"/>
    <x v="0"/>
    <n v="251.70999999999958"/>
    <n v="2517.0999999999958"/>
    <x v="10"/>
  </r>
  <r>
    <n v="1015"/>
    <d v="2023-08-07T00:00:00"/>
    <n v="6009.5252"/>
    <n v="19"/>
    <n v="433.54"/>
    <n v="445.48"/>
    <x v="12"/>
    <x v="4"/>
    <x v="3"/>
    <x v="2"/>
    <x v="1"/>
    <x v="1"/>
    <x v="1"/>
    <n v="11.939999999999998"/>
    <n v="226.85999999999996"/>
    <x v="3"/>
  </r>
  <r>
    <n v="1092"/>
    <d v="2023-06-17T00:00:00"/>
    <n v="70436.907200000001"/>
    <n v="47"/>
    <n v="1447.45"/>
    <n v="1703.02"/>
    <x v="7"/>
    <x v="4"/>
    <x v="3"/>
    <x v="0"/>
    <x v="0"/>
    <x v="1"/>
    <x v="1"/>
    <n v="255.56999999999994"/>
    <n v="12011.789999999997"/>
    <x v="6"/>
  </r>
  <r>
    <n v="1098"/>
    <d v="2023-04-08T00:00:00"/>
    <n v="14153.715"/>
    <n v="5"/>
    <n v="2947.22"/>
    <n v="3145.27"/>
    <x v="15"/>
    <x v="3"/>
    <x v="0"/>
    <x v="3"/>
    <x v="1"/>
    <x v="2"/>
    <x v="1"/>
    <n v="198.05000000000018"/>
    <n v="990.25000000000091"/>
    <x v="1"/>
  </r>
  <r>
    <n v="1066"/>
    <d v="2023-09-25T00:00:00"/>
    <n v="62797.376799999991"/>
    <n v="47"/>
    <n v="1319.24"/>
    <n v="1805.56"/>
    <x v="16"/>
    <x v="3"/>
    <x v="3"/>
    <x v="1"/>
    <x v="1"/>
    <x v="2"/>
    <x v="1"/>
    <n v="486.31999999999994"/>
    <n v="22857.039999999997"/>
    <x v="2"/>
  </r>
  <r>
    <n v="1032"/>
    <d v="2023-08-25T00:00:00"/>
    <n v="90890.926199999813"/>
    <n v="23"/>
    <n v="4673.1899999999996"/>
    <n v="4761.1799999999903"/>
    <x v="22"/>
    <x v="0"/>
    <x v="0"/>
    <x v="3"/>
    <x v="0"/>
    <x v="2"/>
    <x v="1"/>
    <n v="87.989999999990687"/>
    <n v="2023.7699999997858"/>
    <x v="3"/>
  </r>
  <r>
    <n v="1087"/>
    <d v="2023-11-05T00:00:00"/>
    <n v="22498.139999999996"/>
    <n v="30"/>
    <n v="698.74"/>
    <n v="882.28"/>
    <x v="25"/>
    <x v="3"/>
    <x v="3"/>
    <x v="3"/>
    <x v="0"/>
    <x v="2"/>
    <x v="0"/>
    <n v="183.53999999999996"/>
    <n v="5506.1999999999989"/>
    <x v="8"/>
  </r>
  <r>
    <n v="1063"/>
    <d v="2023-06-22T00:00:00"/>
    <n v="82146.674999999988"/>
    <n v="25"/>
    <n v="3997.1"/>
    <n v="4212.6499999999996"/>
    <x v="20"/>
    <x v="0"/>
    <x v="2"/>
    <x v="3"/>
    <x v="1"/>
    <x v="0"/>
    <x v="0"/>
    <n v="215.54999999999973"/>
    <n v="5388.7499999999927"/>
    <x v="6"/>
  </r>
  <r>
    <n v="1086"/>
    <d v="2023-07-09T00:00:00"/>
    <n v="64276.959599999995"/>
    <n v="28"/>
    <n v="2564.35"/>
    <n v="2765.79"/>
    <x v="22"/>
    <x v="1"/>
    <x v="0"/>
    <x v="1"/>
    <x v="0"/>
    <x v="2"/>
    <x v="0"/>
    <n v="201.44000000000005"/>
    <n v="5640.3200000000015"/>
    <x v="11"/>
  </r>
  <r>
    <n v="1051"/>
    <d v="2023-05-02T00:00:00"/>
    <n v="132442.91999999998"/>
    <n v="34"/>
    <n v="3764.14"/>
    <n v="4100.3999999999996"/>
    <x v="8"/>
    <x v="4"/>
    <x v="0"/>
    <x v="0"/>
    <x v="0"/>
    <x v="1"/>
    <x v="1"/>
    <n v="336.25999999999976"/>
    <n v="11432.839999999993"/>
    <x v="10"/>
  </r>
  <r>
    <n v="1025"/>
    <d v="2023-02-15T00:00:00"/>
    <n v="61331.039999999644"/>
    <n v="45"/>
    <n v="1588.04"/>
    <n v="1703.6399999999901"/>
    <x v="2"/>
    <x v="1"/>
    <x v="2"/>
    <x v="2"/>
    <x v="1"/>
    <x v="1"/>
    <x v="1"/>
    <n v="115.59999999999013"/>
    <n v="5201.9999999995562"/>
    <x v="0"/>
  </r>
  <r>
    <n v="1058"/>
    <d v="2023-03-05T00:00:00"/>
    <n v="125109.50399999955"/>
    <n v="48"/>
    <n v="2596.7199999999998"/>
    <n v="2715.0499999999902"/>
    <x v="14"/>
    <x v="3"/>
    <x v="0"/>
    <x v="0"/>
    <x v="0"/>
    <x v="0"/>
    <x v="0"/>
    <n v="118.32999999999038"/>
    <n v="5679.8399999995381"/>
    <x v="4"/>
  </r>
  <r>
    <n v="1063"/>
    <d v="2023-05-10T00:00:00"/>
    <n v="166406.6208"/>
    <n v="47"/>
    <n v="4291.33"/>
    <n v="4658.6400000000003"/>
    <x v="19"/>
    <x v="1"/>
    <x v="3"/>
    <x v="3"/>
    <x v="1"/>
    <x v="2"/>
    <x v="1"/>
    <n v="367.3100000000004"/>
    <n v="17263.570000000018"/>
    <x v="10"/>
  </r>
  <r>
    <n v="1062"/>
    <d v="2023-11-06T00:00:00"/>
    <n v="45783.324999999997"/>
    <n v="25"/>
    <n v="2361.0500000000002"/>
    <n v="2616.19"/>
    <x v="23"/>
    <x v="1"/>
    <x v="3"/>
    <x v="1"/>
    <x v="1"/>
    <x v="1"/>
    <x v="1"/>
    <n v="255.13999999999987"/>
    <n v="6378.4999999999964"/>
    <x v="8"/>
  </r>
  <r>
    <n v="1022"/>
    <d v="2023-12-29T00:00:00"/>
    <n v="18191.956000000002"/>
    <n v="10"/>
    <n v="1830.61"/>
    <n v="2044.04"/>
    <x v="1"/>
    <x v="1"/>
    <x v="0"/>
    <x v="0"/>
    <x v="1"/>
    <x v="0"/>
    <x v="0"/>
    <n v="213.43000000000006"/>
    <n v="2134.3000000000006"/>
    <x v="9"/>
  </r>
  <r>
    <n v="1058"/>
    <d v="2023-07-12T00:00:00"/>
    <n v="34065.99839999988"/>
    <n v="14"/>
    <n v="2703.97"/>
    <n v="2796.8799999999901"/>
    <x v="9"/>
    <x v="3"/>
    <x v="3"/>
    <x v="3"/>
    <x v="1"/>
    <x v="1"/>
    <x v="0"/>
    <n v="92.909999999990305"/>
    <n v="1300.7399999998643"/>
    <x v="11"/>
  </r>
  <r>
    <n v="1058"/>
    <d v="2023-11-03T00:00:00"/>
    <n v="153964.0871999996"/>
    <n v="42"/>
    <n v="3600.95"/>
    <n v="3702.8399999999901"/>
    <x v="30"/>
    <x v="1"/>
    <x v="1"/>
    <x v="2"/>
    <x v="0"/>
    <x v="0"/>
    <x v="1"/>
    <n v="101.88999999999032"/>
    <n v="4279.3799999995936"/>
    <x v="8"/>
  </r>
  <r>
    <n v="1086"/>
    <d v="2023-06-30T00:00:00"/>
    <n v="103997.26"/>
    <n v="46"/>
    <n v="2245.64"/>
    <n v="2260.81"/>
    <x v="11"/>
    <x v="0"/>
    <x v="0"/>
    <x v="2"/>
    <x v="1"/>
    <x v="0"/>
    <x v="1"/>
    <n v="15.170000000000073"/>
    <n v="697.82000000000335"/>
    <x v="6"/>
  </r>
  <r>
    <n v="1049"/>
    <d v="2023-10-19T00:00:00"/>
    <n v="102648.38399999998"/>
    <n v="30"/>
    <n v="4697.4399999999996"/>
    <n v="4752.24"/>
    <x v="24"/>
    <x v="3"/>
    <x v="2"/>
    <x v="2"/>
    <x v="1"/>
    <x v="2"/>
    <x v="0"/>
    <n v="54.800000000000182"/>
    <n v="1644.0000000000055"/>
    <x v="7"/>
  </r>
  <r>
    <n v="1052"/>
    <d v="2023-10-09T00:00:00"/>
    <n v="70565.788799999995"/>
    <n v="41"/>
    <n v="1509.98"/>
    <n v="1792.83"/>
    <x v="14"/>
    <x v="1"/>
    <x v="1"/>
    <x v="3"/>
    <x v="1"/>
    <x v="0"/>
    <x v="1"/>
    <n v="282.84999999999991"/>
    <n v="11596.849999999997"/>
    <x v="7"/>
  </r>
  <r>
    <n v="1042"/>
    <d v="2023-01-29T00:00:00"/>
    <n v="61999.68"/>
    <n v="25"/>
    <n v="2403.54"/>
    <n v="2850.56"/>
    <x v="9"/>
    <x v="3"/>
    <x v="0"/>
    <x v="1"/>
    <x v="1"/>
    <x v="1"/>
    <x v="0"/>
    <n v="447.02"/>
    <n v="11175.5"/>
    <x v="5"/>
  </r>
  <r>
    <n v="1070"/>
    <d v="2023-05-29T00:00:00"/>
    <n v="42001.4"/>
    <n v="14"/>
    <n v="3796.79"/>
    <n v="3947.5"/>
    <x v="19"/>
    <x v="2"/>
    <x v="2"/>
    <x v="0"/>
    <x v="0"/>
    <x v="1"/>
    <x v="0"/>
    <n v="150.71000000000004"/>
    <n v="2109.9400000000005"/>
    <x v="10"/>
  </r>
  <r>
    <n v="1015"/>
    <d v="2023-09-24T00:00:00"/>
    <n v="92791.212499999994"/>
    <n v="35"/>
    <n v="3461.15"/>
    <n v="3631.75"/>
    <x v="29"/>
    <x v="0"/>
    <x v="3"/>
    <x v="2"/>
    <x v="0"/>
    <x v="2"/>
    <x v="0"/>
    <n v="170.59999999999991"/>
    <n v="5970.9999999999964"/>
    <x v="2"/>
  </r>
  <r>
    <n v="1054"/>
    <d v="2023-10-23T00:00:00"/>
    <n v="177072.13440000001"/>
    <n v="48"/>
    <n v="4325.0200000000004"/>
    <n v="4391.67"/>
    <x v="28"/>
    <x v="1"/>
    <x v="2"/>
    <x v="3"/>
    <x v="0"/>
    <x v="2"/>
    <x v="1"/>
    <n v="66.649999999999636"/>
    <n v="3199.1999999999825"/>
    <x v="7"/>
  </r>
  <r>
    <n v="1060"/>
    <d v="2023-01-11T00:00:00"/>
    <n v="146310.54079999999"/>
    <n v="34"/>
    <n v="4984.21"/>
    <n v="5184.6400000000003"/>
    <x v="22"/>
    <x v="2"/>
    <x v="1"/>
    <x v="3"/>
    <x v="1"/>
    <x v="0"/>
    <x v="0"/>
    <n v="200.43000000000029"/>
    <n v="6814.6200000000099"/>
    <x v="5"/>
  </r>
  <r>
    <n v="1097"/>
    <d v="2023-06-13T00:00:00"/>
    <n v="17529.51999999992"/>
    <n v="10"/>
    <n v="2162.9499999999998"/>
    <n v="2191.1899999999901"/>
    <x v="2"/>
    <x v="2"/>
    <x v="3"/>
    <x v="0"/>
    <x v="0"/>
    <x v="2"/>
    <x v="0"/>
    <n v="28.239999999990232"/>
    <n v="282.39999999990232"/>
    <x v="6"/>
  </r>
  <r>
    <n v="1008"/>
    <d v="2023-04-23T00:00:00"/>
    <n v="26336.526999999998"/>
    <n v="35"/>
    <n v="600.20000000000005"/>
    <n v="1059.82"/>
    <x v="12"/>
    <x v="3"/>
    <x v="0"/>
    <x v="2"/>
    <x v="0"/>
    <x v="1"/>
    <x v="1"/>
    <n v="459.61999999999989"/>
    <n v="16086.699999999997"/>
    <x v="1"/>
  </r>
  <r>
    <n v="1053"/>
    <d v="2023-07-06T00:00:00"/>
    <n v="4874.2276000000002"/>
    <n v="11"/>
    <n v="200.56"/>
    <n v="540.38"/>
    <x v="13"/>
    <x v="2"/>
    <x v="3"/>
    <x v="3"/>
    <x v="1"/>
    <x v="1"/>
    <x v="0"/>
    <n v="339.82"/>
    <n v="3738.02"/>
    <x v="11"/>
  </r>
  <r>
    <n v="1060"/>
    <d v="2023-10-22T00:00:00"/>
    <n v="37830.246299999999"/>
    <n v="11"/>
    <n v="3648.04"/>
    <n v="4143.51"/>
    <x v="22"/>
    <x v="0"/>
    <x v="0"/>
    <x v="0"/>
    <x v="0"/>
    <x v="2"/>
    <x v="1"/>
    <n v="495.47000000000025"/>
    <n v="5450.1700000000028"/>
    <x v="7"/>
  </r>
  <r>
    <n v="1005"/>
    <d v="2023-08-20T00:00:00"/>
    <n v="101197.95"/>
    <n v="21"/>
    <n v="4376.37"/>
    <n v="4818.95"/>
    <x v="11"/>
    <x v="0"/>
    <x v="0"/>
    <x v="1"/>
    <x v="1"/>
    <x v="2"/>
    <x v="1"/>
    <n v="442.57999999999993"/>
    <n v="9294.1799999999985"/>
    <x v="3"/>
  </r>
  <r>
    <n v="1068"/>
    <d v="2023-08-15T00:00:00"/>
    <n v="28488.894"/>
    <n v="21"/>
    <n v="1142.53"/>
    <n v="1384.3"/>
    <x v="3"/>
    <x v="4"/>
    <x v="2"/>
    <x v="1"/>
    <x v="0"/>
    <x v="2"/>
    <x v="1"/>
    <n v="241.76999999999998"/>
    <n v="5077.17"/>
    <x v="3"/>
  </r>
  <r>
    <n v="1006"/>
    <d v="2023-11-06T00:00:00"/>
    <n v="20067.192199999998"/>
    <n v="22"/>
    <n v="834.32"/>
    <n v="1098.97"/>
    <x v="22"/>
    <x v="0"/>
    <x v="2"/>
    <x v="1"/>
    <x v="0"/>
    <x v="0"/>
    <x v="0"/>
    <n v="264.64999999999998"/>
    <n v="5822.2999999999993"/>
    <x v="8"/>
  </r>
  <r>
    <n v="1096"/>
    <d v="2023-04-08T00:00:00"/>
    <n v="14946.119999999999"/>
    <n v="45"/>
    <n v="357.92"/>
    <n v="461.3"/>
    <x v="24"/>
    <x v="2"/>
    <x v="2"/>
    <x v="2"/>
    <x v="0"/>
    <x v="0"/>
    <x v="0"/>
    <n v="103.38"/>
    <n v="4652.0999999999995"/>
    <x v="1"/>
  </r>
  <r>
    <n v="1094"/>
    <d v="2023-02-24T00:00:00"/>
    <n v="22578.4804"/>
    <n v="7"/>
    <n v="4122.38"/>
    <n v="4358.78"/>
    <x v="16"/>
    <x v="0"/>
    <x v="1"/>
    <x v="0"/>
    <x v="0"/>
    <x v="1"/>
    <x v="1"/>
    <n v="236.39999999999964"/>
    <n v="1654.7999999999975"/>
    <x v="0"/>
  </r>
  <r>
    <n v="1047"/>
    <d v="2023-04-21T00:00:00"/>
    <n v="24668.9074"/>
    <n v="17"/>
    <n v="1591.34"/>
    <n v="2043.82"/>
    <x v="12"/>
    <x v="3"/>
    <x v="1"/>
    <x v="0"/>
    <x v="1"/>
    <x v="0"/>
    <x v="1"/>
    <n v="452.48"/>
    <n v="7692.16"/>
    <x v="1"/>
  </r>
  <r>
    <n v="1099"/>
    <d v="2023-06-01T00:00:00"/>
    <n v="3483.1776"/>
    <n v="2"/>
    <n v="2038.4"/>
    <n v="2073.3200000000002"/>
    <x v="28"/>
    <x v="4"/>
    <x v="2"/>
    <x v="3"/>
    <x v="1"/>
    <x v="0"/>
    <x v="1"/>
    <n v="34.920000000000073"/>
    <n v="69.840000000000146"/>
    <x v="6"/>
  </r>
  <r>
    <n v="1055"/>
    <d v="2023-09-03T00:00:00"/>
    <n v="27102.36"/>
    <n v="12"/>
    <n v="2538.61"/>
    <n v="2971.75"/>
    <x v="19"/>
    <x v="2"/>
    <x v="1"/>
    <x v="3"/>
    <x v="0"/>
    <x v="0"/>
    <x v="0"/>
    <n v="433.13999999999987"/>
    <n v="5197.6799999999985"/>
    <x v="2"/>
  </r>
  <r>
    <n v="1040"/>
    <d v="2023-03-10T00:00:00"/>
    <n v="138044.02500000002"/>
    <n v="42"/>
    <n v="4205.29"/>
    <n v="4382.3500000000004"/>
    <x v="26"/>
    <x v="4"/>
    <x v="3"/>
    <x v="3"/>
    <x v="1"/>
    <x v="0"/>
    <x v="1"/>
    <n v="177.0600000000004"/>
    <n v="7436.5200000000168"/>
    <x v="4"/>
  </r>
  <r>
    <n v="1052"/>
    <d v="2023-11-08T00:00:00"/>
    <n v="54272.3004"/>
    <n v="18"/>
    <n v="3271.62"/>
    <n v="3722.38"/>
    <x v="27"/>
    <x v="2"/>
    <x v="3"/>
    <x v="0"/>
    <x v="0"/>
    <x v="1"/>
    <x v="1"/>
    <n v="450.76000000000022"/>
    <n v="8113.6800000000039"/>
    <x v="8"/>
  </r>
  <r>
    <n v="1016"/>
    <d v="2023-10-16T00:00:00"/>
    <n v="35299.440000000002"/>
    <n v="11"/>
    <n v="3094.57"/>
    <n v="3565.6"/>
    <x v="15"/>
    <x v="3"/>
    <x v="1"/>
    <x v="3"/>
    <x v="0"/>
    <x v="2"/>
    <x v="1"/>
    <n v="471.02999999999975"/>
    <n v="5181.3299999999972"/>
    <x v="7"/>
  </r>
  <r>
    <n v="1013"/>
    <d v="2023-09-07T00:00:00"/>
    <n v="17314.207999999999"/>
    <n v="16"/>
    <n v="919.58"/>
    <n v="1258.3"/>
    <x v="6"/>
    <x v="4"/>
    <x v="1"/>
    <x v="0"/>
    <x v="0"/>
    <x v="1"/>
    <x v="0"/>
    <n v="338.71999999999991"/>
    <n v="5419.5199999999986"/>
    <x v="2"/>
  </r>
  <r>
    <n v="1030"/>
    <d v="2023-02-05T00:00:00"/>
    <n v="106091.6836"/>
    <n v="49"/>
    <n v="2590.29"/>
    <n v="2925.86"/>
    <x v="16"/>
    <x v="1"/>
    <x v="3"/>
    <x v="0"/>
    <x v="0"/>
    <x v="0"/>
    <x v="1"/>
    <n v="335.57000000000016"/>
    <n v="16442.930000000008"/>
    <x v="0"/>
  </r>
  <r>
    <n v="1019"/>
    <d v="2023-08-27T00:00:00"/>
    <n v="62620.576199999996"/>
    <n v="18"/>
    <n v="3591.14"/>
    <n v="3822.99"/>
    <x v="0"/>
    <x v="2"/>
    <x v="0"/>
    <x v="1"/>
    <x v="0"/>
    <x v="2"/>
    <x v="0"/>
    <n v="231.84999999999991"/>
    <n v="4173.2999999999984"/>
    <x v="3"/>
  </r>
  <r>
    <n v="1017"/>
    <d v="2023-05-28T00:00:00"/>
    <n v="133233.66"/>
    <n v="35"/>
    <n v="4867.6400000000003"/>
    <n v="5287.05"/>
    <x v="24"/>
    <x v="1"/>
    <x v="3"/>
    <x v="3"/>
    <x v="0"/>
    <x v="2"/>
    <x v="0"/>
    <n v="419.40999999999985"/>
    <n v="14679.349999999995"/>
    <x v="10"/>
  </r>
  <r>
    <n v="1063"/>
    <d v="2023-08-15T00:00:00"/>
    <n v="36950.667000000001"/>
    <n v="26"/>
    <n v="1046.96"/>
    <n v="1528.15"/>
    <x v="17"/>
    <x v="4"/>
    <x v="3"/>
    <x v="1"/>
    <x v="1"/>
    <x v="2"/>
    <x v="1"/>
    <n v="481.19000000000005"/>
    <n v="12510.940000000002"/>
    <x v="3"/>
  </r>
  <r>
    <n v="1019"/>
    <d v="2023-09-01T00:00:00"/>
    <n v="6078.1343999999999"/>
    <n v="16"/>
    <n v="97.24"/>
    <n v="487.03"/>
    <x v="20"/>
    <x v="1"/>
    <x v="1"/>
    <x v="2"/>
    <x v="1"/>
    <x v="1"/>
    <x v="1"/>
    <n v="389.78999999999996"/>
    <n v="6236.6399999999994"/>
    <x v="2"/>
  </r>
  <r>
    <n v="1092"/>
    <d v="2023-12-03T00:00:00"/>
    <n v="3584.2014000000008"/>
    <n v="6"/>
    <n v="422.74"/>
    <n v="737.49"/>
    <x v="27"/>
    <x v="1"/>
    <x v="3"/>
    <x v="2"/>
    <x v="0"/>
    <x v="2"/>
    <x v="1"/>
    <n v="314.75"/>
    <n v="1888.5"/>
    <x v="9"/>
  </r>
  <r>
    <n v="1058"/>
    <d v="2023-12-31T00:00:00"/>
    <n v="76114.896000000008"/>
    <n v="44"/>
    <n v="1910.47"/>
    <n v="2217.8000000000002"/>
    <x v="20"/>
    <x v="4"/>
    <x v="1"/>
    <x v="2"/>
    <x v="1"/>
    <x v="1"/>
    <x v="0"/>
    <n v="307.33000000000015"/>
    <n v="13522.520000000008"/>
    <x v="9"/>
  </r>
  <r>
    <n v="1055"/>
    <d v="2023-07-20T00:00:00"/>
    <n v="169764.33539999998"/>
    <n v="43"/>
    <n v="4111.7"/>
    <n v="4537.9399999999996"/>
    <x v="9"/>
    <x v="3"/>
    <x v="1"/>
    <x v="0"/>
    <x v="0"/>
    <x v="1"/>
    <x v="0"/>
    <n v="426.23999999999978"/>
    <n v="18328.319999999992"/>
    <x v="11"/>
  </r>
  <r>
    <n v="1090"/>
    <d v="2023-06-03T00:00:00"/>
    <n v="12200.673599999966"/>
    <n v="47"/>
    <n v="85.35"/>
    <n v="360.539999999999"/>
    <x v="24"/>
    <x v="1"/>
    <x v="2"/>
    <x v="0"/>
    <x v="1"/>
    <x v="0"/>
    <x v="0"/>
    <n v="275.18999999999903"/>
    <n v="12933.929999999955"/>
    <x v="6"/>
  </r>
  <r>
    <n v="1090"/>
    <d v="2023-03-14T00:00:00"/>
    <n v="103349.00970000001"/>
    <n v="47"/>
    <n v="2310.8200000000002"/>
    <n v="2714.71"/>
    <x v="27"/>
    <x v="1"/>
    <x v="3"/>
    <x v="0"/>
    <x v="1"/>
    <x v="0"/>
    <x v="1"/>
    <n v="403.88999999999987"/>
    <n v="18982.829999999994"/>
    <x v="4"/>
  </r>
  <r>
    <n v="1062"/>
    <d v="2023-07-20T00:00:00"/>
    <n v="84697.267200000002"/>
    <n v="48"/>
    <n v="1679.69"/>
    <n v="1939.04"/>
    <x v="0"/>
    <x v="3"/>
    <x v="0"/>
    <x v="3"/>
    <x v="1"/>
    <x v="2"/>
    <x v="0"/>
    <n v="259.34999999999991"/>
    <n v="12448.799999999996"/>
    <x v="11"/>
  </r>
  <r>
    <n v="1023"/>
    <d v="2023-10-23T00:00:00"/>
    <n v="11919.927600000001"/>
    <n v="42"/>
    <n v="309.77999999999997"/>
    <n v="350.38"/>
    <x v="27"/>
    <x v="1"/>
    <x v="2"/>
    <x v="1"/>
    <x v="0"/>
    <x v="2"/>
    <x v="1"/>
    <n v="40.600000000000023"/>
    <n v="1705.200000000001"/>
    <x v="7"/>
  </r>
  <r>
    <n v="1009"/>
    <d v="2023-01-17T00:00:00"/>
    <n v="27046.656000000003"/>
    <n v="12"/>
    <n v="2278.67"/>
    <n v="2476.8000000000002"/>
    <x v="0"/>
    <x v="1"/>
    <x v="1"/>
    <x v="0"/>
    <x v="1"/>
    <x v="0"/>
    <x v="1"/>
    <n v="198.13000000000011"/>
    <n v="2377.5600000000013"/>
    <x v="5"/>
  </r>
  <r>
    <n v="1012"/>
    <d v="2023-05-09T00:00:00"/>
    <n v="18203.885700000003"/>
    <n v="13"/>
    <n v="1311.01"/>
    <n v="1538.79"/>
    <x v="0"/>
    <x v="1"/>
    <x v="1"/>
    <x v="1"/>
    <x v="0"/>
    <x v="1"/>
    <x v="1"/>
    <n v="227.77999999999997"/>
    <n v="2961.1399999999994"/>
    <x v="10"/>
  </r>
  <r>
    <n v="1001"/>
    <d v="2023-08-05T00:00:00"/>
    <n v="6586.6944000000003"/>
    <n v="4"/>
    <n v="1791.83"/>
    <n v="1871.22"/>
    <x v="7"/>
    <x v="0"/>
    <x v="0"/>
    <x v="1"/>
    <x v="0"/>
    <x v="1"/>
    <x v="0"/>
    <n v="79.3900000000001"/>
    <n v="317.5600000000004"/>
    <x v="3"/>
  </r>
  <r>
    <n v="1058"/>
    <d v="2023-03-02T00:00:00"/>
    <n v="103983.1572"/>
    <n v="39"/>
    <n v="3542.8"/>
    <n v="3603.02"/>
    <x v="16"/>
    <x v="3"/>
    <x v="1"/>
    <x v="1"/>
    <x v="0"/>
    <x v="0"/>
    <x v="0"/>
    <n v="60.2199999999998"/>
    <n v="2348.5799999999922"/>
    <x v="4"/>
  </r>
  <r>
    <n v="1001"/>
    <d v="2023-04-14T00:00:00"/>
    <n v="4936.902"/>
    <n v="2"/>
    <n v="2631.68"/>
    <n v="2904.06"/>
    <x v="25"/>
    <x v="1"/>
    <x v="3"/>
    <x v="3"/>
    <x v="1"/>
    <x v="1"/>
    <x v="0"/>
    <n v="272.38000000000011"/>
    <n v="544.76000000000022"/>
    <x v="1"/>
  </r>
  <r>
    <n v="1034"/>
    <d v="2023-02-11T00:00:00"/>
    <n v="14949.376000000002"/>
    <n v="26"/>
    <n v="667"/>
    <n v="718.72"/>
    <x v="2"/>
    <x v="3"/>
    <x v="2"/>
    <x v="3"/>
    <x v="1"/>
    <x v="0"/>
    <x v="1"/>
    <n v="51.720000000000027"/>
    <n v="1344.7200000000007"/>
    <x v="0"/>
  </r>
  <r>
    <n v="1096"/>
    <d v="2023-01-25T00:00:00"/>
    <n v="118026.37439999999"/>
    <n v="27"/>
    <n v="4809"/>
    <n v="4967.4399999999996"/>
    <x v="7"/>
    <x v="2"/>
    <x v="1"/>
    <x v="2"/>
    <x v="1"/>
    <x v="0"/>
    <x v="0"/>
    <n v="158.4399999999996"/>
    <n v="4277.8799999999892"/>
    <x v="5"/>
  </r>
  <r>
    <n v="1048"/>
    <d v="2023-02-08T00:00:00"/>
    <n v="88743.632400000002"/>
    <n v="27"/>
    <n v="3197.76"/>
    <n v="3572.61"/>
    <x v="4"/>
    <x v="2"/>
    <x v="1"/>
    <x v="2"/>
    <x v="0"/>
    <x v="2"/>
    <x v="0"/>
    <n v="374.84999999999991"/>
    <n v="10120.949999999997"/>
    <x v="0"/>
  </r>
  <r>
    <n v="1089"/>
    <d v="2023-10-18T00:00:00"/>
    <n v="46046.552999999993"/>
    <n v="15"/>
    <n v="3841.05"/>
    <n v="4323.62"/>
    <x v="12"/>
    <x v="1"/>
    <x v="0"/>
    <x v="1"/>
    <x v="0"/>
    <x v="2"/>
    <x v="1"/>
    <n v="482.56999999999971"/>
    <n v="7238.5499999999956"/>
    <x v="7"/>
  </r>
  <r>
    <n v="1001"/>
    <d v="2023-05-11T00:00:00"/>
    <n v="5273.3872000000001"/>
    <n v="8"/>
    <n v="442.11"/>
    <n v="803.87"/>
    <x v="13"/>
    <x v="3"/>
    <x v="3"/>
    <x v="2"/>
    <x v="1"/>
    <x v="0"/>
    <x v="1"/>
    <n v="361.76"/>
    <n v="2894.08"/>
    <x v="10"/>
  </r>
  <r>
    <n v="1016"/>
    <d v="2023-08-17T00:00:00"/>
    <n v="3927.8231999999948"/>
    <n v="7"/>
    <n v="282.94"/>
    <n v="779.32999999999902"/>
    <x v="24"/>
    <x v="3"/>
    <x v="1"/>
    <x v="1"/>
    <x v="0"/>
    <x v="2"/>
    <x v="0"/>
    <n v="496.38999999999902"/>
    <n v="3474.7299999999932"/>
    <x v="3"/>
  </r>
  <r>
    <n v="1061"/>
    <d v="2023-04-18T00:00:00"/>
    <n v="22021.962799999998"/>
    <n v="47"/>
    <n v="146.27000000000001"/>
    <n v="498.46"/>
    <x v="18"/>
    <x v="3"/>
    <x v="0"/>
    <x v="3"/>
    <x v="1"/>
    <x v="0"/>
    <x v="1"/>
    <n v="352.18999999999994"/>
    <n v="16552.929999999997"/>
    <x v="1"/>
  </r>
  <r>
    <n v="1064"/>
    <d v="2023-06-21T00:00:00"/>
    <n v="50275.718399999998"/>
    <n v="46"/>
    <n v="984.53"/>
    <n v="1138.49"/>
    <x v="14"/>
    <x v="0"/>
    <x v="1"/>
    <x v="3"/>
    <x v="1"/>
    <x v="1"/>
    <x v="0"/>
    <n v="153.96000000000004"/>
    <n v="7082.1600000000017"/>
    <x v="6"/>
  </r>
  <r>
    <n v="1063"/>
    <d v="2023-04-12T00:00:00"/>
    <n v="72242.648000000001"/>
    <n v="40"/>
    <n v="2101.3200000000002"/>
    <n v="2440.63"/>
    <x v="16"/>
    <x v="2"/>
    <x v="0"/>
    <x v="3"/>
    <x v="1"/>
    <x v="1"/>
    <x v="1"/>
    <n v="339.30999999999995"/>
    <n v="13572.399999999998"/>
    <x v="1"/>
  </r>
  <r>
    <n v="1069"/>
    <d v="2023-12-20T00:00:00"/>
    <n v="48349.440000000002"/>
    <n v="12"/>
    <n v="4682.34"/>
    <n v="5036.3999999999996"/>
    <x v="2"/>
    <x v="3"/>
    <x v="0"/>
    <x v="0"/>
    <x v="1"/>
    <x v="1"/>
    <x v="1"/>
    <n v="354.05999999999949"/>
    <n v="4248.7199999999939"/>
    <x v="9"/>
  </r>
  <r>
    <n v="1022"/>
    <d v="2023-01-12T00:00:00"/>
    <n v="30606.211999999996"/>
    <n v="13"/>
    <n v="2312.4499999999998"/>
    <n v="2504.6"/>
    <x v="18"/>
    <x v="3"/>
    <x v="3"/>
    <x v="1"/>
    <x v="0"/>
    <x v="1"/>
    <x v="0"/>
    <n v="192.15000000000009"/>
    <n v="2497.9500000000012"/>
    <x v="5"/>
  </r>
  <r>
    <n v="1093"/>
    <d v="2023-10-02T00:00:00"/>
    <n v="59555.20640000001"/>
    <n v="43"/>
    <n v="1486.76"/>
    <n v="1505.44"/>
    <x v="4"/>
    <x v="0"/>
    <x v="1"/>
    <x v="3"/>
    <x v="1"/>
    <x v="0"/>
    <x v="1"/>
    <n v="18.680000000000064"/>
    <n v="803.24000000000274"/>
    <x v="7"/>
  </r>
  <r>
    <n v="1067"/>
    <d v="2023-04-11T00:00:00"/>
    <n v="41165.058000000005"/>
    <n v="17"/>
    <n v="2831.58"/>
    <n v="3186.15"/>
    <x v="19"/>
    <x v="0"/>
    <x v="3"/>
    <x v="1"/>
    <x v="1"/>
    <x v="1"/>
    <x v="1"/>
    <n v="354.57000000000016"/>
    <n v="6027.6900000000023"/>
    <x v="1"/>
  </r>
  <r>
    <n v="1076"/>
    <d v="2023-02-13T00:00:00"/>
    <n v="9133.2601999999988"/>
    <n v="17"/>
    <n v="604.08000000000004"/>
    <n v="624.71"/>
    <x v="6"/>
    <x v="3"/>
    <x v="0"/>
    <x v="2"/>
    <x v="1"/>
    <x v="1"/>
    <x v="1"/>
    <n v="20.629999999999995"/>
    <n v="350.70999999999992"/>
    <x v="0"/>
  </r>
  <r>
    <n v="1026"/>
    <d v="2023-11-01T00:00:00"/>
    <n v="97526.304000000004"/>
    <n v="36"/>
    <n v="3067.05"/>
    <n v="3386.33"/>
    <x v="2"/>
    <x v="4"/>
    <x v="2"/>
    <x v="2"/>
    <x v="1"/>
    <x v="1"/>
    <x v="0"/>
    <n v="319.27999999999975"/>
    <n v="11494.079999999991"/>
    <x v="8"/>
  </r>
  <r>
    <n v="1016"/>
    <d v="2023-01-17T00:00:00"/>
    <n v="55828.899000000005"/>
    <n v="21"/>
    <n v="2863.74"/>
    <n v="2953.91"/>
    <x v="15"/>
    <x v="3"/>
    <x v="1"/>
    <x v="3"/>
    <x v="1"/>
    <x v="1"/>
    <x v="1"/>
    <n v="90.170000000000073"/>
    <n v="1893.5700000000015"/>
    <x v="5"/>
  </r>
  <r>
    <n v="1051"/>
    <d v="2023-11-26T00:00:00"/>
    <n v="30313.542399999933"/>
    <n v="8"/>
    <n v="3970.37"/>
    <n v="4257.5199999999904"/>
    <x v="1"/>
    <x v="3"/>
    <x v="2"/>
    <x v="1"/>
    <x v="1"/>
    <x v="0"/>
    <x v="1"/>
    <n v="287.14999999999054"/>
    <n v="2297.1999999999243"/>
    <x v="8"/>
  </r>
  <r>
    <n v="1086"/>
    <d v="2023-02-26T00:00:00"/>
    <n v="18168.57"/>
    <n v="5"/>
    <n v="4934.1000000000004"/>
    <n v="5191.0200000000004"/>
    <x v="23"/>
    <x v="0"/>
    <x v="1"/>
    <x v="3"/>
    <x v="1"/>
    <x v="1"/>
    <x v="0"/>
    <n v="256.92000000000007"/>
    <n v="1284.6000000000004"/>
    <x v="0"/>
  </r>
  <r>
    <n v="1057"/>
    <d v="2023-11-07T00:00:00"/>
    <n v="31638.079199999756"/>
    <n v="26"/>
    <n v="1291.82"/>
    <n v="1308.4399999999901"/>
    <x v="17"/>
    <x v="0"/>
    <x v="3"/>
    <x v="2"/>
    <x v="0"/>
    <x v="2"/>
    <x v="0"/>
    <n v="16.619999999990114"/>
    <n v="432.11999999974296"/>
    <x v="8"/>
  </r>
  <r>
    <n v="1029"/>
    <d v="2023-10-30T00:00:00"/>
    <n v="37544.159999999996"/>
    <n v="16"/>
    <n v="2572.8000000000002"/>
    <n v="2760.6"/>
    <x v="25"/>
    <x v="3"/>
    <x v="3"/>
    <x v="3"/>
    <x v="0"/>
    <x v="2"/>
    <x v="1"/>
    <n v="187.79999999999973"/>
    <n v="3004.7999999999956"/>
    <x v="7"/>
  </r>
  <r>
    <n v="1078"/>
    <d v="2023-01-12T00:00:00"/>
    <n v="131042.07"/>
    <n v="36"/>
    <n v="4548.88"/>
    <n v="4853.41"/>
    <x v="26"/>
    <x v="3"/>
    <x v="3"/>
    <x v="1"/>
    <x v="0"/>
    <x v="2"/>
    <x v="1"/>
    <n v="304.52999999999975"/>
    <n v="10963.079999999991"/>
    <x v="5"/>
  </r>
  <r>
    <n v="1092"/>
    <d v="2023-11-14T00:00:00"/>
    <n v="113599.76039999998"/>
    <n v="28"/>
    <n v="3936.69"/>
    <n v="4362.51"/>
    <x v="17"/>
    <x v="3"/>
    <x v="3"/>
    <x v="2"/>
    <x v="0"/>
    <x v="2"/>
    <x v="1"/>
    <n v="425.82000000000016"/>
    <n v="11922.960000000005"/>
    <x v="8"/>
  </r>
  <r>
    <n v="1069"/>
    <d v="2023-03-21T00:00:00"/>
    <n v="74214.456799999738"/>
    <n v="29"/>
    <n v="2462.66"/>
    <n v="2908.0899999999901"/>
    <x v="7"/>
    <x v="0"/>
    <x v="3"/>
    <x v="0"/>
    <x v="1"/>
    <x v="2"/>
    <x v="0"/>
    <n v="445.42999999999029"/>
    <n v="12917.469999999717"/>
    <x v="4"/>
  </r>
  <r>
    <n v="1047"/>
    <d v="2023-08-04T00:00:00"/>
    <n v="191801.24720000004"/>
    <n v="47"/>
    <n v="4729.59"/>
    <n v="4976.68"/>
    <x v="13"/>
    <x v="3"/>
    <x v="2"/>
    <x v="2"/>
    <x v="0"/>
    <x v="2"/>
    <x v="1"/>
    <n v="247.09000000000015"/>
    <n v="11613.230000000007"/>
    <x v="3"/>
  </r>
  <r>
    <n v="1094"/>
    <d v="2023-12-05T00:00:00"/>
    <n v="7226.58"/>
    <n v="12"/>
    <n v="333.32"/>
    <n v="700.25"/>
    <x v="6"/>
    <x v="3"/>
    <x v="3"/>
    <x v="0"/>
    <x v="0"/>
    <x v="0"/>
    <x v="0"/>
    <n v="366.93"/>
    <n v="4403.16"/>
    <x v="9"/>
  </r>
  <r>
    <n v="1062"/>
    <d v="2023-09-21T00:00:00"/>
    <n v="153483.76999999999"/>
    <n v="37"/>
    <n v="4658.4399999999996"/>
    <n v="4823.5"/>
    <x v="6"/>
    <x v="1"/>
    <x v="0"/>
    <x v="3"/>
    <x v="0"/>
    <x v="2"/>
    <x v="0"/>
    <n v="165.0600000000004"/>
    <n v="6107.2200000000148"/>
    <x v="2"/>
  </r>
  <r>
    <n v="1069"/>
    <d v="2023-05-29T00:00:00"/>
    <n v="12754.055999999973"/>
    <n v="30"/>
    <n v="300.01"/>
    <n v="477.67999999999898"/>
    <x v="1"/>
    <x v="4"/>
    <x v="0"/>
    <x v="3"/>
    <x v="1"/>
    <x v="1"/>
    <x v="1"/>
    <n v="177.66999999999899"/>
    <n v="5330.0999999999694"/>
    <x v="10"/>
  </r>
  <r>
    <n v="1076"/>
    <d v="2023-03-22T00:00:00"/>
    <n v="54023.526999999995"/>
    <n v="23"/>
    <n v="2759.16"/>
    <n v="2864.45"/>
    <x v="13"/>
    <x v="2"/>
    <x v="2"/>
    <x v="1"/>
    <x v="0"/>
    <x v="2"/>
    <x v="1"/>
    <n v="105.28999999999996"/>
    <n v="2421.6699999999992"/>
    <x v="4"/>
  </r>
  <r>
    <n v="1016"/>
    <d v="2023-08-03T00:00:00"/>
    <n v="61469.668799999999"/>
    <n v="16"/>
    <n v="4457.68"/>
    <n v="4743.03"/>
    <x v="27"/>
    <x v="4"/>
    <x v="1"/>
    <x v="0"/>
    <x v="0"/>
    <x v="0"/>
    <x v="0"/>
    <n v="285.34999999999945"/>
    <n v="4565.5999999999913"/>
    <x v="3"/>
  </r>
  <r>
    <n v="1090"/>
    <d v="2023-07-17T00:00:00"/>
    <n v="16963.631999999998"/>
    <n v="14"/>
    <n v="1350.47"/>
    <n v="1514.61"/>
    <x v="2"/>
    <x v="1"/>
    <x v="0"/>
    <x v="3"/>
    <x v="1"/>
    <x v="2"/>
    <x v="1"/>
    <n v="164.13999999999987"/>
    <n v="2297.9599999999982"/>
    <x v="11"/>
  </r>
  <r>
    <n v="1090"/>
    <d v="2023-07-19T00:00:00"/>
    <n v="23901.905999999995"/>
    <n v="10"/>
    <n v="2387.63"/>
    <n v="2438.9699999999998"/>
    <x v="3"/>
    <x v="2"/>
    <x v="1"/>
    <x v="0"/>
    <x v="0"/>
    <x v="1"/>
    <x v="1"/>
    <n v="51.339999999999691"/>
    <n v="513.39999999999691"/>
    <x v="11"/>
  </r>
  <r>
    <n v="1048"/>
    <d v="2023-01-25T00:00:00"/>
    <n v="11346.123600000001"/>
    <n v="7"/>
    <n v="1655.43"/>
    <n v="2001.08"/>
    <x v="27"/>
    <x v="3"/>
    <x v="2"/>
    <x v="3"/>
    <x v="1"/>
    <x v="1"/>
    <x v="0"/>
    <n v="345.64999999999986"/>
    <n v="2419.5499999999993"/>
    <x v="5"/>
  </r>
  <r>
    <n v="1085"/>
    <d v="2023-03-30T00:00:00"/>
    <n v="163581.12449999998"/>
    <n v="45"/>
    <n v="4763.1099999999997"/>
    <n v="5119.91"/>
    <x v="12"/>
    <x v="1"/>
    <x v="1"/>
    <x v="2"/>
    <x v="0"/>
    <x v="0"/>
    <x v="1"/>
    <n v="356.80000000000018"/>
    <n v="16056.000000000007"/>
    <x v="4"/>
  </r>
  <r>
    <n v="1039"/>
    <d v="2023-09-25T00:00:00"/>
    <n v="134062.02599999998"/>
    <n v="37"/>
    <n v="4127.05"/>
    <n v="4313.45"/>
    <x v="28"/>
    <x v="3"/>
    <x v="1"/>
    <x v="3"/>
    <x v="1"/>
    <x v="0"/>
    <x v="0"/>
    <n v="186.39999999999964"/>
    <n v="6896.7999999999865"/>
    <x v="2"/>
  </r>
  <r>
    <n v="1100"/>
    <d v="2023-05-23T00:00:00"/>
    <n v="82639.806500000006"/>
    <n v="29"/>
    <n v="3559.56"/>
    <n v="3607.15"/>
    <x v="5"/>
    <x v="0"/>
    <x v="1"/>
    <x v="1"/>
    <x v="0"/>
    <x v="0"/>
    <x v="1"/>
    <n v="47.590000000000146"/>
    <n v="1380.1100000000042"/>
    <x v="10"/>
  </r>
  <r>
    <n v="1033"/>
    <d v="2023-02-28T00:00:00"/>
    <n v="7912.3235999999997"/>
    <n v="3"/>
    <n v="2958.75"/>
    <n v="3177.64"/>
    <x v="22"/>
    <x v="1"/>
    <x v="1"/>
    <x v="2"/>
    <x v="0"/>
    <x v="0"/>
    <x v="0"/>
    <n v="218.88999999999987"/>
    <n v="656.66999999999962"/>
    <x v="0"/>
  </r>
  <r>
    <n v="1094"/>
    <d v="2023-12-31T00:00:00"/>
    <n v="48159.237000000001"/>
    <n v="15"/>
    <n v="4111.93"/>
    <n v="4338.67"/>
    <x v="16"/>
    <x v="0"/>
    <x v="2"/>
    <x v="1"/>
    <x v="0"/>
    <x v="2"/>
    <x v="0"/>
    <n v="226.73999999999978"/>
    <n v="3401.0999999999967"/>
    <x v="9"/>
  </r>
  <r>
    <n v="1023"/>
    <d v="2023-01-26T00:00:00"/>
    <n v="60377.270399999994"/>
    <n v="36"/>
    <n v="1991.72"/>
    <n v="2329.37"/>
    <x v="24"/>
    <x v="1"/>
    <x v="0"/>
    <x v="2"/>
    <x v="1"/>
    <x v="2"/>
    <x v="1"/>
    <n v="337.64999999999986"/>
    <n v="12155.399999999994"/>
    <x v="5"/>
  </r>
  <r>
    <n v="1010"/>
    <d v="2023-02-16T00:00:00"/>
    <n v="107354.30739999999"/>
    <n v="47"/>
    <n v="2265.38"/>
    <n v="2429.9299999999998"/>
    <x v="18"/>
    <x v="1"/>
    <x v="3"/>
    <x v="0"/>
    <x v="0"/>
    <x v="1"/>
    <x v="0"/>
    <n v="164.54999999999973"/>
    <n v="7733.8499999999876"/>
    <x v="0"/>
  </r>
  <r>
    <n v="1069"/>
    <d v="2023-10-15T00:00:00"/>
    <n v="160399.3596"/>
    <n v="46"/>
    <n v="3663.51"/>
    <n v="4007.98"/>
    <x v="9"/>
    <x v="0"/>
    <x v="1"/>
    <x v="1"/>
    <x v="1"/>
    <x v="0"/>
    <x v="0"/>
    <n v="344.4699999999998"/>
    <n v="15845.619999999992"/>
    <x v="7"/>
  </r>
  <r>
    <n v="1100"/>
    <d v="2023-09-23T00:00:00"/>
    <n v="37752.422400000003"/>
    <n v="19"/>
    <n v="1820.89"/>
    <n v="2257.92"/>
    <x v="7"/>
    <x v="2"/>
    <x v="0"/>
    <x v="3"/>
    <x v="1"/>
    <x v="0"/>
    <x v="1"/>
    <n v="437.03"/>
    <n v="8303.57"/>
    <x v="2"/>
  </r>
  <r>
    <n v="1034"/>
    <d v="2023-01-16T00:00:00"/>
    <n v="5636.2592000000004"/>
    <n v="13"/>
    <n v="366.31"/>
    <n v="492.68"/>
    <x v="7"/>
    <x v="4"/>
    <x v="0"/>
    <x v="0"/>
    <x v="1"/>
    <x v="2"/>
    <x v="1"/>
    <n v="126.37"/>
    <n v="1642.81"/>
    <x v="5"/>
  </r>
  <r>
    <n v="1052"/>
    <d v="2023-07-18T00:00:00"/>
    <n v="36595.641599999995"/>
    <n v="42"/>
    <n v="417.96"/>
    <n v="907.63"/>
    <x v="14"/>
    <x v="3"/>
    <x v="2"/>
    <x v="3"/>
    <x v="1"/>
    <x v="0"/>
    <x v="1"/>
    <n v="489.67"/>
    <n v="20566.14"/>
    <x v="11"/>
  </r>
  <r>
    <n v="1095"/>
    <d v="2023-10-09T00:00:00"/>
    <n v="13093.105199999984"/>
    <n v="21"/>
    <n v="621.04999999999995"/>
    <n v="820.36999999999898"/>
    <x v="19"/>
    <x v="1"/>
    <x v="0"/>
    <x v="2"/>
    <x v="0"/>
    <x v="1"/>
    <x v="0"/>
    <n v="199.31999999999903"/>
    <n v="4185.7199999999793"/>
    <x v="7"/>
  </r>
  <r>
    <n v="1010"/>
    <d v="2023-03-27T00:00:00"/>
    <n v="164684.08439999999"/>
    <n v="37"/>
    <n v="4354.92"/>
    <n v="4495.88"/>
    <x v="30"/>
    <x v="3"/>
    <x v="2"/>
    <x v="2"/>
    <x v="0"/>
    <x v="1"/>
    <x v="0"/>
    <n v="140.96000000000004"/>
    <n v="5215.5200000000013"/>
    <x v="4"/>
  </r>
  <r>
    <n v="1019"/>
    <d v="2023-09-07T00:00:00"/>
    <n v="59060.080799999996"/>
    <n v="27"/>
    <n v="2387.52"/>
    <n v="2604.06"/>
    <x v="28"/>
    <x v="0"/>
    <x v="1"/>
    <x v="3"/>
    <x v="0"/>
    <x v="0"/>
    <x v="0"/>
    <n v="216.53999999999996"/>
    <n v="5846.579999999999"/>
    <x v="2"/>
  </r>
  <r>
    <n v="1058"/>
    <d v="2023-09-27T00:00:00"/>
    <n v="84332.464000000007"/>
    <n v="29"/>
    <n v="3578.77"/>
    <n v="3635.02"/>
    <x v="2"/>
    <x v="3"/>
    <x v="1"/>
    <x v="3"/>
    <x v="1"/>
    <x v="1"/>
    <x v="1"/>
    <n v="56.25"/>
    <n v="1631.25"/>
    <x v="2"/>
  </r>
  <r>
    <n v="1096"/>
    <d v="2023-12-01T00:00:00"/>
    <n v="38850.199999999997"/>
    <n v="20"/>
    <n v="1994.9"/>
    <n v="2066.5"/>
    <x v="18"/>
    <x v="0"/>
    <x v="3"/>
    <x v="0"/>
    <x v="0"/>
    <x v="1"/>
    <x v="0"/>
    <n v="71.599999999999909"/>
    <n v="1431.9999999999982"/>
    <x v="9"/>
  </r>
  <r>
    <n v="1001"/>
    <d v="2023-04-27T00:00:00"/>
    <n v="28172.342499999817"/>
    <n v="25"/>
    <n v="1330.62"/>
    <n v="1543.6899999999901"/>
    <x v="29"/>
    <x v="3"/>
    <x v="3"/>
    <x v="3"/>
    <x v="1"/>
    <x v="2"/>
    <x v="0"/>
    <n v="213.06999999999016"/>
    <n v="5326.7499999997544"/>
    <x v="1"/>
  </r>
  <r>
    <n v="1069"/>
    <d v="2023-01-07T00:00:00"/>
    <n v="9684.9"/>
    <n v="6"/>
    <n v="1768.6"/>
    <n v="2152.1999999999998"/>
    <x v="26"/>
    <x v="4"/>
    <x v="3"/>
    <x v="1"/>
    <x v="1"/>
    <x v="1"/>
    <x v="1"/>
    <n v="383.59999999999991"/>
    <n v="2301.5999999999995"/>
    <x v="5"/>
  </r>
  <r>
    <n v="1004"/>
    <d v="2023-05-17T00:00:00"/>
    <n v="137225.55599999969"/>
    <n v="36"/>
    <n v="3981.2"/>
    <n v="4432.3499999999904"/>
    <x v="6"/>
    <x v="4"/>
    <x v="0"/>
    <x v="1"/>
    <x v="1"/>
    <x v="0"/>
    <x v="0"/>
    <n v="451.14999999999054"/>
    <n v="16241.399999999659"/>
    <x v="10"/>
  </r>
  <r>
    <n v="1016"/>
    <d v="2023-06-25T00:00:00"/>
    <n v="6125.8207999999995"/>
    <n v="2"/>
    <n v="3144.82"/>
    <n v="3480.58"/>
    <x v="7"/>
    <x v="4"/>
    <x v="1"/>
    <x v="3"/>
    <x v="0"/>
    <x v="0"/>
    <x v="1"/>
    <n v="335.75999999999976"/>
    <n v="671.51999999999953"/>
    <x v="6"/>
  </r>
  <r>
    <n v="1024"/>
    <d v="2023-11-24T00:00:00"/>
    <n v="97243.924799999993"/>
    <n v="22"/>
    <n v="4691.32"/>
    <n v="4752.88"/>
    <x v="17"/>
    <x v="4"/>
    <x v="2"/>
    <x v="1"/>
    <x v="0"/>
    <x v="1"/>
    <x v="1"/>
    <n v="61.5600000000004"/>
    <n v="1354.3200000000088"/>
    <x v="8"/>
  </r>
  <r>
    <n v="1080"/>
    <d v="2023-11-11T00:00:00"/>
    <n v="93695.596799999999"/>
    <n v="32"/>
    <n v="3414.54"/>
    <n v="3753.83"/>
    <x v="20"/>
    <x v="4"/>
    <x v="3"/>
    <x v="3"/>
    <x v="1"/>
    <x v="0"/>
    <x v="1"/>
    <n v="339.28999999999996"/>
    <n v="10857.279999999999"/>
    <x v="8"/>
  </r>
  <r>
    <n v="1002"/>
    <d v="2023-08-03T00:00:00"/>
    <n v="49056.153600000005"/>
    <n v="16"/>
    <n v="2872.4"/>
    <n v="3193.76"/>
    <x v="14"/>
    <x v="4"/>
    <x v="2"/>
    <x v="0"/>
    <x v="0"/>
    <x v="2"/>
    <x v="0"/>
    <n v="321.36000000000013"/>
    <n v="5141.760000000002"/>
    <x v="3"/>
  </r>
  <r>
    <n v="1092"/>
    <d v="2023-03-23T00:00:00"/>
    <n v="50044.176000000007"/>
    <n v="18"/>
    <n v="3070.47"/>
    <n v="3475.29"/>
    <x v="2"/>
    <x v="0"/>
    <x v="2"/>
    <x v="1"/>
    <x v="0"/>
    <x v="1"/>
    <x v="0"/>
    <n v="404.82000000000016"/>
    <n v="7286.7600000000029"/>
    <x v="4"/>
  </r>
  <r>
    <n v="1032"/>
    <d v="2023-08-11T00:00:00"/>
    <n v="19234.162499999999"/>
    <n v="5"/>
    <n v="4714.74"/>
    <n v="5129.1099999999997"/>
    <x v="26"/>
    <x v="1"/>
    <x v="3"/>
    <x v="1"/>
    <x v="1"/>
    <x v="1"/>
    <x v="0"/>
    <n v="414.36999999999989"/>
    <n v="2071.8499999999995"/>
    <x v="3"/>
  </r>
  <r>
    <n v="1091"/>
    <d v="2023-04-13T00:00:00"/>
    <n v="146877.09479999999"/>
    <n v="36"/>
    <n v="3951.59"/>
    <n v="4387.01"/>
    <x v="17"/>
    <x v="3"/>
    <x v="1"/>
    <x v="3"/>
    <x v="1"/>
    <x v="1"/>
    <x v="1"/>
    <n v="435.42000000000007"/>
    <n v="15675.120000000003"/>
    <x v="1"/>
  </r>
  <r>
    <n v="1084"/>
    <d v="2023-09-30T00:00:00"/>
    <n v="8478.623999999978"/>
    <n v="30"/>
    <n v="169"/>
    <n v="381.91999999999899"/>
    <x v="16"/>
    <x v="4"/>
    <x v="3"/>
    <x v="1"/>
    <x v="0"/>
    <x v="0"/>
    <x v="1"/>
    <n v="212.91999999999899"/>
    <n v="6387.5999999999694"/>
    <x v="2"/>
  </r>
  <r>
    <n v="1024"/>
    <d v="2023-01-14T00:00:00"/>
    <n v="135696.62699999954"/>
    <n v="45"/>
    <n v="2693.99"/>
    <n v="3045.9399999999901"/>
    <x v="30"/>
    <x v="0"/>
    <x v="2"/>
    <x v="2"/>
    <x v="1"/>
    <x v="0"/>
    <x v="1"/>
    <n v="351.94999999999027"/>
    <n v="15837.749999999562"/>
    <x v="5"/>
  </r>
  <r>
    <n v="1012"/>
    <d v="2023-06-08T00:00:00"/>
    <n v="49914.246399999996"/>
    <n v="19"/>
    <n v="3457.28"/>
    <n v="3598.72"/>
    <x v="29"/>
    <x v="0"/>
    <x v="3"/>
    <x v="0"/>
    <x v="1"/>
    <x v="1"/>
    <x v="0"/>
    <n v="141.4399999999996"/>
    <n v="2687.3599999999924"/>
    <x v="6"/>
  </r>
  <r>
    <n v="1050"/>
    <d v="2023-06-01T00:00:00"/>
    <n v="93966.518399999986"/>
    <n v="23"/>
    <n v="3756.06"/>
    <n v="4255.7299999999996"/>
    <x v="14"/>
    <x v="0"/>
    <x v="2"/>
    <x v="0"/>
    <x v="0"/>
    <x v="0"/>
    <x v="0"/>
    <n v="499.66999999999962"/>
    <n v="11492.409999999991"/>
    <x v="6"/>
  </r>
  <r>
    <n v="1035"/>
    <d v="2023-04-18T00:00:00"/>
    <n v="33074.438399999999"/>
    <n v="34"/>
    <n v="1105.05"/>
    <n v="1200.96"/>
    <x v="27"/>
    <x v="1"/>
    <x v="2"/>
    <x v="1"/>
    <x v="0"/>
    <x v="0"/>
    <x v="0"/>
    <n v="95.910000000000082"/>
    <n v="3260.9400000000028"/>
    <x v="1"/>
  </r>
  <r>
    <n v="1033"/>
    <d v="2023-07-07T00:00:00"/>
    <n v="52115.580399999999"/>
    <n v="13"/>
    <n v="4342.53"/>
    <n v="4357.49"/>
    <x v="4"/>
    <x v="3"/>
    <x v="3"/>
    <x v="1"/>
    <x v="1"/>
    <x v="1"/>
    <x v="0"/>
    <n v="14.960000000000036"/>
    <n v="194.48000000000047"/>
    <x v="11"/>
  </r>
  <r>
    <n v="1033"/>
    <d v="2023-10-28T00:00:00"/>
    <n v="156874.965"/>
    <n v="43"/>
    <n v="4781.42"/>
    <n v="4864.34"/>
    <x v="26"/>
    <x v="1"/>
    <x v="0"/>
    <x v="2"/>
    <x v="0"/>
    <x v="1"/>
    <x v="0"/>
    <n v="82.920000000000073"/>
    <n v="3565.5600000000031"/>
    <x v="7"/>
  </r>
  <r>
    <n v="1061"/>
    <d v="2023-04-08T00:00:00"/>
    <n v="39733.828000000001"/>
    <n v="29"/>
    <n v="1221.74"/>
    <n v="1611.92"/>
    <x v="25"/>
    <x v="2"/>
    <x v="3"/>
    <x v="2"/>
    <x v="1"/>
    <x v="0"/>
    <x v="1"/>
    <n v="390.18000000000006"/>
    <n v="11315.220000000001"/>
    <x v="1"/>
  </r>
  <r>
    <n v="1051"/>
    <d v="2023-05-11T00:00:00"/>
    <n v="160630.3872"/>
    <n v="36"/>
    <n v="4418.95"/>
    <n v="4647.87"/>
    <x v="14"/>
    <x v="0"/>
    <x v="0"/>
    <x v="1"/>
    <x v="1"/>
    <x v="1"/>
    <x v="0"/>
    <n v="228.92000000000007"/>
    <n v="8241.1200000000026"/>
    <x v="10"/>
  </r>
  <r>
    <n v="1043"/>
    <d v="2023-10-20T00:00:00"/>
    <n v="13865.183199999981"/>
    <n v="22"/>
    <n v="530.04"/>
    <n v="759.31999999999903"/>
    <x v="22"/>
    <x v="2"/>
    <x v="2"/>
    <x v="1"/>
    <x v="0"/>
    <x v="1"/>
    <x v="1"/>
    <n v="229.27999999999906"/>
    <n v="5044.1599999999798"/>
    <x v="7"/>
  </r>
  <r>
    <n v="1012"/>
    <d v="2023-06-20T00:00:00"/>
    <n v="33241.445599999999"/>
    <n v="47"/>
    <n v="325.75"/>
    <n v="803.71"/>
    <x v="7"/>
    <x v="4"/>
    <x v="2"/>
    <x v="2"/>
    <x v="1"/>
    <x v="1"/>
    <x v="1"/>
    <n v="477.96000000000004"/>
    <n v="22464.120000000003"/>
    <x v="6"/>
  </r>
  <r>
    <n v="1067"/>
    <d v="2023-07-02T00:00:00"/>
    <n v="33128.064000000006"/>
    <n v="36"/>
    <n v="689.66"/>
    <n v="1150.28"/>
    <x v="2"/>
    <x v="4"/>
    <x v="0"/>
    <x v="3"/>
    <x v="1"/>
    <x v="1"/>
    <x v="0"/>
    <n v="460.62"/>
    <n v="16582.32"/>
    <x v="11"/>
  </r>
  <r>
    <n v="1065"/>
    <d v="2023-12-30T00:00:00"/>
    <n v="3318.7446"/>
    <n v="9"/>
    <n v="335.82"/>
    <n v="498.31"/>
    <x v="16"/>
    <x v="1"/>
    <x v="2"/>
    <x v="2"/>
    <x v="1"/>
    <x v="0"/>
    <x v="1"/>
    <n v="162.49"/>
    <n v="1462.41"/>
    <x v="9"/>
  </r>
  <r>
    <n v="1033"/>
    <d v="2023-02-08T00:00:00"/>
    <n v="149128.98000000001"/>
    <n v="39"/>
    <n v="4232.8100000000004"/>
    <n v="4345.25"/>
    <x v="7"/>
    <x v="3"/>
    <x v="0"/>
    <x v="3"/>
    <x v="0"/>
    <x v="1"/>
    <x v="0"/>
    <n v="112.4399999999996"/>
    <n v="4385.1599999999844"/>
    <x v="0"/>
  </r>
  <r>
    <n v="1040"/>
    <d v="2023-01-15T00:00:00"/>
    <n v="13279.7574"/>
    <n v="19"/>
    <n v="342.3"/>
    <n v="768.06"/>
    <x v="0"/>
    <x v="2"/>
    <x v="0"/>
    <x v="0"/>
    <x v="0"/>
    <x v="2"/>
    <x v="0"/>
    <n v="425.75999999999993"/>
    <n v="8089.4399999999987"/>
    <x v="5"/>
  </r>
  <r>
    <n v="1074"/>
    <d v="2023-01-04T00:00:00"/>
    <n v="70250.22"/>
    <n v="38"/>
    <n v="1394.74"/>
    <n v="1848.69"/>
    <x v="11"/>
    <x v="3"/>
    <x v="2"/>
    <x v="0"/>
    <x v="0"/>
    <x v="1"/>
    <x v="1"/>
    <n v="453.95000000000005"/>
    <n v="17250.100000000002"/>
    <x v="5"/>
  </r>
  <r>
    <n v="1043"/>
    <d v="2023-12-15T00:00:00"/>
    <n v="4178.0705999999991"/>
    <n v="6"/>
    <n v="563.59"/>
    <n v="838.97"/>
    <x v="22"/>
    <x v="1"/>
    <x v="1"/>
    <x v="2"/>
    <x v="1"/>
    <x v="2"/>
    <x v="0"/>
    <n v="275.38"/>
    <n v="1652.28"/>
    <x v="9"/>
  </r>
  <r>
    <n v="1044"/>
    <d v="2023-07-29T00:00:00"/>
    <n v="75720.233600000007"/>
    <n v="47"/>
    <n v="1512.34"/>
    <n v="1830.76"/>
    <x v="7"/>
    <x v="4"/>
    <x v="0"/>
    <x v="3"/>
    <x v="1"/>
    <x v="1"/>
    <x v="0"/>
    <n v="318.42000000000007"/>
    <n v="14965.740000000003"/>
    <x v="11"/>
  </r>
  <r>
    <n v="1029"/>
    <d v="2023-06-10T00:00:00"/>
    <n v="8466.0360000000001"/>
    <n v="15"/>
    <n v="498.27"/>
    <n v="634.16"/>
    <x v="1"/>
    <x v="3"/>
    <x v="3"/>
    <x v="2"/>
    <x v="0"/>
    <x v="2"/>
    <x v="1"/>
    <n v="135.88999999999999"/>
    <n v="2038.35"/>
    <x v="6"/>
  </r>
  <r>
    <n v="1013"/>
    <d v="2023-01-16T00:00:00"/>
    <n v="71421.189999999813"/>
    <n v="20"/>
    <n v="3356.62"/>
    <n v="3759.0099999999902"/>
    <x v="8"/>
    <x v="3"/>
    <x v="3"/>
    <x v="2"/>
    <x v="0"/>
    <x v="2"/>
    <x v="1"/>
    <n v="402.38999999999032"/>
    <n v="8047.7999999998065"/>
    <x v="5"/>
  </r>
  <r>
    <n v="1012"/>
    <d v="2023-04-18T00:00:00"/>
    <n v="8062.6292999999996"/>
    <n v="9"/>
    <n v="709.97"/>
    <n v="1029.71"/>
    <x v="9"/>
    <x v="4"/>
    <x v="2"/>
    <x v="3"/>
    <x v="0"/>
    <x v="1"/>
    <x v="1"/>
    <n v="319.74"/>
    <n v="2877.66"/>
    <x v="1"/>
  </r>
  <r>
    <n v="1095"/>
    <d v="2023-11-07T00:00:00"/>
    <n v="101323.26399999998"/>
    <n v="32"/>
    <n v="4266.6400000000003"/>
    <n v="4523.3599999999997"/>
    <x v="23"/>
    <x v="2"/>
    <x v="1"/>
    <x v="2"/>
    <x v="1"/>
    <x v="1"/>
    <x v="1"/>
    <n v="256.71999999999935"/>
    <n v="8215.039999999979"/>
    <x v="8"/>
  </r>
  <r>
    <n v="1046"/>
    <d v="2023-08-15T00:00:00"/>
    <n v="15049.762000000001"/>
    <n v="4"/>
    <n v="4095.1"/>
    <n v="4134.55"/>
    <x v="0"/>
    <x v="4"/>
    <x v="2"/>
    <x v="0"/>
    <x v="0"/>
    <x v="1"/>
    <x v="1"/>
    <n v="39.450000000000273"/>
    <n v="157.80000000000109"/>
    <x v="3"/>
  </r>
  <r>
    <n v="1002"/>
    <d v="2023-06-19T00:00:00"/>
    <n v="8508.2544000000016"/>
    <n v="18"/>
    <n v="117.63"/>
    <n v="576.44000000000005"/>
    <x v="13"/>
    <x v="3"/>
    <x v="1"/>
    <x v="1"/>
    <x v="1"/>
    <x v="2"/>
    <x v="1"/>
    <n v="458.81000000000006"/>
    <n v="8258.5800000000017"/>
    <x v="6"/>
  </r>
  <r>
    <n v="1035"/>
    <d v="2023-02-03T00:00:00"/>
    <n v="18462.366999999998"/>
    <n v="5"/>
    <n v="4483.8500000000004"/>
    <n v="4795.42"/>
    <x v="10"/>
    <x v="2"/>
    <x v="0"/>
    <x v="1"/>
    <x v="0"/>
    <x v="0"/>
    <x v="0"/>
    <n v="311.56999999999971"/>
    <n v="1557.8499999999985"/>
    <x v="0"/>
  </r>
  <r>
    <n v="1087"/>
    <d v="2023-09-08T00:00:00"/>
    <n v="4643.9639999999999"/>
    <n v="20"/>
    <n v="193.27"/>
    <n v="297.69"/>
    <x v="20"/>
    <x v="2"/>
    <x v="0"/>
    <x v="2"/>
    <x v="1"/>
    <x v="0"/>
    <x v="0"/>
    <n v="104.41999999999999"/>
    <n v="2088.3999999999996"/>
    <x v="2"/>
  </r>
  <r>
    <n v="1081"/>
    <d v="2023-09-04T00:00:00"/>
    <n v="31947.966000000004"/>
    <n v="23"/>
    <n v="1236.25"/>
    <n v="1543.38"/>
    <x v="15"/>
    <x v="4"/>
    <x v="0"/>
    <x v="3"/>
    <x v="1"/>
    <x v="1"/>
    <x v="0"/>
    <n v="307.13000000000011"/>
    <n v="7063.9900000000025"/>
    <x v="2"/>
  </r>
  <r>
    <n v="1090"/>
    <d v="2023-09-26T00:00:00"/>
    <n v="4981.6558000000005"/>
    <n v="11"/>
    <n v="210.33"/>
    <n v="552.29"/>
    <x v="13"/>
    <x v="3"/>
    <x v="0"/>
    <x v="3"/>
    <x v="0"/>
    <x v="0"/>
    <x v="1"/>
    <n v="341.95999999999992"/>
    <n v="3761.559999999999"/>
    <x v="2"/>
  </r>
  <r>
    <n v="1008"/>
    <d v="2023-05-21T00:00:00"/>
    <n v="54214.042800000003"/>
    <n v="37"/>
    <n v="1712.43"/>
    <n v="1980.06"/>
    <x v="16"/>
    <x v="1"/>
    <x v="3"/>
    <x v="0"/>
    <x v="1"/>
    <x v="0"/>
    <x v="0"/>
    <n v="267.62999999999988"/>
    <n v="9902.3099999999959"/>
    <x v="10"/>
  </r>
  <r>
    <n v="1093"/>
    <d v="2023-10-01T00:00:00"/>
    <n v="65021.219999999783"/>
    <n v="22"/>
    <n v="2593.64"/>
    <n v="2955.5099999999902"/>
    <x v="11"/>
    <x v="3"/>
    <x v="3"/>
    <x v="3"/>
    <x v="0"/>
    <x v="1"/>
    <x v="1"/>
    <n v="361.86999999999034"/>
    <n v="7961.1399999997875"/>
    <x v="7"/>
  </r>
  <r>
    <n v="1026"/>
    <d v="2023-04-06T00:00:00"/>
    <n v="14923.284"/>
    <n v="4"/>
    <n v="3993.39"/>
    <n v="4288.3"/>
    <x v="9"/>
    <x v="0"/>
    <x v="2"/>
    <x v="3"/>
    <x v="1"/>
    <x v="2"/>
    <x v="0"/>
    <n v="294.91000000000031"/>
    <n v="1179.6400000000012"/>
    <x v="1"/>
  </r>
  <r>
    <n v="1074"/>
    <d v="2023-08-15T00:00:00"/>
    <n v="59264.417399999998"/>
    <n v="29"/>
    <n v="1723.01"/>
    <n v="2197.42"/>
    <x v="17"/>
    <x v="1"/>
    <x v="1"/>
    <x v="0"/>
    <x v="1"/>
    <x v="1"/>
    <x v="1"/>
    <n v="474.41000000000008"/>
    <n v="13757.890000000003"/>
    <x v="3"/>
  </r>
  <r>
    <n v="1090"/>
    <d v="2023-02-08T00:00:00"/>
    <n v="138559.13279999999"/>
    <n v="44"/>
    <n v="3542.18"/>
    <n v="3578.49"/>
    <x v="7"/>
    <x v="2"/>
    <x v="0"/>
    <x v="2"/>
    <x v="0"/>
    <x v="0"/>
    <x v="0"/>
    <n v="36.309999999999945"/>
    <n v="1597.6399999999976"/>
    <x v="0"/>
  </r>
  <r>
    <n v="1034"/>
    <d v="2023-10-29T00:00:00"/>
    <n v="31123.083200000001"/>
    <n v="34"/>
    <n v="978.15"/>
    <n v="1040.21"/>
    <x v="7"/>
    <x v="1"/>
    <x v="0"/>
    <x v="1"/>
    <x v="1"/>
    <x v="2"/>
    <x v="1"/>
    <n v="62.060000000000059"/>
    <n v="2110.0400000000018"/>
    <x v="7"/>
  </r>
  <r>
    <n v="1007"/>
    <d v="2023-01-29T00:00:00"/>
    <n v="39146.078399999999"/>
    <n v="13"/>
    <n v="3765.46"/>
    <n v="3860.56"/>
    <x v="20"/>
    <x v="2"/>
    <x v="1"/>
    <x v="0"/>
    <x v="0"/>
    <x v="0"/>
    <x v="1"/>
    <n v="95.099999999999909"/>
    <n v="1236.2999999999988"/>
    <x v="5"/>
  </r>
  <r>
    <n v="1068"/>
    <d v="2023-11-14T00:00:00"/>
    <n v="63813.506399999991"/>
    <n v="42"/>
    <n v="1218.18"/>
    <n v="1566.36"/>
    <x v="21"/>
    <x v="2"/>
    <x v="1"/>
    <x v="2"/>
    <x v="0"/>
    <x v="2"/>
    <x v="1"/>
    <n v="348.17999999999984"/>
    <n v="14623.559999999994"/>
    <x v="8"/>
  </r>
  <r>
    <n v="1058"/>
    <d v="2023-09-02T00:00:00"/>
    <n v="8314.7084999999242"/>
    <n v="9"/>
    <n v="760.55"/>
    <n v="1086.8899999999901"/>
    <x v="25"/>
    <x v="1"/>
    <x v="2"/>
    <x v="0"/>
    <x v="0"/>
    <x v="0"/>
    <x v="1"/>
    <n v="326.33999999999014"/>
    <n v="2937.0599999999113"/>
    <x v="2"/>
  </r>
  <r>
    <n v="1075"/>
    <d v="2023-08-24T00:00:00"/>
    <n v="49322.716800000002"/>
    <n v="42"/>
    <n v="967.77"/>
    <n v="1414.88"/>
    <x v="22"/>
    <x v="2"/>
    <x v="1"/>
    <x v="2"/>
    <x v="1"/>
    <x v="1"/>
    <x v="0"/>
    <n v="447.11000000000013"/>
    <n v="18778.620000000006"/>
    <x v="3"/>
  </r>
  <r>
    <n v="1029"/>
    <d v="2023-07-04T00:00:00"/>
    <n v="34790.432000000001"/>
    <n v="31"/>
    <n v="951.21"/>
    <n v="1320.32"/>
    <x v="25"/>
    <x v="2"/>
    <x v="0"/>
    <x v="0"/>
    <x v="1"/>
    <x v="0"/>
    <x v="0"/>
    <n v="369.1099999999999"/>
    <n v="11442.409999999996"/>
    <x v="11"/>
  </r>
  <r>
    <n v="1036"/>
    <d v="2023-09-29T00:00:00"/>
    <n v="15548.7696"/>
    <n v="7"/>
    <n v="2588.67"/>
    <n v="2847.76"/>
    <x v="20"/>
    <x v="0"/>
    <x v="0"/>
    <x v="2"/>
    <x v="1"/>
    <x v="0"/>
    <x v="1"/>
    <n v="259.09000000000015"/>
    <n v="1813.630000000001"/>
    <x v="2"/>
  </r>
  <r>
    <n v="1089"/>
    <d v="2023-08-24T00:00:00"/>
    <n v="16641.68"/>
    <n v="4"/>
    <n v="4231.75"/>
    <n v="4727.75"/>
    <x v="7"/>
    <x v="3"/>
    <x v="0"/>
    <x v="0"/>
    <x v="0"/>
    <x v="2"/>
    <x v="1"/>
    <n v="496"/>
    <n v="1984"/>
    <x v="3"/>
  </r>
  <r>
    <n v="1021"/>
    <d v="2023-08-27T00:00:00"/>
    <n v="7995.1392000000005"/>
    <n v="19"/>
    <n v="444.05"/>
    <n v="584.44000000000005"/>
    <x v="24"/>
    <x v="3"/>
    <x v="0"/>
    <x v="2"/>
    <x v="0"/>
    <x v="0"/>
    <x v="1"/>
    <n v="140.39000000000004"/>
    <n v="2667.4100000000008"/>
    <x v="3"/>
  </r>
  <r>
    <n v="1036"/>
    <d v="2023-09-23T00:00:00"/>
    <n v="143312.96279999963"/>
    <n v="42"/>
    <n v="3549.43"/>
    <n v="3967.6899999999901"/>
    <x v="6"/>
    <x v="0"/>
    <x v="0"/>
    <x v="0"/>
    <x v="1"/>
    <x v="1"/>
    <x v="0"/>
    <n v="418.25999999999021"/>
    <n v="17566.919999999591"/>
    <x v="2"/>
  </r>
  <r>
    <n v="1010"/>
    <d v="2023-12-25T00:00:00"/>
    <n v="87352.685999999987"/>
    <n v="30"/>
    <n v="3289.01"/>
    <n v="3508.14"/>
    <x v="22"/>
    <x v="1"/>
    <x v="2"/>
    <x v="1"/>
    <x v="1"/>
    <x v="1"/>
    <x v="1"/>
    <n v="219.12999999999965"/>
    <n v="6573.8999999999896"/>
    <x v="9"/>
  </r>
  <r>
    <n v="1073"/>
    <d v="2023-12-06T00:00:00"/>
    <n v="109201.76250000001"/>
    <n v="31"/>
    <n v="4368.97"/>
    <n v="4696.8500000000004"/>
    <x v="26"/>
    <x v="4"/>
    <x v="0"/>
    <x v="1"/>
    <x v="0"/>
    <x v="1"/>
    <x v="1"/>
    <n v="327.88000000000011"/>
    <n v="10164.280000000002"/>
    <x v="9"/>
  </r>
  <r>
    <n v="1024"/>
    <d v="2023-03-06T00:00:00"/>
    <n v="52321.457999999686"/>
    <n v="35"/>
    <n v="1258.53"/>
    <n v="1624.8899999999901"/>
    <x v="4"/>
    <x v="4"/>
    <x v="2"/>
    <x v="3"/>
    <x v="1"/>
    <x v="2"/>
    <x v="0"/>
    <n v="366.35999999999012"/>
    <n v="12822.599999999655"/>
    <x v="4"/>
  </r>
  <r>
    <n v="1064"/>
    <d v="2023-06-26T00:00:00"/>
    <n v="53478.776400000002"/>
    <n v="21"/>
    <n v="2278.04"/>
    <n v="2598.58"/>
    <x v="3"/>
    <x v="4"/>
    <x v="0"/>
    <x v="2"/>
    <x v="0"/>
    <x v="2"/>
    <x v="1"/>
    <n v="320.53999999999996"/>
    <n v="6731.3399999999992"/>
    <x v="6"/>
  </r>
  <r>
    <n v="1099"/>
    <d v="2023-01-03T00:00:00"/>
    <n v="115389.533"/>
    <n v="31"/>
    <n v="4632.8500000000004"/>
    <n v="4711.7"/>
    <x v="5"/>
    <x v="0"/>
    <x v="3"/>
    <x v="0"/>
    <x v="1"/>
    <x v="0"/>
    <x v="1"/>
    <n v="78.849999999999454"/>
    <n v="2444.3499999999831"/>
    <x v="5"/>
  </r>
  <r>
    <n v="1049"/>
    <d v="2023-05-22T00:00:00"/>
    <n v="57909.286800000002"/>
    <n v="19"/>
    <n v="3316.97"/>
    <n v="3544.02"/>
    <x v="6"/>
    <x v="0"/>
    <x v="3"/>
    <x v="2"/>
    <x v="0"/>
    <x v="0"/>
    <x v="0"/>
    <n v="227.05000000000018"/>
    <n v="4313.9500000000035"/>
    <x v="10"/>
  </r>
  <r>
    <n v="1099"/>
    <d v="2023-06-07T00:00:00"/>
    <n v="51132.485000000001"/>
    <n v="31"/>
    <n v="1974.4"/>
    <n v="2259.5"/>
    <x v="29"/>
    <x v="2"/>
    <x v="3"/>
    <x v="1"/>
    <x v="1"/>
    <x v="0"/>
    <x v="1"/>
    <n v="285.09999999999991"/>
    <n v="8838.0999999999967"/>
    <x v="6"/>
  </r>
  <r>
    <n v="1036"/>
    <d v="2023-11-20T00:00:00"/>
    <n v="25594.534399999997"/>
    <n v="32"/>
    <n v="700.49"/>
    <n v="1126.52"/>
    <x v="12"/>
    <x v="4"/>
    <x v="3"/>
    <x v="2"/>
    <x v="1"/>
    <x v="2"/>
    <x v="1"/>
    <n v="426.03"/>
    <n v="13632.96"/>
    <x v="8"/>
  </r>
  <r>
    <n v="1082"/>
    <d v="2023-05-26T00:00:00"/>
    <n v="2774.9744000000001"/>
    <n v="2"/>
    <n v="1349.3"/>
    <n v="1576.69"/>
    <x v="7"/>
    <x v="1"/>
    <x v="2"/>
    <x v="0"/>
    <x v="0"/>
    <x v="2"/>
    <x v="0"/>
    <n v="227.3900000000001"/>
    <n v="454.7800000000002"/>
    <x v="10"/>
  </r>
  <r>
    <n v="1096"/>
    <d v="2023-10-20T00:00:00"/>
    <n v="29807.448"/>
    <n v="10"/>
    <n v="2927.02"/>
    <n v="3387.21"/>
    <x v="7"/>
    <x v="1"/>
    <x v="2"/>
    <x v="2"/>
    <x v="0"/>
    <x v="0"/>
    <x v="1"/>
    <n v="460.19000000000005"/>
    <n v="4601.9000000000005"/>
    <x v="7"/>
  </r>
  <r>
    <n v="1024"/>
    <d v="2023-06-02T00:00:00"/>
    <n v="6742.0496000000003"/>
    <n v="2"/>
    <n v="3604.93"/>
    <n v="3830.71"/>
    <x v="7"/>
    <x v="4"/>
    <x v="1"/>
    <x v="0"/>
    <x v="0"/>
    <x v="2"/>
    <x v="0"/>
    <n v="225.7800000000002"/>
    <n v="451.5600000000004"/>
    <x v="6"/>
  </r>
  <r>
    <n v="1023"/>
    <d v="2023-07-12T00:00:00"/>
    <n v="1700.6220000000001"/>
    <n v="2"/>
    <n v="665.89"/>
    <n v="944.79"/>
    <x v="15"/>
    <x v="4"/>
    <x v="0"/>
    <x v="1"/>
    <x v="1"/>
    <x v="2"/>
    <x v="1"/>
    <n v="278.89999999999998"/>
    <n v="557.79999999999995"/>
    <x v="11"/>
  </r>
  <r>
    <n v="1062"/>
    <d v="2023-03-14T00:00:00"/>
    <n v="63168.1512"/>
    <n v="24"/>
    <n v="3018.01"/>
    <n v="3418.19"/>
    <x v="10"/>
    <x v="4"/>
    <x v="3"/>
    <x v="1"/>
    <x v="0"/>
    <x v="1"/>
    <x v="1"/>
    <n v="400.17999999999984"/>
    <n v="9604.3199999999961"/>
    <x v="4"/>
  </r>
  <r>
    <n v="1096"/>
    <d v="2023-11-01T00:00:00"/>
    <n v="40185.514599999871"/>
    <n v="17"/>
    <n v="2774.24"/>
    <n v="3069.9399999999901"/>
    <x v="10"/>
    <x v="0"/>
    <x v="2"/>
    <x v="1"/>
    <x v="0"/>
    <x v="1"/>
    <x v="1"/>
    <n v="295.69999999999027"/>
    <n v="5026.8999999998341"/>
    <x v="8"/>
  </r>
  <r>
    <n v="1037"/>
    <d v="2023-12-10T00:00:00"/>
    <n v="84612.716800000009"/>
    <n v="32"/>
    <n v="2594.08"/>
    <n v="3074.59"/>
    <x v="6"/>
    <x v="0"/>
    <x v="0"/>
    <x v="3"/>
    <x v="1"/>
    <x v="0"/>
    <x v="1"/>
    <n v="480.51000000000022"/>
    <n v="15376.320000000007"/>
    <x v="9"/>
  </r>
  <r>
    <n v="1012"/>
    <d v="2023-05-20T00:00:00"/>
    <n v="60186.772799999999"/>
    <n v="16"/>
    <n v="3466.11"/>
    <n v="3799.67"/>
    <x v="30"/>
    <x v="0"/>
    <x v="0"/>
    <x v="1"/>
    <x v="0"/>
    <x v="0"/>
    <x v="1"/>
    <n v="333.55999999999995"/>
    <n v="5336.9599999999991"/>
    <x v="10"/>
  </r>
  <r>
    <n v="1055"/>
    <d v="2023-07-06T00:00:00"/>
    <n v="64959.585600000006"/>
    <n v="16"/>
    <n v="4195.38"/>
    <n v="4461.51"/>
    <x v="0"/>
    <x v="3"/>
    <x v="2"/>
    <x v="2"/>
    <x v="0"/>
    <x v="1"/>
    <x v="0"/>
    <n v="266.13000000000011"/>
    <n v="4258.0800000000017"/>
    <x v="11"/>
  </r>
  <r>
    <n v="1013"/>
    <d v="2023-10-20T00:00:00"/>
    <n v="69921.2696"/>
    <n v="46"/>
    <n v="1648.8"/>
    <n v="1670.36"/>
    <x v="0"/>
    <x v="1"/>
    <x v="3"/>
    <x v="3"/>
    <x v="0"/>
    <x v="2"/>
    <x v="1"/>
    <n v="21.559999999999945"/>
    <n v="991.75999999999749"/>
    <x v="7"/>
  </r>
  <r>
    <n v="1023"/>
    <d v="2023-03-02T00:00:00"/>
    <n v="138221.39759999971"/>
    <n v="39"/>
    <n v="4450.6099999999997"/>
    <n v="4663.3399999999901"/>
    <x v="19"/>
    <x v="1"/>
    <x v="1"/>
    <x v="1"/>
    <x v="1"/>
    <x v="0"/>
    <x v="1"/>
    <n v="212.72999999999047"/>
    <n v="8296.4699999996283"/>
    <x v="4"/>
  </r>
  <r>
    <n v="1089"/>
    <d v="2023-07-17T00:00:00"/>
    <n v="30123.223899999997"/>
    <n v="31"/>
    <n v="845.14"/>
    <n v="1001.77"/>
    <x v="21"/>
    <x v="2"/>
    <x v="0"/>
    <x v="2"/>
    <x v="1"/>
    <x v="0"/>
    <x v="0"/>
    <n v="156.63"/>
    <n v="4855.53"/>
    <x v="11"/>
  </r>
  <r>
    <n v="1099"/>
    <d v="2023-10-22T00:00:00"/>
    <n v="41929.747199999998"/>
    <n v="43"/>
    <n v="906.47"/>
    <n v="1283.04"/>
    <x v="19"/>
    <x v="0"/>
    <x v="1"/>
    <x v="2"/>
    <x v="1"/>
    <x v="0"/>
    <x v="0"/>
    <n v="376.56999999999994"/>
    <n v="16192.509999999997"/>
    <x v="7"/>
  </r>
  <r>
    <n v="1030"/>
    <d v="2023-11-15T00:00:00"/>
    <n v="28465.536"/>
    <n v="24"/>
    <n v="1370.52"/>
    <n v="1482.58"/>
    <x v="2"/>
    <x v="3"/>
    <x v="3"/>
    <x v="2"/>
    <x v="0"/>
    <x v="2"/>
    <x v="1"/>
    <n v="112.05999999999995"/>
    <n v="2689.4399999999987"/>
    <x v="8"/>
  </r>
  <r>
    <n v="1017"/>
    <d v="2023-10-29T00:00:00"/>
    <n v="586.74720000000002"/>
    <n v="1"/>
    <n v="641.67999999999995"/>
    <n v="752.24"/>
    <x v="20"/>
    <x v="3"/>
    <x v="3"/>
    <x v="0"/>
    <x v="1"/>
    <x v="1"/>
    <x v="0"/>
    <n v="110.56000000000006"/>
    <n v="110.56000000000006"/>
    <x v="7"/>
  </r>
  <r>
    <n v="1062"/>
    <d v="2023-12-10T00:00:00"/>
    <n v="12373.435799999905"/>
    <n v="11"/>
    <n v="1190.08"/>
    <n v="1292.9399999999901"/>
    <x v="9"/>
    <x v="1"/>
    <x v="1"/>
    <x v="3"/>
    <x v="0"/>
    <x v="0"/>
    <x v="1"/>
    <n v="102.85999999999012"/>
    <n v="1131.4599999998914"/>
    <x v="9"/>
  </r>
  <r>
    <n v="1084"/>
    <d v="2023-01-11T00:00:00"/>
    <n v="10891.272000000001"/>
    <n v="21"/>
    <n v="576.74"/>
    <n v="648.29"/>
    <x v="2"/>
    <x v="0"/>
    <x v="3"/>
    <x v="2"/>
    <x v="0"/>
    <x v="1"/>
    <x v="0"/>
    <n v="71.549999999999955"/>
    <n v="1502.549999999999"/>
    <x v="5"/>
  </r>
  <r>
    <n v="1089"/>
    <d v="2023-03-03T00:00:00"/>
    <n v="14038.596800000003"/>
    <n v="4"/>
    <n v="4117.67"/>
    <n v="4280.0600000000004"/>
    <x v="13"/>
    <x v="2"/>
    <x v="0"/>
    <x v="0"/>
    <x v="0"/>
    <x v="1"/>
    <x v="0"/>
    <n v="162.39000000000033"/>
    <n v="649.56000000000131"/>
    <x v="4"/>
  </r>
  <r>
    <n v="1086"/>
    <d v="2023-11-29T00:00:00"/>
    <n v="6370.9800000000005"/>
    <n v="7"/>
    <n v="737.9"/>
    <n v="1182"/>
    <x v="10"/>
    <x v="0"/>
    <x v="1"/>
    <x v="1"/>
    <x v="1"/>
    <x v="2"/>
    <x v="1"/>
    <n v="444.1"/>
    <n v="3108.7000000000003"/>
    <x v="8"/>
  </r>
  <r>
    <n v="1013"/>
    <d v="2023-08-14T00:00:00"/>
    <n v="93620.334600000002"/>
    <n v="26"/>
    <n v="3749.12"/>
    <n v="4138.83"/>
    <x v="9"/>
    <x v="4"/>
    <x v="3"/>
    <x v="2"/>
    <x v="1"/>
    <x v="2"/>
    <x v="0"/>
    <n v="389.71000000000004"/>
    <n v="10132.460000000001"/>
    <x v="3"/>
  </r>
  <r>
    <n v="1059"/>
    <d v="2023-06-02T00:00:00"/>
    <n v="26573.724800000004"/>
    <n v="47"/>
    <n v="287.17"/>
    <n v="657.44"/>
    <x v="6"/>
    <x v="0"/>
    <x v="1"/>
    <x v="0"/>
    <x v="0"/>
    <x v="2"/>
    <x v="1"/>
    <n v="370.27000000000004"/>
    <n v="17402.690000000002"/>
    <x v="6"/>
  </r>
  <r>
    <n v="1019"/>
    <d v="2023-07-18T00:00:00"/>
    <n v="50017.953600000001"/>
    <n v="12"/>
    <n v="4745.18"/>
    <n v="5145.88"/>
    <x v="27"/>
    <x v="4"/>
    <x v="0"/>
    <x v="2"/>
    <x v="0"/>
    <x v="2"/>
    <x v="0"/>
    <n v="400.69999999999982"/>
    <n v="4808.3999999999978"/>
    <x v="11"/>
  </r>
  <r>
    <n v="1049"/>
    <d v="2023-02-21T00:00:00"/>
    <n v="111627.3575"/>
    <n v="31"/>
    <n v="3570.24"/>
    <n v="3712.25"/>
    <x v="21"/>
    <x v="4"/>
    <x v="3"/>
    <x v="3"/>
    <x v="1"/>
    <x v="2"/>
    <x v="0"/>
    <n v="142.01000000000022"/>
    <n v="4402.3100000000068"/>
    <x v="0"/>
  </r>
  <r>
    <n v="1100"/>
    <d v="2023-09-17T00:00:00"/>
    <n v="7816.3670999999995"/>
    <n v="17"/>
    <n v="83.64"/>
    <n v="528.49"/>
    <x v="9"/>
    <x v="2"/>
    <x v="0"/>
    <x v="3"/>
    <x v="1"/>
    <x v="2"/>
    <x v="0"/>
    <n v="444.85"/>
    <n v="7562.4500000000007"/>
    <x v="2"/>
  </r>
  <r>
    <n v="1012"/>
    <d v="2023-02-28T00:00:00"/>
    <n v="91573.109099999987"/>
    <n v="33"/>
    <n v="3831.09"/>
    <n v="3908.37"/>
    <x v="12"/>
    <x v="1"/>
    <x v="3"/>
    <x v="1"/>
    <x v="1"/>
    <x v="0"/>
    <x v="1"/>
    <n v="77.279999999999745"/>
    <n v="2550.2399999999916"/>
    <x v="0"/>
  </r>
  <r>
    <n v="1061"/>
    <d v="2023-03-13T00:00:00"/>
    <n v="30160.072800000002"/>
    <n v="11"/>
    <n v="2594.71"/>
    <n v="2769.52"/>
    <x v="30"/>
    <x v="0"/>
    <x v="2"/>
    <x v="2"/>
    <x v="0"/>
    <x v="1"/>
    <x v="1"/>
    <n v="174.80999999999995"/>
    <n v="1922.9099999999994"/>
    <x v="4"/>
  </r>
  <r>
    <n v="1019"/>
    <d v="2023-05-28T00:00:00"/>
    <n v="107152.8276"/>
    <n v="28"/>
    <n v="3907.86"/>
    <n v="4205.37"/>
    <x v="0"/>
    <x v="4"/>
    <x v="3"/>
    <x v="0"/>
    <x v="1"/>
    <x v="2"/>
    <x v="0"/>
    <n v="297.50999999999976"/>
    <n v="8330.2799999999934"/>
    <x v="10"/>
  </r>
  <r>
    <n v="1076"/>
    <d v="2023-12-15T00:00:00"/>
    <n v="78530.233600000007"/>
    <n v="32"/>
    <n v="2636.36"/>
    <n v="2696.78"/>
    <x v="0"/>
    <x v="0"/>
    <x v="1"/>
    <x v="1"/>
    <x v="1"/>
    <x v="0"/>
    <x v="1"/>
    <n v="60.420000000000073"/>
    <n v="1933.4400000000023"/>
    <x v="9"/>
  </r>
  <r>
    <n v="1009"/>
    <d v="2023-03-04T00:00:00"/>
    <n v="2908.5723000000003"/>
    <n v="1"/>
    <n v="3223.07"/>
    <n v="3590.83"/>
    <x v="27"/>
    <x v="1"/>
    <x v="3"/>
    <x v="2"/>
    <x v="1"/>
    <x v="1"/>
    <x v="1"/>
    <n v="367.75999999999976"/>
    <n v="367.75999999999976"/>
    <x v="4"/>
  </r>
  <r>
    <n v="1071"/>
    <d v="2023-11-06T00:00:00"/>
    <n v="188837.88310000001"/>
    <n v="47"/>
    <n v="3942.34"/>
    <n v="4142.09"/>
    <x v="21"/>
    <x v="1"/>
    <x v="0"/>
    <x v="1"/>
    <x v="0"/>
    <x v="2"/>
    <x v="1"/>
    <n v="199.75"/>
    <n v="9388.25"/>
    <x v="8"/>
  </r>
  <r>
    <n v="1028"/>
    <d v="2023-08-31T00:00:00"/>
    <n v="55557.835200000001"/>
    <n v="28"/>
    <n v="2055.2800000000002"/>
    <n v="2449.64"/>
    <x v="27"/>
    <x v="3"/>
    <x v="0"/>
    <x v="0"/>
    <x v="1"/>
    <x v="2"/>
    <x v="0"/>
    <n v="394.35999999999967"/>
    <n v="11042.079999999991"/>
    <x v="3"/>
  </r>
  <r>
    <n v="1078"/>
    <d v="2024-01-01T00:00:00"/>
    <n v="12830.2482"/>
    <n v="42"/>
    <n v="63.41"/>
    <n v="314.93"/>
    <x v="21"/>
    <x v="1"/>
    <x v="3"/>
    <x v="1"/>
    <x v="0"/>
    <x v="0"/>
    <x v="1"/>
    <n v="251.52"/>
    <n v="10563.84"/>
    <x v="5"/>
  </r>
  <r>
    <n v="1095"/>
    <d v="2023-11-26T00:00:00"/>
    <n v="29576.3573"/>
    <n v="7"/>
    <n v="4257.24"/>
    <n v="4355.87"/>
    <x v="21"/>
    <x v="2"/>
    <x v="1"/>
    <x v="1"/>
    <x v="0"/>
    <x v="1"/>
    <x v="0"/>
    <n v="98.630000000000109"/>
    <n v="690.41000000000076"/>
    <x v="8"/>
  </r>
  <r>
    <n v="1052"/>
    <d v="2023-04-17T00:00:00"/>
    <n v="3596.4864000000002"/>
    <n v="2"/>
    <n v="1935.41"/>
    <n v="2305.44"/>
    <x v="20"/>
    <x v="4"/>
    <x v="2"/>
    <x v="1"/>
    <x v="0"/>
    <x v="2"/>
    <x v="0"/>
    <n v="370.03"/>
    <n v="740.06"/>
    <x v="1"/>
  </r>
  <r>
    <n v="1083"/>
    <d v="2023-08-14T00:00:00"/>
    <n v="99752.688000000009"/>
    <n v="42"/>
    <n v="2505.41"/>
    <n v="2638.96"/>
    <x v="15"/>
    <x v="3"/>
    <x v="1"/>
    <x v="2"/>
    <x v="1"/>
    <x v="1"/>
    <x v="0"/>
    <n v="133.55000000000018"/>
    <n v="5609.1000000000076"/>
    <x v="3"/>
  </r>
  <r>
    <n v="1016"/>
    <d v="2023-11-09T00:00:00"/>
    <n v="5775.5375999999997"/>
    <n v="24"/>
    <n v="88.44"/>
    <n v="338.94"/>
    <x v="12"/>
    <x v="2"/>
    <x v="2"/>
    <x v="0"/>
    <x v="1"/>
    <x v="0"/>
    <x v="0"/>
    <n v="250.5"/>
    <n v="6012"/>
    <x v="8"/>
  </r>
  <r>
    <n v="1069"/>
    <d v="2023-08-06T00:00:00"/>
    <n v="10030.165199999999"/>
    <n v="4"/>
    <n v="2485.86"/>
    <n v="2532.87"/>
    <x v="30"/>
    <x v="0"/>
    <x v="0"/>
    <x v="3"/>
    <x v="1"/>
    <x v="2"/>
    <x v="0"/>
    <n v="47.009999999999764"/>
    <n v="188.03999999999905"/>
    <x v="3"/>
  </r>
  <r>
    <n v="1099"/>
    <d v="2023-08-29T00:00:00"/>
    <n v="200811.5208"/>
    <n v="44"/>
    <n v="4933.1099999999997"/>
    <n v="5245.86"/>
    <x v="9"/>
    <x v="4"/>
    <x v="1"/>
    <x v="2"/>
    <x v="0"/>
    <x v="1"/>
    <x v="1"/>
    <n v="312.75"/>
    <n v="13761"/>
    <x v="3"/>
  </r>
  <r>
    <n v="1012"/>
    <d v="2023-09-16T00:00:00"/>
    <n v="32504.806700000001"/>
    <n v="19"/>
    <n v="1427.42"/>
    <n v="1763.69"/>
    <x v="21"/>
    <x v="1"/>
    <x v="2"/>
    <x v="3"/>
    <x v="1"/>
    <x v="0"/>
    <x v="1"/>
    <n v="336.27"/>
    <n v="6389.1299999999992"/>
    <x v="2"/>
  </r>
  <r>
    <n v="1025"/>
    <d v="2023-09-19T00:00:00"/>
    <n v="50974.411799999994"/>
    <n v="26"/>
    <n v="2007.32"/>
    <n v="2202.87"/>
    <x v="1"/>
    <x v="4"/>
    <x v="3"/>
    <x v="3"/>
    <x v="0"/>
    <x v="0"/>
    <x v="0"/>
    <n v="195.54999999999995"/>
    <n v="5084.2999999999993"/>
    <x v="2"/>
  </r>
  <r>
    <n v="1052"/>
    <d v="2023-01-05T00:00:00"/>
    <n v="30255.302"/>
    <n v="11"/>
    <n v="3451.59"/>
    <n v="3929.26"/>
    <x v="23"/>
    <x v="0"/>
    <x v="0"/>
    <x v="2"/>
    <x v="1"/>
    <x v="2"/>
    <x v="1"/>
    <n v="477.67000000000007"/>
    <n v="5254.3700000000008"/>
    <x v="5"/>
  </r>
  <r>
    <n v="1085"/>
    <d v="2023-09-18T00:00:00"/>
    <n v="132029.84399999998"/>
    <n v="40"/>
    <n v="4083.23"/>
    <n v="4521.57"/>
    <x v="29"/>
    <x v="3"/>
    <x v="3"/>
    <x v="2"/>
    <x v="1"/>
    <x v="1"/>
    <x v="1"/>
    <n v="438.33999999999969"/>
    <n v="17533.599999999988"/>
    <x v="2"/>
  </r>
  <r>
    <n v="1100"/>
    <d v="2023-02-23T00:00:00"/>
    <n v="105274.7586"/>
    <n v="43"/>
    <n v="2116.09"/>
    <n v="2472.98"/>
    <x v="30"/>
    <x v="3"/>
    <x v="0"/>
    <x v="0"/>
    <x v="1"/>
    <x v="2"/>
    <x v="1"/>
    <n v="356.88999999999987"/>
    <n v="15346.269999999995"/>
    <x v="0"/>
  </r>
  <r>
    <n v="1053"/>
    <d v="2023-02-16T00:00:00"/>
    <n v="17735.481499999998"/>
    <n v="11"/>
    <n v="1582.86"/>
    <n v="1942.55"/>
    <x v="22"/>
    <x v="3"/>
    <x v="1"/>
    <x v="0"/>
    <x v="1"/>
    <x v="2"/>
    <x v="1"/>
    <n v="359.69000000000005"/>
    <n v="3956.5900000000006"/>
    <x v="0"/>
  </r>
  <r>
    <n v="1023"/>
    <d v="2023-08-03T00:00:00"/>
    <n v="175904.78400000001"/>
    <n v="45"/>
    <n v="4692.24"/>
    <n v="4825.92"/>
    <x v="27"/>
    <x v="1"/>
    <x v="1"/>
    <x v="1"/>
    <x v="0"/>
    <x v="1"/>
    <x v="1"/>
    <n v="133.68000000000029"/>
    <n v="6015.6000000000131"/>
    <x v="3"/>
  </r>
  <r>
    <n v="1016"/>
    <d v="2023-06-26T00:00:00"/>
    <n v="10529.0622"/>
    <n v="3"/>
    <n v="3401.87"/>
    <n v="3733.71"/>
    <x v="18"/>
    <x v="2"/>
    <x v="0"/>
    <x v="3"/>
    <x v="0"/>
    <x v="1"/>
    <x v="1"/>
    <n v="331.84000000000015"/>
    <n v="995.52000000000044"/>
    <x v="6"/>
  </r>
  <r>
    <n v="1057"/>
    <d v="2023-01-09T00:00:00"/>
    <n v="8597.1455999999998"/>
    <n v="12"/>
    <n v="639.16"/>
    <n v="746.28"/>
    <x v="14"/>
    <x v="2"/>
    <x v="0"/>
    <x v="0"/>
    <x v="0"/>
    <x v="1"/>
    <x v="1"/>
    <n v="107.12"/>
    <n v="1285.44"/>
    <x v="5"/>
  </r>
  <r>
    <n v="1039"/>
    <d v="2023-04-09T00:00:00"/>
    <n v="1033.1324999999999"/>
    <n v="3"/>
    <n v="391.19"/>
    <n v="471.75"/>
    <x v="29"/>
    <x v="4"/>
    <x v="0"/>
    <x v="1"/>
    <x v="0"/>
    <x v="0"/>
    <x v="0"/>
    <n v="80.56"/>
    <n v="241.68"/>
    <x v="1"/>
  </r>
  <r>
    <n v="1053"/>
    <d v="2023-01-20T00:00:00"/>
    <n v="87769.504199999996"/>
    <n v="42"/>
    <n v="2443.5700000000002"/>
    <n v="2943.31"/>
    <x v="12"/>
    <x v="1"/>
    <x v="1"/>
    <x v="0"/>
    <x v="1"/>
    <x v="0"/>
    <x v="0"/>
    <n v="499.73999999999978"/>
    <n v="20989.079999999991"/>
    <x v="5"/>
  </r>
  <r>
    <n v="1042"/>
    <d v="2023-08-29T00:00:00"/>
    <n v="27488.348999999998"/>
    <n v="27"/>
    <n v="1139.45"/>
    <n v="1454.41"/>
    <x v="23"/>
    <x v="3"/>
    <x v="2"/>
    <x v="2"/>
    <x v="0"/>
    <x v="1"/>
    <x v="0"/>
    <n v="314.96000000000004"/>
    <n v="8503.9200000000019"/>
    <x v="3"/>
  </r>
  <r>
    <n v="1058"/>
    <d v="2023-03-02T00:00:00"/>
    <n v="56917.616000000002"/>
    <n v="49"/>
    <n v="1307.22"/>
    <n v="1528.4"/>
    <x v="19"/>
    <x v="3"/>
    <x v="3"/>
    <x v="0"/>
    <x v="0"/>
    <x v="0"/>
    <x v="1"/>
    <n v="221.18000000000006"/>
    <n v="10837.820000000003"/>
    <x v="4"/>
  </r>
  <r>
    <n v="1039"/>
    <d v="2023-06-27T00:00:00"/>
    <n v="7273.2479999999996"/>
    <n v="2"/>
    <n v="4394.58"/>
    <n v="4545.78"/>
    <x v="2"/>
    <x v="0"/>
    <x v="3"/>
    <x v="3"/>
    <x v="0"/>
    <x v="2"/>
    <x v="1"/>
    <n v="151.19999999999982"/>
    <n v="302.39999999999964"/>
    <x v="6"/>
  </r>
  <r>
    <n v="1014"/>
    <d v="2023-12-04T00:00:00"/>
    <n v="35247.807000000001"/>
    <n v="49"/>
    <n v="493.35"/>
    <n v="799.27"/>
    <x v="15"/>
    <x v="0"/>
    <x v="1"/>
    <x v="0"/>
    <x v="1"/>
    <x v="1"/>
    <x v="0"/>
    <n v="305.91999999999996"/>
    <n v="14990.079999999998"/>
    <x v="9"/>
  </r>
  <r>
    <n v="1095"/>
    <d v="2023-03-03T00:00:00"/>
    <n v="55105.319999999992"/>
    <n v="16"/>
    <n v="3591.05"/>
    <n v="3625.35"/>
    <x v="8"/>
    <x v="3"/>
    <x v="3"/>
    <x v="3"/>
    <x v="0"/>
    <x v="2"/>
    <x v="1"/>
    <n v="34.299999999999727"/>
    <n v="548.79999999999563"/>
    <x v="4"/>
  </r>
  <r>
    <n v="1005"/>
    <d v="2023-05-25T00:00:00"/>
    <n v="2839.1383999999998"/>
    <n v="2"/>
    <n v="1392.15"/>
    <n v="1448.54"/>
    <x v="3"/>
    <x v="3"/>
    <x v="0"/>
    <x v="2"/>
    <x v="0"/>
    <x v="1"/>
    <x v="1"/>
    <n v="56.389999999999873"/>
    <n v="112.77999999999975"/>
    <x v="10"/>
  </r>
  <r>
    <n v="1035"/>
    <d v="2023-08-04T00:00:00"/>
    <n v="91001.364000000001"/>
    <n v="30"/>
    <n v="3813.62"/>
    <n v="3839.72"/>
    <x v="5"/>
    <x v="1"/>
    <x v="2"/>
    <x v="3"/>
    <x v="1"/>
    <x v="2"/>
    <x v="0"/>
    <n v="26.099999999999909"/>
    <n v="782.99999999999727"/>
    <x v="3"/>
  </r>
  <r>
    <n v="1087"/>
    <d v="2023-01-03T00:00:00"/>
    <n v="58984.056000000004"/>
    <n v="20"/>
    <n v="3625.94"/>
    <n v="3880.53"/>
    <x v="19"/>
    <x v="2"/>
    <x v="3"/>
    <x v="0"/>
    <x v="1"/>
    <x v="1"/>
    <x v="0"/>
    <n v="254.59000000000015"/>
    <n v="5091.8000000000029"/>
    <x v="5"/>
  </r>
  <r>
    <n v="1093"/>
    <d v="2023-06-09T00:00:00"/>
    <n v="11140.365"/>
    <n v="38"/>
    <n v="86.59"/>
    <n v="390.89"/>
    <x v="26"/>
    <x v="0"/>
    <x v="2"/>
    <x v="1"/>
    <x v="0"/>
    <x v="2"/>
    <x v="0"/>
    <n v="304.29999999999995"/>
    <n v="11563.399999999998"/>
    <x v="6"/>
  </r>
  <r>
    <n v="1075"/>
    <d v="2023-08-15T00:00:00"/>
    <n v="53365.569599999799"/>
    <n v="28"/>
    <n v="2570.2199999999998"/>
    <n v="2610.8399999999901"/>
    <x v="29"/>
    <x v="2"/>
    <x v="0"/>
    <x v="2"/>
    <x v="0"/>
    <x v="1"/>
    <x v="1"/>
    <n v="40.619999999990341"/>
    <n v="1137.3599999997296"/>
    <x v="3"/>
  </r>
  <r>
    <n v="1018"/>
    <d v="2023-09-26T00:00:00"/>
    <n v="20406.055"/>
    <n v="25"/>
    <n v="739.63"/>
    <n v="1103.03"/>
    <x v="16"/>
    <x v="1"/>
    <x v="3"/>
    <x v="0"/>
    <x v="1"/>
    <x v="1"/>
    <x v="1"/>
    <n v="363.4"/>
    <n v="9085"/>
    <x v="2"/>
  </r>
  <r>
    <n v="1076"/>
    <d v="2023-04-30T00:00:00"/>
    <n v="99919.903999999995"/>
    <n v="32"/>
    <n v="4337.82"/>
    <n v="4460.71"/>
    <x v="23"/>
    <x v="3"/>
    <x v="1"/>
    <x v="2"/>
    <x v="0"/>
    <x v="0"/>
    <x v="1"/>
    <n v="122.89000000000033"/>
    <n v="3932.4800000000105"/>
    <x v="1"/>
  </r>
  <r>
    <n v="1009"/>
    <d v="2023-03-30T00:00:00"/>
    <n v="43803.93"/>
    <n v="10"/>
    <n v="4364.3500000000004"/>
    <n v="4710.1000000000004"/>
    <x v="17"/>
    <x v="2"/>
    <x v="2"/>
    <x v="2"/>
    <x v="1"/>
    <x v="2"/>
    <x v="0"/>
    <n v="345.75"/>
    <n v="3457.5"/>
    <x v="4"/>
  </r>
  <r>
    <n v="1074"/>
    <d v="2023-11-25T00:00:00"/>
    <n v="84470.139599999995"/>
    <n v="42"/>
    <n v="2120.81"/>
    <n v="2611.94"/>
    <x v="10"/>
    <x v="3"/>
    <x v="0"/>
    <x v="0"/>
    <x v="0"/>
    <x v="0"/>
    <x v="0"/>
    <n v="491.13000000000011"/>
    <n v="20627.460000000006"/>
    <x v="8"/>
  </r>
  <r>
    <n v="1058"/>
    <d v="2023-03-09T00:00:00"/>
    <n v="85227.520000000004"/>
    <n v="40"/>
    <n v="2249.7600000000002"/>
    <n v="2598.4"/>
    <x v="13"/>
    <x v="3"/>
    <x v="2"/>
    <x v="0"/>
    <x v="0"/>
    <x v="2"/>
    <x v="1"/>
    <n v="348.63999999999987"/>
    <n v="13945.599999999995"/>
    <x v="4"/>
  </r>
  <r>
    <n v="1017"/>
    <d v="2023-12-23T00:00:00"/>
    <n v="60538.143600000003"/>
    <n v="33"/>
    <n v="1551.25"/>
    <n v="1994.01"/>
    <x v="4"/>
    <x v="4"/>
    <x v="3"/>
    <x v="1"/>
    <x v="0"/>
    <x v="0"/>
    <x v="0"/>
    <n v="442.76"/>
    <n v="14611.08"/>
    <x v="9"/>
  </r>
  <r>
    <n v="1007"/>
    <d v="2023-04-08T00:00:00"/>
    <n v="37582.898599999906"/>
    <n v="13"/>
    <n v="3597.2"/>
    <n v="4071.8199999999902"/>
    <x v="12"/>
    <x v="2"/>
    <x v="3"/>
    <x v="2"/>
    <x v="0"/>
    <x v="1"/>
    <x v="0"/>
    <n v="474.61999999999034"/>
    <n v="6170.059999999874"/>
    <x v="1"/>
  </r>
  <r>
    <n v="1046"/>
    <d v="2023-09-24T00:00:00"/>
    <n v="62071.2284"/>
    <n v="41"/>
    <n v="1825.37"/>
    <n v="2073.88"/>
    <x v="29"/>
    <x v="2"/>
    <x v="1"/>
    <x v="2"/>
    <x v="0"/>
    <x v="0"/>
    <x v="1"/>
    <n v="248.51000000000022"/>
    <n v="10188.910000000009"/>
    <x v="2"/>
  </r>
  <r>
    <n v="1013"/>
    <d v="2023-04-15T00:00:00"/>
    <n v="69741.907200000001"/>
    <n v="42"/>
    <n v="1375.57"/>
    <n v="1729.71"/>
    <x v="14"/>
    <x v="3"/>
    <x v="0"/>
    <x v="0"/>
    <x v="1"/>
    <x v="0"/>
    <x v="0"/>
    <n v="354.1400000000001"/>
    <n v="14873.880000000005"/>
    <x v="1"/>
  </r>
  <r>
    <n v="1040"/>
    <d v="2023-11-19T00:00:00"/>
    <n v="121769.01"/>
    <n v="47"/>
    <n v="2189.54"/>
    <n v="2617"/>
    <x v="30"/>
    <x v="1"/>
    <x v="0"/>
    <x v="3"/>
    <x v="1"/>
    <x v="1"/>
    <x v="0"/>
    <n v="427.46000000000004"/>
    <n v="20090.620000000003"/>
    <x v="8"/>
  </r>
  <r>
    <n v="1042"/>
    <d v="2023-05-03T00:00:00"/>
    <n v="20098.548000000003"/>
    <n v="37"/>
    <n v="502.86"/>
    <n v="687.6"/>
    <x v="5"/>
    <x v="4"/>
    <x v="1"/>
    <x v="0"/>
    <x v="0"/>
    <x v="0"/>
    <x v="0"/>
    <n v="184.74"/>
    <n v="6835.38"/>
    <x v="10"/>
  </r>
  <r>
    <n v="1009"/>
    <d v="2023-01-29T00:00:00"/>
    <n v="50955.062400000003"/>
    <n v="16"/>
    <n v="3745.69"/>
    <n v="3883.77"/>
    <x v="13"/>
    <x v="3"/>
    <x v="1"/>
    <x v="2"/>
    <x v="0"/>
    <x v="1"/>
    <x v="1"/>
    <n v="138.07999999999993"/>
    <n v="2209.2799999999988"/>
    <x v="5"/>
  </r>
  <r>
    <n v="1050"/>
    <d v="2023-05-17T00:00:00"/>
    <n v="18992.232"/>
    <n v="45"/>
    <n v="112.35"/>
    <n v="586.17999999999995"/>
    <x v="24"/>
    <x v="0"/>
    <x v="0"/>
    <x v="0"/>
    <x v="0"/>
    <x v="2"/>
    <x v="1"/>
    <n v="473.82999999999993"/>
    <n v="21322.35"/>
    <x v="10"/>
  </r>
  <r>
    <n v="1027"/>
    <d v="2023-07-14T00:00:00"/>
    <n v="73780.601399999781"/>
    <n v="22"/>
    <n v="3240.2"/>
    <n v="3606.0899999999901"/>
    <x v="17"/>
    <x v="0"/>
    <x v="2"/>
    <x v="1"/>
    <x v="1"/>
    <x v="0"/>
    <x v="0"/>
    <n v="365.88999999999032"/>
    <n v="8049.5799999997871"/>
    <x v="11"/>
  </r>
  <r>
    <n v="1066"/>
    <d v="2023-08-14T00:00:00"/>
    <n v="20812.707999999999"/>
    <n v="20"/>
    <n v="955.18"/>
    <n v="1072.82"/>
    <x v="21"/>
    <x v="4"/>
    <x v="2"/>
    <x v="3"/>
    <x v="1"/>
    <x v="1"/>
    <x v="1"/>
    <n v="117.63999999999999"/>
    <n v="2352.7999999999997"/>
    <x v="3"/>
  </r>
  <r>
    <n v="1005"/>
    <d v="2023-11-28T00:00:00"/>
    <n v="56588.601999999999"/>
    <n v="43"/>
    <n v="1200.4000000000001"/>
    <n v="1430.45"/>
    <x v="4"/>
    <x v="1"/>
    <x v="1"/>
    <x v="0"/>
    <x v="1"/>
    <x v="1"/>
    <x v="1"/>
    <n v="230.04999999999995"/>
    <n v="9892.1499999999978"/>
    <x v="8"/>
  </r>
  <r>
    <n v="1029"/>
    <d v="2023-06-19T00:00:00"/>
    <n v="96138.1872"/>
    <n v="27"/>
    <n v="3196.38"/>
    <n v="3596.64"/>
    <x v="30"/>
    <x v="3"/>
    <x v="2"/>
    <x v="1"/>
    <x v="1"/>
    <x v="0"/>
    <x v="1"/>
    <n v="400.25999999999976"/>
    <n v="10807.019999999993"/>
    <x v="6"/>
  </r>
  <r>
    <n v="1037"/>
    <d v="2023-01-09T00:00:00"/>
    <n v="212818.64670000001"/>
    <n v="41"/>
    <n v="4965.07"/>
    <n v="5243.13"/>
    <x v="30"/>
    <x v="2"/>
    <x v="0"/>
    <x v="2"/>
    <x v="1"/>
    <x v="2"/>
    <x v="0"/>
    <n v="278.0600000000004"/>
    <n v="11400.460000000017"/>
    <x v="5"/>
  </r>
  <r>
    <n v="1038"/>
    <d v="2023-02-09T00:00:00"/>
    <n v="49385.142400000004"/>
    <n v="16"/>
    <n v="3899.7"/>
    <n v="4228.18"/>
    <x v="29"/>
    <x v="4"/>
    <x v="3"/>
    <x v="0"/>
    <x v="1"/>
    <x v="0"/>
    <x v="1"/>
    <n v="328.48000000000047"/>
    <n v="5255.6800000000076"/>
    <x v="0"/>
  </r>
  <r>
    <n v="1083"/>
    <d v="2023-01-25T00:00:00"/>
    <n v="46820.087599999999"/>
    <n v="34"/>
    <n v="1167.9100000000001"/>
    <n v="1547.26"/>
    <x v="1"/>
    <x v="1"/>
    <x v="3"/>
    <x v="2"/>
    <x v="1"/>
    <x v="1"/>
    <x v="0"/>
    <n v="379.34999999999991"/>
    <n v="12897.899999999998"/>
    <x v="5"/>
  </r>
  <r>
    <n v="1008"/>
    <d v="2023-09-18T00:00:00"/>
    <n v="34808.576000000001"/>
    <n v="32"/>
    <n v="921.32"/>
    <n v="1236.0999999999999"/>
    <x v="7"/>
    <x v="2"/>
    <x v="2"/>
    <x v="1"/>
    <x v="1"/>
    <x v="2"/>
    <x v="0"/>
    <n v="314.77999999999986"/>
    <n v="10072.959999999995"/>
    <x v="2"/>
  </r>
  <r>
    <n v="1065"/>
    <d v="2023-08-14T00:00:00"/>
    <n v="118725.49259999998"/>
    <n v="26"/>
    <n v="4337.8500000000004"/>
    <n v="4612.49"/>
    <x v="30"/>
    <x v="0"/>
    <x v="1"/>
    <x v="2"/>
    <x v="0"/>
    <x v="0"/>
    <x v="1"/>
    <n v="274.63999999999942"/>
    <n v="7140.6399999999849"/>
    <x v="3"/>
  </r>
  <r>
    <n v="1086"/>
    <d v="2023-05-04T00:00:00"/>
    <n v="60398.46"/>
    <n v="25"/>
    <n v="2248.71"/>
    <n v="2626.02"/>
    <x v="4"/>
    <x v="0"/>
    <x v="1"/>
    <x v="1"/>
    <x v="1"/>
    <x v="1"/>
    <x v="0"/>
    <n v="377.30999999999995"/>
    <n v="9432.7499999999982"/>
    <x v="10"/>
  </r>
  <r>
    <n v="1017"/>
    <d v="2023-02-07T00:00:00"/>
    <n v="1664.2784000000001"/>
    <n v="2"/>
    <n v="728.41"/>
    <n v="1094.92"/>
    <x v="19"/>
    <x v="2"/>
    <x v="1"/>
    <x v="1"/>
    <x v="1"/>
    <x v="0"/>
    <x v="1"/>
    <n v="366.5100000000001"/>
    <n v="733.02000000000021"/>
    <x v="0"/>
  </r>
  <r>
    <n v="1071"/>
    <d v="2023-11-24T00:00:00"/>
    <n v="45624.045600000005"/>
    <n v="12"/>
    <n v="4317.95"/>
    <n v="4636.59"/>
    <x v="13"/>
    <x v="4"/>
    <x v="1"/>
    <x v="1"/>
    <x v="1"/>
    <x v="2"/>
    <x v="1"/>
    <n v="318.64000000000033"/>
    <n v="3823.6800000000039"/>
    <x v="8"/>
  </r>
  <r>
    <n v="1089"/>
    <d v="2023-09-08T00:00:00"/>
    <n v="131699.568"/>
    <n v="40"/>
    <n v="4089.66"/>
    <n v="4275.96"/>
    <x v="10"/>
    <x v="0"/>
    <x v="1"/>
    <x v="0"/>
    <x v="1"/>
    <x v="2"/>
    <x v="0"/>
    <n v="186.30000000000018"/>
    <n v="7452.0000000000073"/>
    <x v="2"/>
  </r>
  <r>
    <n v="1045"/>
    <d v="2023-06-25T00:00:00"/>
    <n v="40161.557699999998"/>
    <n v="9"/>
    <n v="4920.34"/>
    <n v="5129.1899999999996"/>
    <x v="9"/>
    <x v="3"/>
    <x v="2"/>
    <x v="2"/>
    <x v="0"/>
    <x v="2"/>
    <x v="0"/>
    <n v="208.84999999999945"/>
    <n v="1879.6499999999951"/>
    <x v="6"/>
  </r>
  <r>
    <n v="1004"/>
    <d v="2023-03-31T00:00:00"/>
    <n v="55023.040800000002"/>
    <n v="12"/>
    <n v="4553.2299999999996"/>
    <n v="5038.74"/>
    <x v="0"/>
    <x v="2"/>
    <x v="3"/>
    <x v="2"/>
    <x v="1"/>
    <x v="2"/>
    <x v="1"/>
    <n v="485.51000000000022"/>
    <n v="5826.1200000000026"/>
    <x v="4"/>
  </r>
  <r>
    <n v="1036"/>
    <d v="2023-02-06T00:00:00"/>
    <n v="96850.774799999781"/>
    <n v="26"/>
    <n v="4266.3599999999997"/>
    <n v="4331.4299999999903"/>
    <x v="6"/>
    <x v="2"/>
    <x v="3"/>
    <x v="3"/>
    <x v="0"/>
    <x v="2"/>
    <x v="1"/>
    <n v="65.069999999990614"/>
    <n v="1691.819999999756"/>
    <x v="0"/>
  </r>
  <r>
    <n v="1070"/>
    <d v="2023-11-12T00:00:00"/>
    <n v="3659.6610000000001"/>
    <n v="9"/>
    <n v="310.24"/>
    <n v="451.81"/>
    <x v="15"/>
    <x v="0"/>
    <x v="2"/>
    <x v="3"/>
    <x v="0"/>
    <x v="0"/>
    <x v="1"/>
    <n v="141.57"/>
    <n v="1274.1299999999999"/>
    <x v="8"/>
  </r>
  <r>
    <n v="1031"/>
    <d v="2023-06-25T00:00:00"/>
    <n v="6136.0499999999993"/>
    <n v="10"/>
    <n v="566.86"/>
    <n v="818.14"/>
    <x v="26"/>
    <x v="4"/>
    <x v="1"/>
    <x v="3"/>
    <x v="0"/>
    <x v="2"/>
    <x v="1"/>
    <n v="251.27999999999997"/>
    <n v="2512.7999999999997"/>
    <x v="6"/>
  </r>
  <r>
    <n v="1019"/>
    <d v="2023-10-11T00:00:00"/>
    <n v="95702.006399999998"/>
    <n v="32"/>
    <n v="2866.47"/>
    <n v="3286.47"/>
    <x v="0"/>
    <x v="3"/>
    <x v="2"/>
    <x v="3"/>
    <x v="1"/>
    <x v="2"/>
    <x v="0"/>
    <n v="420"/>
    <n v="13440"/>
    <x v="7"/>
  </r>
  <r>
    <n v="1061"/>
    <d v="2023-03-22T00:00:00"/>
    <n v="75371.743999999992"/>
    <n v="34"/>
    <n v="2680.82"/>
    <n v="2771.02"/>
    <x v="2"/>
    <x v="4"/>
    <x v="3"/>
    <x v="2"/>
    <x v="1"/>
    <x v="1"/>
    <x v="0"/>
    <n v="90.199999999999818"/>
    <n v="3066.7999999999938"/>
    <x v="4"/>
  </r>
  <r>
    <n v="1054"/>
    <d v="2023-04-24T00:00:00"/>
    <n v="113477.9904"/>
    <n v="48"/>
    <n v="2316.92"/>
    <n v="2462.63"/>
    <x v="14"/>
    <x v="1"/>
    <x v="0"/>
    <x v="1"/>
    <x v="1"/>
    <x v="2"/>
    <x v="0"/>
    <n v="145.71000000000004"/>
    <n v="6994.0800000000017"/>
    <x v="1"/>
  </r>
  <r>
    <n v="1039"/>
    <d v="2023-02-09T00:00:00"/>
    <n v="32490.33"/>
    <n v="20"/>
    <n v="2014.11"/>
    <n v="2056.35"/>
    <x v="5"/>
    <x v="1"/>
    <x v="2"/>
    <x v="1"/>
    <x v="0"/>
    <x v="1"/>
    <x v="1"/>
    <n v="42.240000000000009"/>
    <n v="844.80000000000018"/>
    <x v="0"/>
  </r>
  <r>
    <n v="1091"/>
    <d v="2023-10-28T00:00:00"/>
    <n v="72325.757399999711"/>
    <n v="39"/>
    <n v="2184.4899999999998"/>
    <n v="2540.4199999999901"/>
    <x v="29"/>
    <x v="0"/>
    <x v="1"/>
    <x v="0"/>
    <x v="0"/>
    <x v="1"/>
    <x v="0"/>
    <n v="355.92999999999029"/>
    <n v="13881.269999999622"/>
    <x v="7"/>
  </r>
  <r>
    <n v="1074"/>
    <d v="2023-08-12T00:00:00"/>
    <n v="4911.3735999999999"/>
    <n v="2"/>
    <n v="2868.02"/>
    <n v="2994.74"/>
    <x v="13"/>
    <x v="0"/>
    <x v="3"/>
    <x v="1"/>
    <x v="0"/>
    <x v="1"/>
    <x v="0"/>
    <n v="126.7199999999998"/>
    <n v="253.4399999999996"/>
    <x v="3"/>
  </r>
  <r>
    <n v="1090"/>
    <d v="2023-11-14T00:00:00"/>
    <n v="216.4059"/>
    <n v="1"/>
    <n v="60.28"/>
    <n v="260.73"/>
    <x v="22"/>
    <x v="0"/>
    <x v="3"/>
    <x v="2"/>
    <x v="0"/>
    <x v="0"/>
    <x v="0"/>
    <n v="200.45000000000002"/>
    <n v="200.45000000000002"/>
    <x v="8"/>
  </r>
  <r>
    <n v="1019"/>
    <d v="2023-12-15T00:00:00"/>
    <n v="40076.035199999998"/>
    <n v="36"/>
    <n v="1340.51"/>
    <n v="1567.92"/>
    <x v="12"/>
    <x v="1"/>
    <x v="3"/>
    <x v="2"/>
    <x v="1"/>
    <x v="0"/>
    <x v="0"/>
    <n v="227.41000000000008"/>
    <n v="8186.7600000000029"/>
    <x v="9"/>
  </r>
  <r>
    <n v="1039"/>
    <d v="2023-04-25T00:00:00"/>
    <n v="59529.556800000006"/>
    <n v="24"/>
    <n v="2615.48"/>
    <n v="3062.22"/>
    <x v="27"/>
    <x v="4"/>
    <x v="3"/>
    <x v="2"/>
    <x v="1"/>
    <x v="1"/>
    <x v="1"/>
    <n v="446.73999999999978"/>
    <n v="10721.759999999995"/>
    <x v="1"/>
  </r>
  <r>
    <n v="1067"/>
    <d v="2023-07-05T00:00:00"/>
    <n v="95299.156799999997"/>
    <n v="27"/>
    <n v="3624.97"/>
    <n v="3836.52"/>
    <x v="4"/>
    <x v="4"/>
    <x v="1"/>
    <x v="0"/>
    <x v="1"/>
    <x v="0"/>
    <x v="0"/>
    <n v="211.55000000000018"/>
    <n v="5711.8500000000049"/>
    <x v="11"/>
  </r>
  <r>
    <n v="1045"/>
    <d v="2023-11-19T00:00:00"/>
    <n v="1807.6968000000002"/>
    <n v="2"/>
    <n v="912.08"/>
    <n v="993.24"/>
    <x v="0"/>
    <x v="0"/>
    <x v="0"/>
    <x v="3"/>
    <x v="0"/>
    <x v="2"/>
    <x v="0"/>
    <n v="81.159999999999968"/>
    <n v="162.31999999999994"/>
    <x v="8"/>
  </r>
  <r>
    <n v="1013"/>
    <d v="2023-02-25T00:00:00"/>
    <n v="74057.025299999994"/>
    <n v="31"/>
    <n v="2757.06"/>
    <n v="3023.97"/>
    <x v="5"/>
    <x v="3"/>
    <x v="3"/>
    <x v="1"/>
    <x v="0"/>
    <x v="0"/>
    <x v="0"/>
    <n v="266.90999999999985"/>
    <n v="8274.2099999999955"/>
    <x v="0"/>
  </r>
  <r>
    <n v="1092"/>
    <d v="2023-02-09T00:00:00"/>
    <n v="44427.255599999997"/>
    <n v="14"/>
    <n v="3586.58"/>
    <n v="4068.43"/>
    <x v="20"/>
    <x v="4"/>
    <x v="2"/>
    <x v="2"/>
    <x v="1"/>
    <x v="2"/>
    <x v="0"/>
    <n v="481.84999999999991"/>
    <n v="6745.8999999999987"/>
    <x v="0"/>
  </r>
  <r>
    <n v="1058"/>
    <d v="2023-12-20T00:00:00"/>
    <n v="4656.7975999999999"/>
    <n v="2"/>
    <n v="2250.91"/>
    <n v="2558.6799999999998"/>
    <x v="0"/>
    <x v="1"/>
    <x v="0"/>
    <x v="2"/>
    <x v="1"/>
    <x v="2"/>
    <x v="1"/>
    <n v="307.77"/>
    <n v="615.54"/>
    <x v="9"/>
  </r>
  <r>
    <n v="1020"/>
    <d v="2023-02-09T00:00:00"/>
    <n v="17641.251"/>
    <n v="29"/>
    <n v="184.05"/>
    <n v="675.91"/>
    <x v="15"/>
    <x v="2"/>
    <x v="3"/>
    <x v="3"/>
    <x v="0"/>
    <x v="0"/>
    <x v="1"/>
    <n v="491.85999999999996"/>
    <n v="14263.939999999999"/>
    <x v="0"/>
  </r>
  <r>
    <n v="1092"/>
    <d v="2023-12-13T00:00:00"/>
    <n v="28308.21"/>
    <n v="15"/>
    <n v="2273.88"/>
    <n v="2696.02"/>
    <x v="23"/>
    <x v="2"/>
    <x v="0"/>
    <x v="2"/>
    <x v="1"/>
    <x v="0"/>
    <x v="0"/>
    <n v="422.13999999999987"/>
    <n v="6332.0999999999985"/>
    <x v="9"/>
  </r>
  <r>
    <n v="1072"/>
    <d v="2023-08-25T00:00:00"/>
    <n v="17984.032799999997"/>
    <n v="12"/>
    <n v="1517.4"/>
    <n v="1545.02"/>
    <x v="21"/>
    <x v="2"/>
    <x v="2"/>
    <x v="1"/>
    <x v="1"/>
    <x v="1"/>
    <x v="1"/>
    <n v="27.619999999999891"/>
    <n v="331.43999999999869"/>
    <x v="3"/>
  </r>
  <r>
    <n v="1061"/>
    <d v="2023-10-16T00:00:00"/>
    <n v="162291.73840000003"/>
    <n v="37"/>
    <n v="4651.7700000000004"/>
    <n v="4984.3900000000003"/>
    <x v="7"/>
    <x v="3"/>
    <x v="3"/>
    <x v="0"/>
    <x v="0"/>
    <x v="0"/>
    <x v="1"/>
    <n v="332.61999999999989"/>
    <n v="12306.939999999995"/>
    <x v="7"/>
  </r>
  <r>
    <n v="1039"/>
    <d v="2023-09-19T00:00:00"/>
    <n v="22428.358400000001"/>
    <n v="28"/>
    <n v="666.84"/>
    <n v="817.36"/>
    <x v="3"/>
    <x v="0"/>
    <x v="2"/>
    <x v="2"/>
    <x v="0"/>
    <x v="0"/>
    <x v="1"/>
    <n v="150.51999999999998"/>
    <n v="4214.5599999999995"/>
    <x v="2"/>
  </r>
  <r>
    <n v="1001"/>
    <d v="2023-08-04T00:00:00"/>
    <n v="53459.549999999996"/>
    <n v="20"/>
    <n v="3279.76"/>
    <n v="3563.97"/>
    <x v="26"/>
    <x v="1"/>
    <x v="1"/>
    <x v="1"/>
    <x v="0"/>
    <x v="0"/>
    <x v="1"/>
    <n v="284.20999999999958"/>
    <n v="5684.1999999999916"/>
    <x v="3"/>
  </r>
  <r>
    <n v="1003"/>
    <d v="2023-05-27T00:00:00"/>
    <n v="17320.087199999998"/>
    <n v="39"/>
    <n v="310.95999999999998"/>
    <n v="457.84"/>
    <x v="21"/>
    <x v="3"/>
    <x v="3"/>
    <x v="2"/>
    <x v="1"/>
    <x v="2"/>
    <x v="0"/>
    <n v="146.88"/>
    <n v="5728.32"/>
    <x v="10"/>
  </r>
  <r>
    <n v="1077"/>
    <d v="2023-12-02T00:00:00"/>
    <n v="46838.207999999999"/>
    <n v="24"/>
    <n v="2258.54"/>
    <n v="2439.4899999999998"/>
    <x v="2"/>
    <x v="1"/>
    <x v="3"/>
    <x v="3"/>
    <x v="0"/>
    <x v="2"/>
    <x v="1"/>
    <n v="180.94999999999982"/>
    <n v="4342.7999999999956"/>
    <x v="9"/>
  </r>
  <r>
    <n v="1092"/>
    <d v="2023-06-17T00:00:00"/>
    <n v="66978.638999999806"/>
    <n v="21"/>
    <n v="2792.2"/>
    <n v="3254.5499999999902"/>
    <x v="3"/>
    <x v="1"/>
    <x v="3"/>
    <x v="2"/>
    <x v="1"/>
    <x v="2"/>
    <x v="1"/>
    <n v="462.34999999999036"/>
    <n v="9709.3499999997985"/>
    <x v="6"/>
  </r>
  <r>
    <n v="1062"/>
    <d v="2023-04-02T00:00:00"/>
    <n v="13089.120000000003"/>
    <n v="10"/>
    <n v="1524.88"/>
    <n v="1636.14"/>
    <x v="2"/>
    <x v="0"/>
    <x v="3"/>
    <x v="2"/>
    <x v="1"/>
    <x v="1"/>
    <x v="0"/>
    <n v="111.25999999999999"/>
    <n v="1112.5999999999999"/>
    <x v="1"/>
  </r>
  <r>
    <n v="1063"/>
    <d v="2023-12-19T00:00:00"/>
    <n v="94562.084999999992"/>
    <n v="46"/>
    <n v="2302.62"/>
    <n v="2740.93"/>
    <x v="26"/>
    <x v="2"/>
    <x v="1"/>
    <x v="0"/>
    <x v="0"/>
    <x v="1"/>
    <x v="0"/>
    <n v="438.30999999999995"/>
    <n v="20162.259999999998"/>
    <x v="9"/>
  </r>
  <r>
    <n v="1025"/>
    <d v="2023-02-28T00:00:00"/>
    <n v="10897.163199999999"/>
    <n v="14"/>
    <n v="859.59"/>
    <n v="884.51"/>
    <x v="7"/>
    <x v="0"/>
    <x v="3"/>
    <x v="3"/>
    <x v="1"/>
    <x v="1"/>
    <x v="0"/>
    <n v="24.919999999999959"/>
    <n v="348.87999999999943"/>
    <x v="0"/>
  </r>
  <r>
    <n v="1056"/>
    <d v="2023-02-28T00:00:00"/>
    <n v="50036.9352"/>
    <n v="37"/>
    <n v="1555.41"/>
    <n v="1609.94"/>
    <x v="28"/>
    <x v="3"/>
    <x v="0"/>
    <x v="3"/>
    <x v="0"/>
    <x v="2"/>
    <x v="0"/>
    <n v="54.529999999999973"/>
    <n v="2017.609999999999"/>
    <x v="0"/>
  </r>
  <r>
    <n v="1033"/>
    <d v="2023-10-31T00:00:00"/>
    <n v="56283.796800000004"/>
    <n v="18"/>
    <n v="3124.48"/>
    <n v="3553.27"/>
    <x v="7"/>
    <x v="3"/>
    <x v="3"/>
    <x v="0"/>
    <x v="0"/>
    <x v="0"/>
    <x v="1"/>
    <n v="428.78999999999996"/>
    <n v="7718.2199999999993"/>
    <x v="7"/>
  </r>
  <r>
    <n v="1038"/>
    <d v="2023-06-18T00:00:00"/>
    <n v="40685.299200000001"/>
    <n v="24"/>
    <n v="1543.91"/>
    <n v="1862.88"/>
    <x v="0"/>
    <x v="3"/>
    <x v="1"/>
    <x v="2"/>
    <x v="1"/>
    <x v="1"/>
    <x v="0"/>
    <n v="318.97000000000003"/>
    <n v="7655.2800000000007"/>
    <x v="6"/>
  </r>
  <r>
    <n v="1006"/>
    <d v="2023-09-26T00:00:00"/>
    <n v="51921.923199999896"/>
    <n v="14"/>
    <n v="4503.7299999999996"/>
    <n v="4879.8799999999901"/>
    <x v="19"/>
    <x v="0"/>
    <x v="3"/>
    <x v="1"/>
    <x v="1"/>
    <x v="1"/>
    <x v="1"/>
    <n v="376.14999999999054"/>
    <n v="5266.0999999998676"/>
    <x v="2"/>
  </r>
  <r>
    <n v="1058"/>
    <d v="2023-12-29T00:00:00"/>
    <n v="102386.3216"/>
    <n v="34"/>
    <n v="3160.61"/>
    <n v="3273.22"/>
    <x v="4"/>
    <x v="1"/>
    <x v="0"/>
    <x v="3"/>
    <x v="0"/>
    <x v="2"/>
    <x v="1"/>
    <n v="112.60999999999967"/>
    <n v="3828.7399999999889"/>
    <x v="9"/>
  </r>
  <r>
    <n v="1044"/>
    <d v="2023-02-14T00:00:00"/>
    <n v="23348.332800000004"/>
    <n v="12"/>
    <n v="2221.31"/>
    <n v="2494.48"/>
    <x v="20"/>
    <x v="1"/>
    <x v="1"/>
    <x v="3"/>
    <x v="0"/>
    <x v="1"/>
    <x v="0"/>
    <n v="273.17000000000007"/>
    <n v="3278.0400000000009"/>
    <x v="0"/>
  </r>
  <r>
    <n v="1045"/>
    <d v="2023-12-11T00:00:00"/>
    <n v="12678.701200000001"/>
    <n v="22"/>
    <n v="241.85"/>
    <n v="613.09"/>
    <x v="18"/>
    <x v="4"/>
    <x v="1"/>
    <x v="2"/>
    <x v="0"/>
    <x v="0"/>
    <x v="0"/>
    <n v="371.24"/>
    <n v="8167.2800000000007"/>
    <x v="9"/>
  </r>
  <r>
    <n v="1032"/>
    <d v="2023-06-30T00:00:00"/>
    <n v="15847.981199999998"/>
    <n v="6"/>
    <n v="2522.7600000000002"/>
    <n v="2840.14"/>
    <x v="17"/>
    <x v="3"/>
    <x v="0"/>
    <x v="2"/>
    <x v="0"/>
    <x v="2"/>
    <x v="1"/>
    <n v="317.37999999999965"/>
    <n v="1904.2799999999979"/>
    <x v="6"/>
  </r>
  <r>
    <n v="1045"/>
    <d v="2023-06-19T00:00:00"/>
    <n v="132087.348"/>
    <n v="36"/>
    <n v="3835.64"/>
    <n v="4076.77"/>
    <x v="15"/>
    <x v="1"/>
    <x v="0"/>
    <x v="3"/>
    <x v="0"/>
    <x v="2"/>
    <x v="1"/>
    <n v="241.13000000000011"/>
    <n v="8680.6800000000039"/>
    <x v="6"/>
  </r>
  <r>
    <n v="1061"/>
    <d v="2023-12-22T00:00:00"/>
    <n v="68073.12000000001"/>
    <n v="45"/>
    <n v="1364.51"/>
    <n v="1844.8"/>
    <x v="13"/>
    <x v="4"/>
    <x v="0"/>
    <x v="2"/>
    <x v="0"/>
    <x v="0"/>
    <x v="0"/>
    <n v="480.28999999999996"/>
    <n v="21613.05"/>
    <x v="9"/>
  </r>
  <r>
    <n v="1047"/>
    <d v="2023-07-10T00:00:00"/>
    <n v="135754.95600000001"/>
    <n v="36"/>
    <n v="4043.53"/>
    <n v="4384.8500000000004"/>
    <x v="6"/>
    <x v="1"/>
    <x v="0"/>
    <x v="1"/>
    <x v="1"/>
    <x v="0"/>
    <x v="0"/>
    <n v="341.32000000000016"/>
    <n v="12287.520000000006"/>
    <x v="11"/>
  </r>
  <r>
    <n v="1021"/>
    <d v="2023-06-04T00:00:00"/>
    <n v="30051.278399999999"/>
    <n v="22"/>
    <n v="1296.44"/>
    <n v="1751.24"/>
    <x v="20"/>
    <x v="3"/>
    <x v="0"/>
    <x v="3"/>
    <x v="1"/>
    <x v="0"/>
    <x v="0"/>
    <n v="454.79999999999995"/>
    <n v="10005.599999999999"/>
    <x v="6"/>
  </r>
  <r>
    <n v="1080"/>
    <d v="2023-07-07T00:00:00"/>
    <n v="59155.910799999998"/>
    <n v="14"/>
    <n v="4127.54"/>
    <n v="4495.13"/>
    <x v="18"/>
    <x v="2"/>
    <x v="1"/>
    <x v="1"/>
    <x v="1"/>
    <x v="1"/>
    <x v="1"/>
    <n v="367.59000000000015"/>
    <n v="5146.260000000002"/>
    <x v="11"/>
  </r>
  <r>
    <n v="1085"/>
    <d v="2023-01-07T00:00:00"/>
    <n v="13479.36"/>
    <n v="16"/>
    <n v="472.08"/>
    <n v="842.46"/>
    <x v="11"/>
    <x v="3"/>
    <x v="1"/>
    <x v="1"/>
    <x v="1"/>
    <x v="0"/>
    <x v="1"/>
    <n v="370.38000000000005"/>
    <n v="5926.0800000000008"/>
    <x v="5"/>
  </r>
  <r>
    <n v="1075"/>
    <d v="2023-05-13T00:00:00"/>
    <n v="121602.6504"/>
    <n v="36"/>
    <n v="4337.6099999999997"/>
    <n v="4386.82"/>
    <x v="10"/>
    <x v="0"/>
    <x v="3"/>
    <x v="2"/>
    <x v="0"/>
    <x v="2"/>
    <x v="0"/>
    <n v="49.210000000000036"/>
    <n v="1771.5600000000013"/>
    <x v="10"/>
  </r>
  <r>
    <n v="1036"/>
    <d v="2023-08-23T00:00:00"/>
    <n v="50758.312499999811"/>
    <n v="25"/>
    <n v="2520.9699999999998"/>
    <n v="2707.1099999999901"/>
    <x v="26"/>
    <x v="1"/>
    <x v="3"/>
    <x v="1"/>
    <x v="1"/>
    <x v="0"/>
    <x v="1"/>
    <n v="186.13999999999032"/>
    <n v="4653.4999999997581"/>
    <x v="3"/>
  </r>
  <r>
    <n v="1099"/>
    <d v="2023-02-14T00:00:00"/>
    <n v="61103.705600000001"/>
    <n v="32"/>
    <n v="1517.86"/>
    <n v="1948.46"/>
    <x v="3"/>
    <x v="1"/>
    <x v="2"/>
    <x v="2"/>
    <x v="1"/>
    <x v="2"/>
    <x v="0"/>
    <n v="430.60000000000014"/>
    <n v="13779.200000000004"/>
    <x v="0"/>
  </r>
  <r>
    <n v="1019"/>
    <d v="2023-11-10T00:00:00"/>
    <n v="40219.007400000002"/>
    <n v="33"/>
    <n v="1362.31"/>
    <n v="1486.29"/>
    <x v="13"/>
    <x v="0"/>
    <x v="3"/>
    <x v="0"/>
    <x v="0"/>
    <x v="2"/>
    <x v="1"/>
    <n v="123.98000000000002"/>
    <n v="4091.3400000000006"/>
    <x v="8"/>
  </r>
  <r>
    <n v="1020"/>
    <d v="2023-09-06T00:00:00"/>
    <n v="90314.752499999609"/>
    <n v="45"/>
    <n v="2188.4499999999998"/>
    <n v="2255.0499999999902"/>
    <x v="1"/>
    <x v="0"/>
    <x v="3"/>
    <x v="2"/>
    <x v="1"/>
    <x v="1"/>
    <x v="1"/>
    <n v="66.599999999990359"/>
    <n v="2996.9999999995662"/>
    <x v="2"/>
  </r>
  <r>
    <n v="1057"/>
    <d v="2023-01-31T00:00:00"/>
    <n v="141316.86239999998"/>
    <n v="36"/>
    <n v="4995.3"/>
    <n v="5165.09"/>
    <x v="19"/>
    <x v="2"/>
    <x v="0"/>
    <x v="1"/>
    <x v="0"/>
    <x v="0"/>
    <x v="0"/>
    <n v="169.78999999999996"/>
    <n v="6112.4399999999987"/>
    <x v="5"/>
  </r>
  <r>
    <n v="1018"/>
    <d v="2023-01-23T00:00:00"/>
    <n v="18627.723999999853"/>
    <n v="20"/>
    <n v="1140.6199999999999"/>
    <n v="1258.6299999999901"/>
    <x v="16"/>
    <x v="1"/>
    <x v="0"/>
    <x v="0"/>
    <x v="0"/>
    <x v="1"/>
    <x v="0"/>
    <n v="118.00999999999021"/>
    <n v="2360.1999999998043"/>
    <x v="5"/>
  </r>
  <r>
    <n v="1047"/>
    <d v="2023-06-09T00:00:00"/>
    <n v="13643.809199999998"/>
    <n v="18"/>
    <n v="560.91999999999996"/>
    <n v="1024.31"/>
    <x v="16"/>
    <x v="1"/>
    <x v="3"/>
    <x v="2"/>
    <x v="0"/>
    <x v="0"/>
    <x v="0"/>
    <n v="463.39"/>
    <n v="8341.02"/>
    <x v="6"/>
  </r>
  <r>
    <n v="1049"/>
    <d v="2023-12-29T00:00:00"/>
    <n v="98934.497199999998"/>
    <n v="38"/>
    <n v="2945.92"/>
    <n v="3381.22"/>
    <x v="10"/>
    <x v="2"/>
    <x v="2"/>
    <x v="1"/>
    <x v="0"/>
    <x v="0"/>
    <x v="1"/>
    <n v="435.29999999999973"/>
    <n v="16541.399999999991"/>
    <x v="9"/>
  </r>
  <r>
    <n v="1014"/>
    <d v="2023-06-07T00:00:00"/>
    <n v="7515.8388000000004"/>
    <n v="3"/>
    <n v="2468.29"/>
    <n v="2723.13"/>
    <x v="4"/>
    <x v="4"/>
    <x v="0"/>
    <x v="3"/>
    <x v="0"/>
    <x v="0"/>
    <x v="1"/>
    <n v="254.84000000000015"/>
    <n v="764.52000000000044"/>
    <x v="6"/>
  </r>
  <r>
    <n v="1015"/>
    <d v="2023-02-08T00:00:00"/>
    <n v="46930.828399999999"/>
    <n v="23"/>
    <n v="2644.77"/>
    <n v="2684.83"/>
    <x v="19"/>
    <x v="2"/>
    <x v="3"/>
    <x v="3"/>
    <x v="1"/>
    <x v="0"/>
    <x v="0"/>
    <n v="40.059999999999945"/>
    <n v="921.37999999999874"/>
    <x v="0"/>
  </r>
  <r>
    <n v="1031"/>
    <d v="2023-03-23T00:00:00"/>
    <n v="99764.313599999994"/>
    <n v="32"/>
    <n v="3351.33"/>
    <n v="3711.47"/>
    <x v="28"/>
    <x v="3"/>
    <x v="3"/>
    <x v="2"/>
    <x v="1"/>
    <x v="0"/>
    <x v="1"/>
    <n v="360.13999999999987"/>
    <n v="11524.479999999996"/>
    <x v="4"/>
  </r>
  <r>
    <n v="1001"/>
    <d v="2023-12-22T00:00:00"/>
    <n v="74433.302999999985"/>
    <n v="45"/>
    <n v="1372.36"/>
    <n v="1687.83"/>
    <x v="3"/>
    <x v="1"/>
    <x v="1"/>
    <x v="2"/>
    <x v="1"/>
    <x v="2"/>
    <x v="0"/>
    <n v="315.47000000000003"/>
    <n v="14196.150000000001"/>
    <x v="9"/>
  </r>
  <r>
    <n v="1054"/>
    <d v="2023-09-15T00:00:00"/>
    <n v="69396.633600000001"/>
    <n v="16"/>
    <n v="4557.79"/>
    <n v="5043.3599999999997"/>
    <x v="6"/>
    <x v="0"/>
    <x v="2"/>
    <x v="3"/>
    <x v="0"/>
    <x v="2"/>
    <x v="1"/>
    <n v="485.56999999999971"/>
    <n v="7769.1199999999953"/>
    <x v="2"/>
  </r>
  <r>
    <n v="1003"/>
    <d v="2023-07-25T00:00:00"/>
    <n v="8965.6919999999991"/>
    <n v="5"/>
    <n v="2206.58"/>
    <n v="2490.4699999999998"/>
    <x v="24"/>
    <x v="3"/>
    <x v="1"/>
    <x v="1"/>
    <x v="1"/>
    <x v="0"/>
    <x v="0"/>
    <n v="283.88999999999987"/>
    <n v="1419.4499999999994"/>
    <x v="11"/>
  </r>
  <r>
    <n v="1016"/>
    <d v="2023-03-18T00:00:00"/>
    <n v="2522.3251999999998"/>
    <n v="4"/>
    <n v="688.98"/>
    <n v="863.81"/>
    <x v="29"/>
    <x v="1"/>
    <x v="2"/>
    <x v="1"/>
    <x v="1"/>
    <x v="2"/>
    <x v="1"/>
    <n v="174.82999999999993"/>
    <n v="699.31999999999971"/>
    <x v="4"/>
  </r>
  <r>
    <n v="1087"/>
    <d v="2023-01-12T00:00:00"/>
    <n v="81249.818999999989"/>
    <n v="21"/>
    <n v="3724.38"/>
    <n v="3988.7"/>
    <x v="21"/>
    <x v="2"/>
    <x v="0"/>
    <x v="1"/>
    <x v="1"/>
    <x v="1"/>
    <x v="1"/>
    <n v="264.31999999999971"/>
    <n v="5550.7199999999939"/>
    <x v="5"/>
  </r>
  <r>
    <n v="1057"/>
    <d v="2023-10-22T00:00:00"/>
    <n v="116164.152"/>
    <n v="40"/>
    <n v="3233.37"/>
    <n v="3723.21"/>
    <x v="20"/>
    <x v="3"/>
    <x v="2"/>
    <x v="2"/>
    <x v="1"/>
    <x v="1"/>
    <x v="1"/>
    <n v="489.84000000000015"/>
    <n v="19593.600000000006"/>
    <x v="7"/>
  </r>
  <r>
    <n v="1075"/>
    <d v="2023-08-12T00:00:00"/>
    <n v="20898.556"/>
    <n v="14"/>
    <n v="1612.93"/>
    <n v="1964.15"/>
    <x v="19"/>
    <x v="1"/>
    <x v="3"/>
    <x v="0"/>
    <x v="0"/>
    <x v="1"/>
    <x v="1"/>
    <n v="351.22"/>
    <n v="4917.08"/>
    <x v="3"/>
  </r>
  <r>
    <n v="1012"/>
    <d v="2023-01-13T00:00:00"/>
    <n v="124352.54520000001"/>
    <n v="39"/>
    <n v="3126.52"/>
    <n v="3465.79"/>
    <x v="4"/>
    <x v="4"/>
    <x v="3"/>
    <x v="0"/>
    <x v="1"/>
    <x v="0"/>
    <x v="0"/>
    <n v="339.27"/>
    <n v="13231.529999999999"/>
    <x v="5"/>
  </r>
  <r>
    <n v="1074"/>
    <d v="2023-02-15T00:00:00"/>
    <n v="33758.224999999999"/>
    <n v="31"/>
    <n v="1138.32"/>
    <n v="1266.25"/>
    <x v="6"/>
    <x v="4"/>
    <x v="2"/>
    <x v="0"/>
    <x v="0"/>
    <x v="0"/>
    <x v="1"/>
    <n v="127.93000000000006"/>
    <n v="3965.8300000000017"/>
    <x v="0"/>
  </r>
  <r>
    <n v="1096"/>
    <d v="2023-06-04T00:00:00"/>
    <n v="29047.099199999895"/>
    <n v="14"/>
    <n v="2251.9499999999998"/>
    <n v="2626.3199999999902"/>
    <x v="5"/>
    <x v="0"/>
    <x v="2"/>
    <x v="0"/>
    <x v="0"/>
    <x v="2"/>
    <x v="0"/>
    <n v="374.36999999999034"/>
    <n v="5241.1799999998648"/>
    <x v="6"/>
  </r>
  <r>
    <n v="1016"/>
    <d v="2023-04-23T00:00:00"/>
    <n v="25472.1384"/>
    <n v="6"/>
    <n v="4502.09"/>
    <n v="4879.72"/>
    <x v="9"/>
    <x v="1"/>
    <x v="2"/>
    <x v="0"/>
    <x v="1"/>
    <x v="2"/>
    <x v="0"/>
    <n v="377.63000000000011"/>
    <n v="2265.7800000000007"/>
    <x v="1"/>
  </r>
  <r>
    <n v="1072"/>
    <d v="2023-08-21T00:00:00"/>
    <n v="10201.9944"/>
    <n v="12"/>
    <n v="710.99"/>
    <n v="876.46"/>
    <x v="21"/>
    <x v="4"/>
    <x v="1"/>
    <x v="2"/>
    <x v="0"/>
    <x v="2"/>
    <x v="0"/>
    <n v="165.47000000000003"/>
    <n v="1985.6400000000003"/>
    <x v="3"/>
  </r>
  <r>
    <n v="1076"/>
    <d v="2023-01-17T00:00:00"/>
    <n v="27949.188800000004"/>
    <n v="16"/>
    <n v="1964.15"/>
    <n v="2211.17"/>
    <x v="5"/>
    <x v="2"/>
    <x v="2"/>
    <x v="2"/>
    <x v="0"/>
    <x v="1"/>
    <x v="0"/>
    <n v="247.01999999999998"/>
    <n v="3952.3199999999997"/>
    <x v="5"/>
  </r>
  <r>
    <n v="1024"/>
    <d v="2023-12-26T00:00:00"/>
    <n v="52978.538199999879"/>
    <n v="17"/>
    <n v="4114.66"/>
    <n v="4269.0199999999904"/>
    <x v="29"/>
    <x v="1"/>
    <x v="0"/>
    <x v="0"/>
    <x v="0"/>
    <x v="1"/>
    <x v="1"/>
    <n v="154.35999999999058"/>
    <n v="2624.1199999998398"/>
    <x v="9"/>
  </r>
  <r>
    <n v="1028"/>
    <d v="2023-08-11T00:00:00"/>
    <n v="179487"/>
    <n v="45"/>
    <n v="4848.9799999999996"/>
    <n v="4985.75"/>
    <x v="2"/>
    <x v="2"/>
    <x v="1"/>
    <x v="2"/>
    <x v="0"/>
    <x v="1"/>
    <x v="0"/>
    <n v="136.77000000000044"/>
    <n v="6154.6500000000196"/>
    <x v="3"/>
  </r>
  <r>
    <n v="1008"/>
    <d v="2023-12-20T00:00:00"/>
    <n v="41080.470199999996"/>
    <n v="23"/>
    <n v="2296.9299999999998"/>
    <n v="2319.62"/>
    <x v="10"/>
    <x v="2"/>
    <x v="1"/>
    <x v="2"/>
    <x v="0"/>
    <x v="1"/>
    <x v="1"/>
    <n v="22.690000000000055"/>
    <n v="521.87000000000126"/>
    <x v="9"/>
  </r>
  <r>
    <n v="1092"/>
    <d v="2023-07-07T00:00:00"/>
    <n v="33759.123999999996"/>
    <n v="14"/>
    <n v="2559.65"/>
    <n v="2709.4"/>
    <x v="1"/>
    <x v="4"/>
    <x v="2"/>
    <x v="0"/>
    <x v="0"/>
    <x v="2"/>
    <x v="1"/>
    <n v="149.75"/>
    <n v="2096.5"/>
    <x v="11"/>
  </r>
  <r>
    <n v="1036"/>
    <d v="2023-12-10T00:00:00"/>
    <n v="21038.604999999996"/>
    <n v="7"/>
    <n v="2882.25"/>
    <n v="3163.7"/>
    <x v="8"/>
    <x v="1"/>
    <x v="0"/>
    <x v="1"/>
    <x v="0"/>
    <x v="0"/>
    <x v="1"/>
    <n v="281.44999999999982"/>
    <n v="1970.1499999999987"/>
    <x v="9"/>
  </r>
  <r>
    <n v="1090"/>
    <d v="2023-12-31T00:00:00"/>
    <n v="174224.03400000001"/>
    <n v="46"/>
    <n v="4665.12"/>
    <n v="4675.8999999999996"/>
    <x v="27"/>
    <x v="3"/>
    <x v="1"/>
    <x v="2"/>
    <x v="1"/>
    <x v="0"/>
    <x v="1"/>
    <n v="10.779999999999745"/>
    <n v="495.87999999998829"/>
    <x v="9"/>
  </r>
  <r>
    <n v="1008"/>
    <d v="2023-06-12T00:00:00"/>
    <n v="128070.71999999999"/>
    <n v="32"/>
    <n v="4298.12"/>
    <n v="4446.8999999999996"/>
    <x v="15"/>
    <x v="4"/>
    <x v="3"/>
    <x v="1"/>
    <x v="1"/>
    <x v="1"/>
    <x v="0"/>
    <n v="148.77999999999975"/>
    <n v="4760.9599999999919"/>
    <x v="6"/>
  </r>
  <r>
    <n v="1058"/>
    <d v="2023-11-22T00:00:00"/>
    <n v="14833.706999999999"/>
    <n v="15"/>
    <n v="894.48"/>
    <n v="1336.37"/>
    <x v="16"/>
    <x v="4"/>
    <x v="1"/>
    <x v="2"/>
    <x v="0"/>
    <x v="0"/>
    <x v="1"/>
    <n v="441.88999999999987"/>
    <n v="6628.3499999999985"/>
    <x v="8"/>
  </r>
  <r>
    <n v="1060"/>
    <d v="2023-03-15T00:00:00"/>
    <n v="106142.36159999958"/>
    <n v="44"/>
    <n v="2211.9499999999998"/>
    <n v="2512.8399999999901"/>
    <x v="14"/>
    <x v="1"/>
    <x v="2"/>
    <x v="2"/>
    <x v="0"/>
    <x v="0"/>
    <x v="0"/>
    <n v="300.88999999999032"/>
    <n v="13239.159999999574"/>
    <x v="4"/>
  </r>
  <r>
    <n v="1050"/>
    <d v="2023-08-21T00:00:00"/>
    <n v="39262.273500000003"/>
    <n v="17"/>
    <n v="2346.8000000000002"/>
    <n v="2654.65"/>
    <x v="9"/>
    <x v="1"/>
    <x v="0"/>
    <x v="0"/>
    <x v="1"/>
    <x v="0"/>
    <x v="1"/>
    <n v="307.84999999999991"/>
    <n v="5233.4499999999989"/>
    <x v="3"/>
  </r>
  <r>
    <n v="1028"/>
    <d v="2023-08-12T00:00:00"/>
    <n v="150225.57440000001"/>
    <n v="41"/>
    <n v="3956.03"/>
    <n v="4163.68"/>
    <x v="7"/>
    <x v="2"/>
    <x v="2"/>
    <x v="2"/>
    <x v="1"/>
    <x v="1"/>
    <x v="1"/>
    <n v="207.65000000000009"/>
    <n v="8513.6500000000033"/>
    <x v="3"/>
  </r>
  <r>
    <n v="1092"/>
    <d v="2023-11-15T00:00:00"/>
    <n v="114236.73359999999"/>
    <n v="47"/>
    <n v="3034.32"/>
    <n v="3375.79"/>
    <x v="24"/>
    <x v="1"/>
    <x v="3"/>
    <x v="3"/>
    <x v="1"/>
    <x v="2"/>
    <x v="0"/>
    <n v="341.4699999999998"/>
    <n v="16049.089999999991"/>
    <x v="8"/>
  </r>
  <r>
    <n v="1041"/>
    <d v="2023-03-01T00:00:00"/>
    <n v="141763.02799999999"/>
    <n v="44"/>
    <n v="3288.39"/>
    <n v="3391.46"/>
    <x v="8"/>
    <x v="2"/>
    <x v="3"/>
    <x v="3"/>
    <x v="1"/>
    <x v="2"/>
    <x v="1"/>
    <n v="103.07000000000016"/>
    <n v="4535.0800000000072"/>
    <x v="4"/>
  </r>
  <r>
    <n v="1100"/>
    <d v="2023-12-01T00:00:00"/>
    <n v="183677.52"/>
    <n v="34"/>
    <n v="4991.09"/>
    <n v="5402.28"/>
    <x v="11"/>
    <x v="4"/>
    <x v="3"/>
    <x v="0"/>
    <x v="0"/>
    <x v="0"/>
    <x v="1"/>
    <n v="411.1899999999996"/>
    <n v="13980.459999999986"/>
    <x v="9"/>
  </r>
  <r>
    <n v="1064"/>
    <d v="2023-08-10T00:00:00"/>
    <n v="2270.2694999999999"/>
    <n v="5"/>
    <n v="421.05"/>
    <n v="488.23"/>
    <x v="17"/>
    <x v="0"/>
    <x v="2"/>
    <x v="1"/>
    <x v="0"/>
    <x v="2"/>
    <x v="1"/>
    <n v="67.180000000000007"/>
    <n v="335.90000000000003"/>
    <x v="3"/>
  </r>
  <r>
    <n v="1027"/>
    <d v="2023-02-06T00:00:00"/>
    <n v="50130.225000000006"/>
    <n v="45"/>
    <n v="1153.9000000000001"/>
    <n v="1485.34"/>
    <x v="26"/>
    <x v="3"/>
    <x v="1"/>
    <x v="1"/>
    <x v="1"/>
    <x v="2"/>
    <x v="1"/>
    <n v="331.43999999999983"/>
    <n v="14914.799999999992"/>
    <x v="0"/>
  </r>
  <r>
    <n v="1063"/>
    <d v="2023-10-05T00:00:00"/>
    <n v="57009.571199999991"/>
    <n v="27"/>
    <n v="2069.08"/>
    <n v="2246.2399999999998"/>
    <x v="18"/>
    <x v="4"/>
    <x v="2"/>
    <x v="1"/>
    <x v="1"/>
    <x v="1"/>
    <x v="1"/>
    <n v="177.15999999999985"/>
    <n v="4783.3199999999961"/>
    <x v="7"/>
  </r>
  <r>
    <n v="1017"/>
    <d v="2023-07-15T00:00:00"/>
    <n v="45941.441999999995"/>
    <n v="23"/>
    <n v="1771.52"/>
    <n v="2147.8000000000002"/>
    <x v="17"/>
    <x v="1"/>
    <x v="0"/>
    <x v="3"/>
    <x v="1"/>
    <x v="1"/>
    <x v="0"/>
    <n v="376.2800000000002"/>
    <n v="8654.4400000000041"/>
    <x v="11"/>
  </r>
  <r>
    <n v="1073"/>
    <d v="2023-12-18T00:00:00"/>
    <n v="16762.751999999997"/>
    <n v="40"/>
    <n v="157.15"/>
    <n v="436.53"/>
    <x v="14"/>
    <x v="3"/>
    <x v="1"/>
    <x v="1"/>
    <x v="1"/>
    <x v="0"/>
    <x v="1"/>
    <n v="279.38"/>
    <n v="11175.2"/>
    <x v="9"/>
  </r>
  <r>
    <n v="1033"/>
    <d v="2023-08-30T00:00:00"/>
    <n v="8139.6070000000009"/>
    <n v="14"/>
    <n v="504.3"/>
    <n v="735.95"/>
    <x v="5"/>
    <x v="0"/>
    <x v="3"/>
    <x v="1"/>
    <x v="0"/>
    <x v="0"/>
    <x v="1"/>
    <n v="231.65000000000003"/>
    <n v="3243.1000000000004"/>
    <x v="3"/>
  </r>
  <r>
    <n v="1084"/>
    <d v="2023-11-20T00:00:00"/>
    <n v="51651.977999999996"/>
    <n v="15"/>
    <n v="3420.72"/>
    <n v="3513.74"/>
    <x v="3"/>
    <x v="0"/>
    <x v="2"/>
    <x v="0"/>
    <x v="1"/>
    <x v="0"/>
    <x v="0"/>
    <n v="93.019999999999982"/>
    <n v="1395.2999999999997"/>
    <x v="8"/>
  </r>
  <r>
    <n v="1077"/>
    <d v="2023-08-07T00:00:00"/>
    <n v="182845.89"/>
    <n v="43"/>
    <n v="4402.66"/>
    <n v="4724.7"/>
    <x v="15"/>
    <x v="2"/>
    <x v="3"/>
    <x v="1"/>
    <x v="1"/>
    <x v="1"/>
    <x v="1"/>
    <n v="322.03999999999996"/>
    <n v="13847.719999999998"/>
    <x v="3"/>
  </r>
  <r>
    <n v="1092"/>
    <d v="2023-07-11T00:00:00"/>
    <n v="93601.7016"/>
    <n v="33"/>
    <n v="2595.42"/>
    <n v="3083.06"/>
    <x v="4"/>
    <x v="3"/>
    <x v="3"/>
    <x v="3"/>
    <x v="1"/>
    <x v="2"/>
    <x v="0"/>
    <n v="487.63999999999987"/>
    <n v="16092.119999999995"/>
    <x v="11"/>
  </r>
  <r>
    <n v="1029"/>
    <d v="2023-01-17T00:00:00"/>
    <n v="80626.241500000004"/>
    <n v="31"/>
    <n v="2719"/>
    <n v="3133.55"/>
    <x v="22"/>
    <x v="2"/>
    <x v="0"/>
    <x v="3"/>
    <x v="0"/>
    <x v="1"/>
    <x v="1"/>
    <n v="414.55000000000018"/>
    <n v="12851.050000000007"/>
    <x v="5"/>
  </r>
  <r>
    <n v="1013"/>
    <d v="2023-01-12T00:00:00"/>
    <n v="36912.603000000003"/>
    <n v="35"/>
    <n v="1312.71"/>
    <n v="1352.11"/>
    <x v="20"/>
    <x v="4"/>
    <x v="1"/>
    <x v="3"/>
    <x v="0"/>
    <x v="1"/>
    <x v="1"/>
    <n v="39.399999999999864"/>
    <n v="1378.9999999999952"/>
    <x v="5"/>
  </r>
  <r>
    <n v="1046"/>
    <d v="2023-07-12T00:00:00"/>
    <n v="57767.455199999866"/>
    <n v="17"/>
    <n v="3850.99"/>
    <n v="4045.3399999999901"/>
    <x v="28"/>
    <x v="3"/>
    <x v="0"/>
    <x v="0"/>
    <x v="0"/>
    <x v="2"/>
    <x v="0"/>
    <n v="194.34999999999036"/>
    <n v="3303.9499999998361"/>
    <x v="11"/>
  </r>
  <r>
    <n v="1035"/>
    <d v="2023-01-22T00:00:00"/>
    <n v="85375.987200000003"/>
    <n v="28"/>
    <n v="3771.38"/>
    <n v="4234.92"/>
    <x v="24"/>
    <x v="4"/>
    <x v="0"/>
    <x v="0"/>
    <x v="1"/>
    <x v="2"/>
    <x v="1"/>
    <n v="463.53999999999996"/>
    <n v="12979.119999999999"/>
    <x v="5"/>
  </r>
  <r>
    <n v="1006"/>
    <d v="2023-04-30T00:00:00"/>
    <n v="43422.960999999865"/>
    <n v="19"/>
    <n v="2962.41"/>
    <n v="3218.8999999999901"/>
    <x v="12"/>
    <x v="2"/>
    <x v="0"/>
    <x v="2"/>
    <x v="1"/>
    <x v="0"/>
    <x v="1"/>
    <n v="256.48999999999023"/>
    <n v="4873.309999999814"/>
    <x v="1"/>
  </r>
  <r>
    <n v="1082"/>
    <d v="2023-07-29T00:00:00"/>
    <n v="58835.69279999999"/>
    <n v="46"/>
    <n v="1102.69"/>
    <n v="1437.12"/>
    <x v="1"/>
    <x v="3"/>
    <x v="3"/>
    <x v="1"/>
    <x v="1"/>
    <x v="2"/>
    <x v="0"/>
    <n v="334.42999999999984"/>
    <n v="15383.779999999992"/>
    <x v="11"/>
  </r>
  <r>
    <n v="1069"/>
    <d v="2023-11-02T00:00:00"/>
    <n v="17487.0311"/>
    <n v="23"/>
    <n v="530.24"/>
    <n v="987.41"/>
    <x v="10"/>
    <x v="2"/>
    <x v="0"/>
    <x v="0"/>
    <x v="0"/>
    <x v="2"/>
    <x v="0"/>
    <n v="457.16999999999996"/>
    <n v="10514.91"/>
    <x v="8"/>
  </r>
  <r>
    <n v="1047"/>
    <d v="2023-09-27T00:00:00"/>
    <n v="20121.254400000002"/>
    <n v="32"/>
    <n v="367.98"/>
    <n v="806.14"/>
    <x v="20"/>
    <x v="3"/>
    <x v="0"/>
    <x v="3"/>
    <x v="0"/>
    <x v="2"/>
    <x v="1"/>
    <n v="438.15999999999997"/>
    <n v="14021.119999999999"/>
    <x v="2"/>
  </r>
  <r>
    <n v="1025"/>
    <d v="2023-07-11T00:00:00"/>
    <n v="94600.407999999996"/>
    <n v="40"/>
    <n v="2983.85"/>
    <n v="3239.74"/>
    <x v="29"/>
    <x v="2"/>
    <x v="1"/>
    <x v="3"/>
    <x v="1"/>
    <x v="2"/>
    <x v="0"/>
    <n v="255.88999999999987"/>
    <n v="10235.599999999995"/>
    <x v="11"/>
  </r>
  <r>
    <n v="1066"/>
    <d v="2023-06-24T00:00:00"/>
    <n v="49293.164700000001"/>
    <n v="13"/>
    <n v="4133.92"/>
    <n v="4358.37"/>
    <x v="9"/>
    <x v="0"/>
    <x v="1"/>
    <x v="0"/>
    <x v="1"/>
    <x v="0"/>
    <x v="1"/>
    <n v="224.44999999999982"/>
    <n v="2917.8499999999976"/>
    <x v="6"/>
  </r>
  <r>
    <n v="1010"/>
    <d v="2023-10-12T00:00:00"/>
    <n v="75183.191999999981"/>
    <n v="20"/>
    <n v="4298.74"/>
    <n v="4475.1899999999996"/>
    <x v="28"/>
    <x v="2"/>
    <x v="0"/>
    <x v="0"/>
    <x v="0"/>
    <x v="0"/>
    <x v="0"/>
    <n v="176.44999999999982"/>
    <n v="3528.9999999999964"/>
    <x v="7"/>
  </r>
  <r>
    <n v="1056"/>
    <d v="2023-07-23T00:00:00"/>
    <n v="83383.3"/>
    <n v="35"/>
    <n v="2344.9299999999998"/>
    <n v="2707.25"/>
    <x v="7"/>
    <x v="0"/>
    <x v="1"/>
    <x v="0"/>
    <x v="1"/>
    <x v="2"/>
    <x v="1"/>
    <n v="362.32000000000016"/>
    <n v="12681.200000000006"/>
    <x v="11"/>
  </r>
  <r>
    <n v="1030"/>
    <d v="2023-06-13T00:00:00"/>
    <n v="15106.211999999965"/>
    <n v="5"/>
    <n v="3932.14"/>
    <n v="4082.7599999999902"/>
    <x v="16"/>
    <x v="2"/>
    <x v="1"/>
    <x v="2"/>
    <x v="1"/>
    <x v="2"/>
    <x v="0"/>
    <n v="150.61999999999034"/>
    <n v="753.09999999995171"/>
    <x v="6"/>
  </r>
  <r>
    <n v="1005"/>
    <d v="2023-09-08T00:00:00"/>
    <n v="40757.714999999997"/>
    <n v="9"/>
    <n v="4737.0600000000004"/>
    <n v="4869.5"/>
    <x v="17"/>
    <x v="3"/>
    <x v="0"/>
    <x v="3"/>
    <x v="1"/>
    <x v="0"/>
    <x v="0"/>
    <n v="132.4399999999996"/>
    <n v="1191.9599999999964"/>
    <x v="2"/>
  </r>
  <r>
    <n v="1033"/>
    <d v="2023-08-15T00:00:00"/>
    <n v="43061.650499999734"/>
    <n v="29"/>
    <n v="1412.09"/>
    <n v="1596.6499999999901"/>
    <x v="17"/>
    <x v="3"/>
    <x v="3"/>
    <x v="2"/>
    <x v="0"/>
    <x v="0"/>
    <x v="0"/>
    <n v="184.55999999999017"/>
    <n v="5352.2399999997151"/>
    <x v="3"/>
  </r>
  <r>
    <n v="1065"/>
    <d v="2023-01-07T00:00:00"/>
    <n v="11303.391599999999"/>
    <n v="6"/>
    <n v="2019.9"/>
    <n v="2116.7399999999998"/>
    <x v="1"/>
    <x v="3"/>
    <x v="0"/>
    <x v="2"/>
    <x v="1"/>
    <x v="2"/>
    <x v="0"/>
    <n v="96.839999999999691"/>
    <n v="581.03999999999814"/>
    <x v="5"/>
  </r>
  <r>
    <n v="1018"/>
    <d v="2023-01-29T00:00:00"/>
    <n v="116515.74749999976"/>
    <n v="25"/>
    <n v="4660.82"/>
    <n v="5011.4299999999903"/>
    <x v="17"/>
    <x v="1"/>
    <x v="1"/>
    <x v="1"/>
    <x v="1"/>
    <x v="1"/>
    <x v="0"/>
    <n v="350.60999999999058"/>
    <n v="8765.2499999997635"/>
    <x v="5"/>
  </r>
  <r>
    <n v="1096"/>
    <d v="2023-02-02T00:00:00"/>
    <n v="52391.425999999999"/>
    <n v="31"/>
    <n v="1724.24"/>
    <n v="2036.2"/>
    <x v="22"/>
    <x v="4"/>
    <x v="3"/>
    <x v="3"/>
    <x v="1"/>
    <x v="0"/>
    <x v="0"/>
    <n v="311.96000000000004"/>
    <n v="9670.760000000002"/>
    <x v="0"/>
  </r>
  <r>
    <n v="1049"/>
    <d v="2023-05-14T00:00:00"/>
    <n v="101804.73599999979"/>
    <n v="22"/>
    <n v="4573.6899999999996"/>
    <n v="4820.2999999999902"/>
    <x v="14"/>
    <x v="3"/>
    <x v="2"/>
    <x v="3"/>
    <x v="1"/>
    <x v="0"/>
    <x v="0"/>
    <n v="246.60999999999058"/>
    <n v="5425.4199999997927"/>
    <x v="10"/>
  </r>
  <r>
    <n v="1011"/>
    <d v="2023-03-20T00:00:00"/>
    <n v="9193.3740000000016"/>
    <n v="2"/>
    <n v="4906.17"/>
    <n v="5107.43"/>
    <x v="15"/>
    <x v="0"/>
    <x v="3"/>
    <x v="0"/>
    <x v="0"/>
    <x v="0"/>
    <x v="0"/>
    <n v="201.26000000000022"/>
    <n v="402.52000000000044"/>
    <x v="4"/>
  </r>
  <r>
    <n v="1085"/>
    <d v="2023-02-27T00:00:00"/>
    <n v="124218.98999999999"/>
    <n v="45"/>
    <n v="3325.96"/>
    <n v="3781.4"/>
    <x v="29"/>
    <x v="3"/>
    <x v="1"/>
    <x v="0"/>
    <x v="0"/>
    <x v="2"/>
    <x v="0"/>
    <n v="455.44000000000005"/>
    <n v="20494.800000000003"/>
    <x v="0"/>
  </r>
  <r>
    <n v="1026"/>
    <d v="2023-01-26T00:00:00"/>
    <n v="18118.672000000002"/>
    <n v="5"/>
    <n v="4093.61"/>
    <n v="4117.88"/>
    <x v="7"/>
    <x v="1"/>
    <x v="3"/>
    <x v="1"/>
    <x v="0"/>
    <x v="2"/>
    <x v="1"/>
    <n v="24.269999999999982"/>
    <n v="121.34999999999991"/>
    <x v="5"/>
  </r>
  <r>
    <n v="1063"/>
    <d v="2023-08-14T00:00:00"/>
    <n v="87338.136599999998"/>
    <n v="27"/>
    <n v="3760.25"/>
    <n v="4147.1099999999997"/>
    <x v="20"/>
    <x v="0"/>
    <x v="0"/>
    <x v="2"/>
    <x v="1"/>
    <x v="0"/>
    <x v="0"/>
    <n v="386.85999999999967"/>
    <n v="10445.21999999999"/>
    <x v="3"/>
  </r>
  <r>
    <n v="1089"/>
    <d v="2023-10-12T00:00:00"/>
    <n v="96142.277499999997"/>
    <n v="25"/>
    <n v="3512.69"/>
    <n v="3964.63"/>
    <x v="21"/>
    <x v="1"/>
    <x v="2"/>
    <x v="0"/>
    <x v="0"/>
    <x v="2"/>
    <x v="1"/>
    <n v="451.94000000000005"/>
    <n v="11298.500000000002"/>
    <x v="7"/>
  </r>
  <r>
    <n v="1086"/>
    <d v="2023-01-04T00:00:00"/>
    <n v="13377.2688"/>
    <n v="8"/>
    <n v="1569.31"/>
    <n v="1798.02"/>
    <x v="17"/>
    <x v="0"/>
    <x v="2"/>
    <x v="0"/>
    <x v="1"/>
    <x v="2"/>
    <x v="0"/>
    <n v="228.71000000000004"/>
    <n v="1829.6800000000003"/>
    <x v="5"/>
  </r>
  <r>
    <n v="1059"/>
    <d v="2023-04-09T00:00:00"/>
    <n v="465.46960000000001"/>
    <n v="1"/>
    <n v="332.62"/>
    <n v="612.46"/>
    <x v="19"/>
    <x v="2"/>
    <x v="2"/>
    <x v="3"/>
    <x v="0"/>
    <x v="0"/>
    <x v="1"/>
    <n v="279.84000000000003"/>
    <n v="279.84000000000003"/>
    <x v="1"/>
  </r>
  <r>
    <n v="1027"/>
    <d v="2023-02-08T00:00:00"/>
    <n v="34201.86"/>
    <n v="20"/>
    <n v="1748.11"/>
    <n v="2220.9"/>
    <x v="10"/>
    <x v="4"/>
    <x v="1"/>
    <x v="3"/>
    <x v="1"/>
    <x v="2"/>
    <x v="1"/>
    <n v="472.79000000000019"/>
    <n v="9455.8000000000029"/>
    <x v="0"/>
  </r>
  <r>
    <n v="1049"/>
    <d v="2023-09-28T00:00:00"/>
    <n v="134178.35199999998"/>
    <n v="44"/>
    <n v="3351.33"/>
    <n v="3465.35"/>
    <x v="7"/>
    <x v="4"/>
    <x v="1"/>
    <x v="0"/>
    <x v="0"/>
    <x v="1"/>
    <x v="0"/>
    <n v="114.01999999999998"/>
    <n v="5016.8799999999992"/>
    <x v="2"/>
  </r>
  <r>
    <n v="1077"/>
    <d v="2023-10-12T00:00:00"/>
    <n v="13429.628699999999"/>
    <n v="23"/>
    <n v="557.52"/>
    <n v="822.39"/>
    <x v="12"/>
    <x v="1"/>
    <x v="2"/>
    <x v="3"/>
    <x v="0"/>
    <x v="2"/>
    <x v="0"/>
    <n v="264.87"/>
    <n v="6092.01"/>
    <x v="7"/>
  </r>
  <r>
    <n v="1033"/>
    <d v="2023-06-06T00:00:00"/>
    <n v="8213.3760000000002"/>
    <n v="32"/>
    <n v="108.99"/>
    <n v="351.6"/>
    <x v="29"/>
    <x v="4"/>
    <x v="3"/>
    <x v="1"/>
    <x v="0"/>
    <x v="2"/>
    <x v="1"/>
    <n v="242.61"/>
    <n v="7763.52"/>
    <x v="6"/>
  </r>
  <r>
    <n v="1098"/>
    <d v="2023-03-16T00:00:00"/>
    <n v="6857.8828999999996"/>
    <n v="11"/>
    <n v="741.48"/>
    <n v="878.09"/>
    <x v="12"/>
    <x v="1"/>
    <x v="2"/>
    <x v="0"/>
    <x v="1"/>
    <x v="0"/>
    <x v="1"/>
    <n v="136.61000000000001"/>
    <n v="1502.71"/>
    <x v="4"/>
  </r>
  <r>
    <n v="1099"/>
    <d v="2023-10-15T00:00:00"/>
    <n v="135855.72"/>
    <n v="39"/>
    <n v="3592.89"/>
    <n v="4004"/>
    <x v="9"/>
    <x v="1"/>
    <x v="3"/>
    <x v="3"/>
    <x v="1"/>
    <x v="0"/>
    <x v="0"/>
    <n v="411.11000000000013"/>
    <n v="16033.290000000005"/>
    <x v="7"/>
  </r>
  <r>
    <n v="1001"/>
    <d v="2023-05-10T00:00:00"/>
    <n v="234866.62340000001"/>
    <n v="47"/>
    <n v="4865.33"/>
    <n v="5316.13"/>
    <x v="18"/>
    <x v="1"/>
    <x v="3"/>
    <x v="1"/>
    <x v="1"/>
    <x v="1"/>
    <x v="0"/>
    <n v="450.80000000000018"/>
    <n v="21187.600000000009"/>
    <x v="10"/>
  </r>
  <r>
    <n v="1021"/>
    <d v="2023-06-24T00:00:00"/>
    <n v="103213.1808"/>
    <n v="24"/>
    <n v="4916.17"/>
    <n v="5309.32"/>
    <x v="27"/>
    <x v="4"/>
    <x v="1"/>
    <x v="3"/>
    <x v="0"/>
    <x v="2"/>
    <x v="0"/>
    <n v="393.14999999999964"/>
    <n v="9435.5999999999913"/>
    <x v="6"/>
  </r>
  <r>
    <n v="1055"/>
    <d v="2023-03-25T00:00:00"/>
    <n v="22602.081700000002"/>
    <n v="11"/>
    <n v="2495.1999999999998"/>
    <n v="2600.9299999999998"/>
    <x v="5"/>
    <x v="1"/>
    <x v="3"/>
    <x v="3"/>
    <x v="1"/>
    <x v="1"/>
    <x v="1"/>
    <n v="105.73000000000002"/>
    <n v="1163.0300000000002"/>
    <x v="4"/>
  </r>
  <r>
    <n v="1006"/>
    <d v="2023-01-22T00:00:00"/>
    <n v="122657.47200000001"/>
    <n v="29"/>
    <n v="4353.29"/>
    <n v="4405.8"/>
    <x v="14"/>
    <x v="4"/>
    <x v="2"/>
    <x v="3"/>
    <x v="1"/>
    <x v="1"/>
    <x v="0"/>
    <n v="52.510000000000218"/>
    <n v="1522.7900000000063"/>
    <x v="5"/>
  </r>
  <r>
    <n v="1092"/>
    <d v="2023-01-27T00:00:00"/>
    <n v="79118.24960000001"/>
    <n v="26"/>
    <n v="3697.29"/>
    <n v="4003.96"/>
    <x v="19"/>
    <x v="1"/>
    <x v="1"/>
    <x v="0"/>
    <x v="1"/>
    <x v="0"/>
    <x v="0"/>
    <n v="306.67000000000007"/>
    <n v="7973.4200000000019"/>
    <x v="5"/>
  </r>
  <r>
    <n v="1081"/>
    <d v="2023-07-14T00:00:00"/>
    <n v="40679.179199999999"/>
    <n v="16"/>
    <n v="2530.15"/>
    <n v="2568.13"/>
    <x v="30"/>
    <x v="3"/>
    <x v="0"/>
    <x v="2"/>
    <x v="1"/>
    <x v="2"/>
    <x v="0"/>
    <n v="37.980000000000018"/>
    <n v="607.68000000000029"/>
    <x v="11"/>
  </r>
  <r>
    <n v="1069"/>
    <d v="2023-12-03T00:00:00"/>
    <n v="97067.683999999703"/>
    <n v="35"/>
    <n v="2885.16"/>
    <n v="3224.8399999999901"/>
    <x v="6"/>
    <x v="1"/>
    <x v="0"/>
    <x v="3"/>
    <x v="1"/>
    <x v="0"/>
    <x v="0"/>
    <n v="339.67999999999029"/>
    <n v="11888.799999999661"/>
    <x v="9"/>
  </r>
  <r>
    <n v="1095"/>
    <d v="2023-08-24T00:00:00"/>
    <n v="17985.239999999998"/>
    <n v="20"/>
    <n v="729.27"/>
    <n v="999.18"/>
    <x v="15"/>
    <x v="0"/>
    <x v="1"/>
    <x v="1"/>
    <x v="1"/>
    <x v="1"/>
    <x v="0"/>
    <n v="269.90999999999997"/>
    <n v="5398.1999999999989"/>
    <x v="3"/>
  </r>
  <r>
    <n v="1005"/>
    <d v="2023-04-02T00:00:00"/>
    <n v="180339.6972"/>
    <n v="46"/>
    <n v="4691.42"/>
    <n v="5026.1899999999996"/>
    <x v="20"/>
    <x v="1"/>
    <x v="2"/>
    <x v="0"/>
    <x v="0"/>
    <x v="1"/>
    <x v="1"/>
    <n v="334.76999999999953"/>
    <n v="15399.419999999978"/>
    <x v="1"/>
  </r>
  <r>
    <n v="1003"/>
    <d v="2023-01-21T00:00:00"/>
    <n v="5709.0579000000007"/>
    <n v="3"/>
    <n v="1792.05"/>
    <n v="2091.23"/>
    <x v="0"/>
    <x v="2"/>
    <x v="0"/>
    <x v="0"/>
    <x v="0"/>
    <x v="0"/>
    <x v="1"/>
    <n v="299.18000000000006"/>
    <n v="897.54000000000019"/>
    <x v="5"/>
  </r>
  <r>
    <n v="1053"/>
    <d v="2023-10-30T00:00:00"/>
    <n v="1856.67"/>
    <n v="1"/>
    <n v="2258.44"/>
    <n v="2475.56"/>
    <x v="26"/>
    <x v="1"/>
    <x v="0"/>
    <x v="1"/>
    <x v="1"/>
    <x v="0"/>
    <x v="0"/>
    <n v="217.11999999999989"/>
    <n v="217.11999999999989"/>
    <x v="7"/>
  </r>
  <r>
    <n v="1023"/>
    <d v="2023-12-23T00:00:00"/>
    <n v="134240.60099999962"/>
    <n v="47"/>
    <n v="3374.72"/>
    <n v="3483.1499999999901"/>
    <x v="13"/>
    <x v="0"/>
    <x v="3"/>
    <x v="3"/>
    <x v="0"/>
    <x v="0"/>
    <x v="0"/>
    <n v="108.42999999999029"/>
    <n v="5096.2099999995435"/>
    <x v="9"/>
  </r>
  <r>
    <n v="1053"/>
    <d v="2023-03-25T00:00:00"/>
    <n v="1415.5835999999999"/>
    <n v="1"/>
    <n v="1702.82"/>
    <n v="1862.61"/>
    <x v="19"/>
    <x v="0"/>
    <x v="3"/>
    <x v="2"/>
    <x v="0"/>
    <x v="0"/>
    <x v="1"/>
    <n v="159.78999999999996"/>
    <n v="159.78999999999996"/>
    <x v="4"/>
  </r>
  <r>
    <n v="1037"/>
    <d v="2023-09-19T00:00:00"/>
    <n v="18749.520999999997"/>
    <n v="17"/>
    <n v="1308.58"/>
    <n v="1575.59"/>
    <x v="23"/>
    <x v="4"/>
    <x v="2"/>
    <x v="3"/>
    <x v="1"/>
    <x v="0"/>
    <x v="0"/>
    <n v="267.01"/>
    <n v="4539.17"/>
    <x v="2"/>
  </r>
  <r>
    <n v="1074"/>
    <d v="2023-05-27T00:00:00"/>
    <n v="5604.9760000000006"/>
    <n v="2"/>
    <n v="3173.69"/>
    <n v="3503.11"/>
    <x v="2"/>
    <x v="3"/>
    <x v="1"/>
    <x v="1"/>
    <x v="1"/>
    <x v="1"/>
    <x v="1"/>
    <n v="329.42000000000007"/>
    <n v="658.84000000000015"/>
    <x v="10"/>
  </r>
  <r>
    <n v="1074"/>
    <d v="2023-09-14T00:00:00"/>
    <n v="11482.085999999999"/>
    <n v="29"/>
    <n v="173.67"/>
    <n v="565.62"/>
    <x v="23"/>
    <x v="1"/>
    <x v="2"/>
    <x v="0"/>
    <x v="0"/>
    <x v="0"/>
    <x v="0"/>
    <n v="391.95000000000005"/>
    <n v="11366.550000000001"/>
    <x v="2"/>
  </r>
  <r>
    <n v="1083"/>
    <d v="2023-02-27T00:00:00"/>
    <n v="79269.3"/>
    <n v="20"/>
    <n v="3617.59"/>
    <n v="4003.5"/>
    <x v="30"/>
    <x v="4"/>
    <x v="1"/>
    <x v="2"/>
    <x v="1"/>
    <x v="2"/>
    <x v="1"/>
    <n v="385.90999999999985"/>
    <n v="7718.1999999999971"/>
    <x v="0"/>
  </r>
  <r>
    <n v="1017"/>
    <d v="2023-01-15T00:00:00"/>
    <n v="16637.615999999998"/>
    <n v="6"/>
    <n v="2594.42"/>
    <n v="3081.04"/>
    <x v="15"/>
    <x v="3"/>
    <x v="0"/>
    <x v="0"/>
    <x v="0"/>
    <x v="1"/>
    <x v="1"/>
    <n v="486.61999999999989"/>
    <n v="2919.7199999999993"/>
    <x v="5"/>
  </r>
  <r>
    <n v="1085"/>
    <d v="2023-06-11T00:00:00"/>
    <n v="24820.670399999999"/>
    <n v="8"/>
    <n v="3048.48"/>
    <n v="3198.54"/>
    <x v="21"/>
    <x v="1"/>
    <x v="3"/>
    <x v="1"/>
    <x v="0"/>
    <x v="1"/>
    <x v="0"/>
    <n v="150.05999999999995"/>
    <n v="1200.4799999999996"/>
    <x v="6"/>
  </r>
  <r>
    <n v="1078"/>
    <d v="2023-06-12T00:00:00"/>
    <n v="85980.302000000011"/>
    <n v="29"/>
    <n v="3177.81"/>
    <n v="3222.65"/>
    <x v="4"/>
    <x v="2"/>
    <x v="2"/>
    <x v="3"/>
    <x v="0"/>
    <x v="2"/>
    <x v="1"/>
    <n v="44.840000000000146"/>
    <n v="1300.3600000000042"/>
    <x v="6"/>
  </r>
  <r>
    <n v="1073"/>
    <d v="2023-11-16T00:00:00"/>
    <n v="102177.72"/>
    <n v="48"/>
    <n v="2658.9"/>
    <n v="2838.27"/>
    <x v="26"/>
    <x v="1"/>
    <x v="2"/>
    <x v="2"/>
    <x v="1"/>
    <x v="2"/>
    <x v="0"/>
    <n v="179.36999999999989"/>
    <n v="8609.7599999999948"/>
    <x v="8"/>
  </r>
  <r>
    <n v="1001"/>
    <d v="2023-10-08T00:00:00"/>
    <n v="108064.1925"/>
    <n v="33"/>
    <n v="2933.54"/>
    <n v="3307.75"/>
    <x v="30"/>
    <x v="0"/>
    <x v="1"/>
    <x v="0"/>
    <x v="0"/>
    <x v="1"/>
    <x v="1"/>
    <n v="374.21000000000004"/>
    <n v="12348.93"/>
    <x v="7"/>
  </r>
  <r>
    <n v="1051"/>
    <d v="2023-10-07T00:00:00"/>
    <n v="9221.7384000000002"/>
    <n v="3"/>
    <n v="3434.75"/>
    <n v="3659.42"/>
    <x v="28"/>
    <x v="0"/>
    <x v="1"/>
    <x v="0"/>
    <x v="1"/>
    <x v="0"/>
    <x v="0"/>
    <n v="224.67000000000007"/>
    <n v="674.01000000000022"/>
    <x v="7"/>
  </r>
  <r>
    <n v="1045"/>
    <d v="2023-01-12T00:00:00"/>
    <n v="121680.573"/>
    <n v="35"/>
    <n v="3777.94"/>
    <n v="4188.66"/>
    <x v="22"/>
    <x v="2"/>
    <x v="2"/>
    <x v="0"/>
    <x v="1"/>
    <x v="1"/>
    <x v="0"/>
    <n v="410.7199999999998"/>
    <n v="14375.199999999993"/>
    <x v="5"/>
  </r>
  <r>
    <n v="1077"/>
    <d v="2023-10-01T00:00:00"/>
    <n v="16309.748999999998"/>
    <n v="5"/>
    <n v="3650.89"/>
    <n v="3930.06"/>
    <x v="22"/>
    <x v="4"/>
    <x v="1"/>
    <x v="3"/>
    <x v="1"/>
    <x v="1"/>
    <x v="0"/>
    <n v="279.17000000000007"/>
    <n v="1395.8500000000004"/>
    <x v="7"/>
  </r>
  <r>
    <n v="1004"/>
    <d v="2023-09-28T00:00:00"/>
    <n v="111925.04399999999"/>
    <n v="27"/>
    <n v="4354.6000000000004"/>
    <n v="4820.2"/>
    <x v="6"/>
    <x v="3"/>
    <x v="2"/>
    <x v="2"/>
    <x v="1"/>
    <x v="2"/>
    <x v="1"/>
    <n v="465.59999999999945"/>
    <n v="12571.199999999986"/>
    <x v="2"/>
  </r>
  <r>
    <n v="1062"/>
    <d v="2023-07-27T00:00:00"/>
    <n v="48895.633600000001"/>
    <n v="44"/>
    <n v="987.74"/>
    <n v="1462.19"/>
    <x v="19"/>
    <x v="1"/>
    <x v="2"/>
    <x v="3"/>
    <x v="1"/>
    <x v="1"/>
    <x v="0"/>
    <n v="474.45000000000005"/>
    <n v="20875.800000000003"/>
    <x v="11"/>
  </r>
  <r>
    <n v="1065"/>
    <d v="2023-01-27T00:00:00"/>
    <n v="23957.452799999999"/>
    <n v="12"/>
    <n v="2035.68"/>
    <n v="2079.64"/>
    <x v="14"/>
    <x v="0"/>
    <x v="2"/>
    <x v="3"/>
    <x v="0"/>
    <x v="0"/>
    <x v="0"/>
    <n v="43.959999999999809"/>
    <n v="527.51999999999771"/>
    <x v="5"/>
  </r>
  <r>
    <n v="1032"/>
    <d v="2023-03-13T00:00:00"/>
    <n v="90549.186000000002"/>
    <n v="20"/>
    <n v="4741.59"/>
    <n v="4975.2299999999996"/>
    <x v="0"/>
    <x v="4"/>
    <x v="0"/>
    <x v="3"/>
    <x v="1"/>
    <x v="2"/>
    <x v="0"/>
    <n v="233.63999999999942"/>
    <n v="4672.7999999999884"/>
    <x v="4"/>
  </r>
  <r>
    <n v="1034"/>
    <d v="2023-03-01T00:00:00"/>
    <n v="85677.002999999997"/>
    <n v="45"/>
    <n v="2013.12"/>
    <n v="2321.87"/>
    <x v="13"/>
    <x v="2"/>
    <x v="1"/>
    <x v="1"/>
    <x v="1"/>
    <x v="1"/>
    <x v="1"/>
    <n v="308.75"/>
    <n v="13893.75"/>
    <x v="4"/>
  </r>
  <r>
    <n v="1092"/>
    <d v="2023-05-25T00:00:00"/>
    <n v="12695.142"/>
    <n v="20"/>
    <n v="668.11"/>
    <n v="803.49"/>
    <x v="5"/>
    <x v="0"/>
    <x v="3"/>
    <x v="1"/>
    <x v="1"/>
    <x v="1"/>
    <x v="0"/>
    <n v="135.38"/>
    <n v="2707.6"/>
    <x v="10"/>
  </r>
  <r>
    <n v="1095"/>
    <d v="2023-04-03T00:00:00"/>
    <n v="22654.526399999922"/>
    <n v="9"/>
    <n v="2650.95"/>
    <n v="2860.4199999999901"/>
    <x v="7"/>
    <x v="2"/>
    <x v="3"/>
    <x v="1"/>
    <x v="1"/>
    <x v="0"/>
    <x v="1"/>
    <n v="209.46999999999025"/>
    <n v="1885.2299999999123"/>
    <x v="1"/>
  </r>
  <r>
    <n v="1072"/>
    <d v="2023-11-05T00:00:00"/>
    <n v="26956.394399999997"/>
    <n v="39"/>
    <n v="591.98"/>
    <n v="934.04"/>
    <x v="16"/>
    <x v="1"/>
    <x v="1"/>
    <x v="2"/>
    <x v="1"/>
    <x v="1"/>
    <x v="1"/>
    <n v="342.05999999999995"/>
    <n v="13340.339999999998"/>
    <x v="8"/>
  </r>
  <r>
    <n v="1039"/>
    <d v="2023-01-08T00:00:00"/>
    <n v="4136.7743999999648"/>
    <n v="4"/>
    <n v="1054.1199999999999"/>
    <n v="1175.21999999999"/>
    <x v="7"/>
    <x v="3"/>
    <x v="2"/>
    <x v="3"/>
    <x v="0"/>
    <x v="1"/>
    <x v="1"/>
    <n v="121.09999999999013"/>
    <n v="484.39999999996053"/>
    <x v="5"/>
  </r>
  <r>
    <n v="1026"/>
    <d v="2023-03-20T00:00:00"/>
    <n v="88559.987999999998"/>
    <n v="19"/>
    <n v="4991.68"/>
    <n v="5296.65"/>
    <x v="7"/>
    <x v="0"/>
    <x v="3"/>
    <x v="3"/>
    <x v="1"/>
    <x v="1"/>
    <x v="0"/>
    <n v="304.96999999999935"/>
    <n v="5794.4299999999876"/>
    <x v="4"/>
  </r>
  <r>
    <n v="1034"/>
    <d v="2023-01-27T00:00:00"/>
    <n v="115926.03"/>
    <n v="38"/>
    <n v="2729.75"/>
    <n v="3081.5"/>
    <x v="30"/>
    <x v="0"/>
    <x v="3"/>
    <x v="1"/>
    <x v="1"/>
    <x v="1"/>
    <x v="0"/>
    <n v="351.75"/>
    <n v="13366.5"/>
    <x v="5"/>
  </r>
  <r>
    <n v="1054"/>
    <d v="2023-06-23T00:00:00"/>
    <n v="33848.736299999779"/>
    <n v="27"/>
    <n v="1456.09"/>
    <n v="1510.4299999999901"/>
    <x v="22"/>
    <x v="1"/>
    <x v="1"/>
    <x v="3"/>
    <x v="0"/>
    <x v="0"/>
    <x v="1"/>
    <n v="54.339999999990141"/>
    <n v="1467.1799999997338"/>
    <x v="6"/>
  </r>
  <r>
    <n v="1003"/>
    <d v="2023-02-19T00:00:00"/>
    <n v="185852.91150000002"/>
    <n v="45"/>
    <n v="4974.1400000000003"/>
    <n v="5227.93"/>
    <x v="5"/>
    <x v="4"/>
    <x v="3"/>
    <x v="3"/>
    <x v="1"/>
    <x v="1"/>
    <x v="0"/>
    <n v="253.78999999999996"/>
    <n v="11420.55"/>
    <x v="0"/>
  </r>
  <r>
    <n v="1050"/>
    <d v="2023-07-18T00:00:00"/>
    <n v="207439.67979999998"/>
    <n v="43"/>
    <n v="4834.47"/>
    <n v="4973.38"/>
    <x v="21"/>
    <x v="3"/>
    <x v="2"/>
    <x v="0"/>
    <x v="0"/>
    <x v="1"/>
    <x v="0"/>
    <n v="138.90999999999985"/>
    <n v="5973.1299999999937"/>
    <x v="11"/>
  </r>
  <r>
    <n v="1012"/>
    <d v="2023-12-15T00:00:00"/>
    <n v="30717.896299999884"/>
    <n v="13"/>
    <n v="2231.66"/>
    <n v="2596.6099999999901"/>
    <x v="0"/>
    <x v="0"/>
    <x v="1"/>
    <x v="3"/>
    <x v="0"/>
    <x v="1"/>
    <x v="1"/>
    <n v="364.94999999999027"/>
    <n v="4744.349999999873"/>
    <x v="9"/>
  </r>
  <r>
    <n v="1065"/>
    <d v="2023-06-30T00:00:00"/>
    <n v="14433.218800000002"/>
    <n v="13"/>
    <n v="1339"/>
    <n v="1441.88"/>
    <x v="10"/>
    <x v="3"/>
    <x v="2"/>
    <x v="0"/>
    <x v="0"/>
    <x v="2"/>
    <x v="1"/>
    <n v="102.88000000000011"/>
    <n v="1337.4400000000014"/>
    <x v="6"/>
  </r>
  <r>
    <n v="1054"/>
    <d v="2023-01-24T00:00:00"/>
    <n v="90993.742399999988"/>
    <n v="22"/>
    <n v="4200.08"/>
    <n v="4647.28"/>
    <x v="1"/>
    <x v="0"/>
    <x v="3"/>
    <x v="3"/>
    <x v="0"/>
    <x v="0"/>
    <x v="0"/>
    <n v="447.19999999999982"/>
    <n v="9838.399999999996"/>
    <x v="5"/>
  </r>
  <r>
    <n v="1005"/>
    <d v="2023-11-12T00:00:00"/>
    <n v="99303.019199999995"/>
    <n v="28"/>
    <n v="3592.32"/>
    <n v="3813.48"/>
    <x v="17"/>
    <x v="3"/>
    <x v="3"/>
    <x v="2"/>
    <x v="1"/>
    <x v="2"/>
    <x v="1"/>
    <n v="221.15999999999985"/>
    <n v="6192.4799999999959"/>
    <x v="8"/>
  </r>
  <r>
    <n v="1094"/>
    <d v="2023-02-15T00:00:00"/>
    <n v="133757.48800000001"/>
    <n v="47"/>
    <n v="3450.36"/>
    <n v="3557.38"/>
    <x v="2"/>
    <x v="2"/>
    <x v="2"/>
    <x v="1"/>
    <x v="1"/>
    <x v="2"/>
    <x v="0"/>
    <n v="107.01999999999998"/>
    <n v="5029.9399999999987"/>
    <x v="0"/>
  </r>
  <r>
    <n v="1094"/>
    <d v="2023-01-15T00:00:00"/>
    <n v="198621.34199999998"/>
    <n v="45"/>
    <n v="4470.91"/>
    <n v="4695.54"/>
    <x v="18"/>
    <x v="0"/>
    <x v="0"/>
    <x v="0"/>
    <x v="0"/>
    <x v="0"/>
    <x v="1"/>
    <n v="224.63000000000011"/>
    <n v="10108.350000000006"/>
    <x v="5"/>
  </r>
  <r>
    <n v="1057"/>
    <d v="2023-06-02T00:00:00"/>
    <n v="58986.613400000002"/>
    <n v="22"/>
    <n v="3462.61"/>
    <n v="3672.89"/>
    <x v="29"/>
    <x v="3"/>
    <x v="3"/>
    <x v="1"/>
    <x v="0"/>
    <x v="2"/>
    <x v="0"/>
    <n v="210.27999999999975"/>
    <n v="4626.1599999999944"/>
    <x v="6"/>
  </r>
  <r>
    <n v="1017"/>
    <d v="2023-08-10T00:00:00"/>
    <n v="69862.998700000011"/>
    <n v="43"/>
    <n v="1454.8"/>
    <n v="1674.97"/>
    <x v="21"/>
    <x v="4"/>
    <x v="0"/>
    <x v="0"/>
    <x v="1"/>
    <x v="2"/>
    <x v="0"/>
    <n v="220.17000000000007"/>
    <n v="9467.3100000000031"/>
    <x v="3"/>
  </r>
  <r>
    <n v="1047"/>
    <d v="2023-07-25T00:00:00"/>
    <n v="56761.065499999851"/>
    <n v="19"/>
    <n v="3484.62"/>
    <n v="3781.5499999999902"/>
    <x v="5"/>
    <x v="2"/>
    <x v="3"/>
    <x v="0"/>
    <x v="0"/>
    <x v="2"/>
    <x v="1"/>
    <n v="296.92999999999029"/>
    <n v="5641.6699999998154"/>
    <x v="11"/>
  </r>
  <r>
    <n v="1023"/>
    <d v="2023-09-30T00:00:00"/>
    <n v="12438.287999999931"/>
    <n v="8"/>
    <n v="1563.78"/>
    <n v="1829.1599999999901"/>
    <x v="25"/>
    <x v="2"/>
    <x v="0"/>
    <x v="0"/>
    <x v="0"/>
    <x v="0"/>
    <x v="0"/>
    <n v="265.3799999999901"/>
    <n v="2123.0399999999208"/>
    <x v="2"/>
  </r>
  <r>
    <n v="1079"/>
    <d v="2023-08-24T00:00:00"/>
    <n v="23038.3904"/>
    <n v="8"/>
    <n v="3808.23"/>
    <n v="3891.62"/>
    <x v="16"/>
    <x v="4"/>
    <x v="0"/>
    <x v="2"/>
    <x v="0"/>
    <x v="1"/>
    <x v="0"/>
    <n v="83.389999999999873"/>
    <n v="667.11999999999898"/>
    <x v="3"/>
  </r>
  <r>
    <n v="1085"/>
    <d v="2023-12-06T00:00:00"/>
    <n v="127406.36159999999"/>
    <n v="42"/>
    <n v="3117.75"/>
    <n v="3159.88"/>
    <x v="14"/>
    <x v="3"/>
    <x v="0"/>
    <x v="3"/>
    <x v="1"/>
    <x v="0"/>
    <x v="1"/>
    <n v="42.130000000000109"/>
    <n v="1769.4600000000046"/>
    <x v="9"/>
  </r>
  <r>
    <n v="1014"/>
    <d v="2023-08-16T00:00:00"/>
    <n v="16652.480000000003"/>
    <n v="26"/>
    <n v="433.19"/>
    <n v="800.6"/>
    <x v="2"/>
    <x v="1"/>
    <x v="2"/>
    <x v="0"/>
    <x v="0"/>
    <x v="0"/>
    <x v="0"/>
    <n v="367.41"/>
    <n v="9552.66"/>
    <x v="3"/>
  </r>
  <r>
    <n v="1066"/>
    <d v="2023-01-09T00:00:00"/>
    <n v="114452.35200000001"/>
    <n v="48"/>
    <n v="2588.54"/>
    <n v="2872.8"/>
    <x v="22"/>
    <x v="4"/>
    <x v="0"/>
    <x v="2"/>
    <x v="1"/>
    <x v="0"/>
    <x v="0"/>
    <n v="284.26000000000022"/>
    <n v="13644.48000000001"/>
    <x v="5"/>
  </r>
  <r>
    <n v="1075"/>
    <d v="2023-06-15T00:00:00"/>
    <n v="43272.19"/>
    <n v="26"/>
    <n v="1749.34"/>
    <n v="1935.25"/>
    <x v="6"/>
    <x v="3"/>
    <x v="0"/>
    <x v="0"/>
    <x v="1"/>
    <x v="2"/>
    <x v="0"/>
    <n v="185.91000000000008"/>
    <n v="4833.6600000000017"/>
    <x v="6"/>
  </r>
  <r>
    <n v="1051"/>
    <d v="2023-11-15T00:00:00"/>
    <n v="40713.265999999996"/>
    <n v="23"/>
    <n v="1676.42"/>
    <n v="2082.52"/>
    <x v="25"/>
    <x v="4"/>
    <x v="0"/>
    <x v="3"/>
    <x v="1"/>
    <x v="1"/>
    <x v="1"/>
    <n v="406.09999999999991"/>
    <n v="9340.2999999999975"/>
    <x v="8"/>
  </r>
  <r>
    <n v="1038"/>
    <d v="2023-08-02T00:00:00"/>
    <n v="108378.47280000002"/>
    <n v="43"/>
    <n v="3031.17"/>
    <n v="3231.32"/>
    <x v="20"/>
    <x v="4"/>
    <x v="3"/>
    <x v="0"/>
    <x v="0"/>
    <x v="0"/>
    <x v="1"/>
    <n v="200.15000000000009"/>
    <n v="8606.4500000000044"/>
    <x v="3"/>
  </r>
  <r>
    <n v="1064"/>
    <d v="2023-04-27T00:00:00"/>
    <n v="19146.160799999998"/>
    <n v="13"/>
    <n v="1645.51"/>
    <n v="2045.53"/>
    <x v="24"/>
    <x v="0"/>
    <x v="0"/>
    <x v="2"/>
    <x v="0"/>
    <x v="0"/>
    <x v="1"/>
    <n v="400.02"/>
    <n v="5200.26"/>
    <x v="1"/>
  </r>
  <r>
    <n v="1098"/>
    <d v="2023-12-10T00:00:00"/>
    <n v="110145.7504"/>
    <n v="28"/>
    <n v="3895.62"/>
    <n v="4055.44"/>
    <x v="21"/>
    <x v="3"/>
    <x v="3"/>
    <x v="3"/>
    <x v="1"/>
    <x v="1"/>
    <x v="1"/>
    <n v="159.82000000000016"/>
    <n v="4474.9600000000046"/>
    <x v="9"/>
  </r>
  <r>
    <n v="1038"/>
    <d v="2023-03-13T00:00:00"/>
    <n v="3974.8401000000003"/>
    <n v="9"/>
    <n v="400.42"/>
    <n v="446.11"/>
    <x v="30"/>
    <x v="1"/>
    <x v="0"/>
    <x v="2"/>
    <x v="1"/>
    <x v="1"/>
    <x v="1"/>
    <n v="45.69"/>
    <n v="411.21"/>
    <x v="4"/>
  </r>
  <r>
    <n v="1050"/>
    <d v="2023-03-05T00:00:00"/>
    <n v="57545.831999999995"/>
    <n v="20"/>
    <n v="3318.92"/>
    <n v="3785.91"/>
    <x v="19"/>
    <x v="0"/>
    <x v="0"/>
    <x v="3"/>
    <x v="1"/>
    <x v="1"/>
    <x v="0"/>
    <n v="466.98999999999978"/>
    <n v="9339.7999999999956"/>
    <x v="4"/>
  </r>
  <r>
    <n v="1098"/>
    <d v="2023-07-24T00:00:00"/>
    <n v="78490.421199999997"/>
    <n v="19"/>
    <n v="4055.51"/>
    <n v="4258.84"/>
    <x v="21"/>
    <x v="4"/>
    <x v="2"/>
    <x v="3"/>
    <x v="0"/>
    <x v="2"/>
    <x v="0"/>
    <n v="203.32999999999993"/>
    <n v="3863.2699999999986"/>
    <x v="11"/>
  </r>
  <r>
    <n v="1082"/>
    <d v="2023-07-28T00:00:00"/>
    <n v="126972.38399999999"/>
    <n v="48"/>
    <n v="3380.52"/>
    <n v="3778.94"/>
    <x v="23"/>
    <x v="4"/>
    <x v="3"/>
    <x v="1"/>
    <x v="0"/>
    <x v="1"/>
    <x v="0"/>
    <n v="398.42000000000007"/>
    <n v="19124.160000000003"/>
    <x v="11"/>
  </r>
  <r>
    <n v="1030"/>
    <d v="2023-03-13T00:00:00"/>
    <n v="83968.11540000001"/>
    <n v="39"/>
    <n v="2511.2800000000002"/>
    <n v="2658.06"/>
    <x v="27"/>
    <x v="4"/>
    <x v="0"/>
    <x v="1"/>
    <x v="1"/>
    <x v="2"/>
    <x v="1"/>
    <n v="146.77999999999975"/>
    <n v="5724.4199999999901"/>
    <x v="4"/>
  </r>
  <r>
    <n v="1079"/>
    <d v="2023-10-04T00:00:00"/>
    <n v="48775.103999999999"/>
    <n v="12"/>
    <n v="4754.0200000000004"/>
    <n v="5080.74"/>
    <x v="2"/>
    <x v="3"/>
    <x v="3"/>
    <x v="1"/>
    <x v="1"/>
    <x v="0"/>
    <x v="0"/>
    <n v="326.71999999999935"/>
    <n v="3920.6399999999921"/>
    <x v="7"/>
  </r>
  <r>
    <n v="1091"/>
    <d v="2023-10-01T00:00:00"/>
    <n v="27813.941999999999"/>
    <n v="15"/>
    <n v="1534.7"/>
    <n v="1972.62"/>
    <x v="18"/>
    <x v="3"/>
    <x v="3"/>
    <x v="3"/>
    <x v="0"/>
    <x v="2"/>
    <x v="1"/>
    <n v="437.91999999999985"/>
    <n v="6568.7999999999975"/>
    <x v="7"/>
  </r>
  <r>
    <n v="1051"/>
    <d v="2023-11-16T00:00:00"/>
    <n v="5053.6106999999993"/>
    <n v="31"/>
    <n v="144.88"/>
    <n v="175.29"/>
    <x v="17"/>
    <x v="0"/>
    <x v="1"/>
    <x v="0"/>
    <x v="1"/>
    <x v="1"/>
    <x v="0"/>
    <n v="30.409999999999997"/>
    <n v="942.70999999999992"/>
    <x v="8"/>
  </r>
  <r>
    <n v="1063"/>
    <d v="2023-12-04T00:00:00"/>
    <n v="29180.03199999989"/>
    <n v="14"/>
    <n v="2188.35"/>
    <n v="2605.3599999999901"/>
    <x v="2"/>
    <x v="1"/>
    <x v="2"/>
    <x v="2"/>
    <x v="0"/>
    <x v="2"/>
    <x v="1"/>
    <n v="417.00999999999021"/>
    <n v="5838.139999999863"/>
    <x v="9"/>
  </r>
  <r>
    <n v="1098"/>
    <d v="2024-01-01T00:00:00"/>
    <n v="4041.9807999999998"/>
    <n v="11"/>
    <n v="213.41"/>
    <n v="503.36"/>
    <x v="29"/>
    <x v="0"/>
    <x v="2"/>
    <x v="2"/>
    <x v="0"/>
    <x v="1"/>
    <x v="0"/>
    <n v="289.95000000000005"/>
    <n v="3189.4500000000007"/>
    <x v="5"/>
  </r>
  <r>
    <n v="1052"/>
    <d v="2023-04-05T00:00:00"/>
    <n v="93770.338999999993"/>
    <n v="26"/>
    <n v="4771.99"/>
    <n v="5079.6499999999996"/>
    <x v="12"/>
    <x v="2"/>
    <x v="2"/>
    <x v="2"/>
    <x v="1"/>
    <x v="2"/>
    <x v="0"/>
    <n v="307.65999999999985"/>
    <n v="7999.1599999999962"/>
    <x v="1"/>
  </r>
  <r>
    <n v="1038"/>
    <d v="2023-06-15T00:00:00"/>
    <n v="53512.771200000003"/>
    <n v="42"/>
    <n v="1089.0899999999999"/>
    <n v="1355.44"/>
    <x v="18"/>
    <x v="4"/>
    <x v="1"/>
    <x v="1"/>
    <x v="1"/>
    <x v="0"/>
    <x v="1"/>
    <n v="266.35000000000014"/>
    <n v="11186.700000000006"/>
    <x v="6"/>
  </r>
  <r>
    <n v="1097"/>
    <d v="2023-02-01T00:00:00"/>
    <n v="113884.18560000001"/>
    <n v="27"/>
    <n v="3955.19"/>
    <n v="4393.68"/>
    <x v="14"/>
    <x v="4"/>
    <x v="1"/>
    <x v="3"/>
    <x v="0"/>
    <x v="2"/>
    <x v="0"/>
    <n v="438.49000000000024"/>
    <n v="11839.230000000007"/>
    <x v="0"/>
  </r>
  <r>
    <n v="1088"/>
    <d v="2023-01-11T00:00:00"/>
    <n v="42208.119799999993"/>
    <n v="11"/>
    <n v="3884.13"/>
    <n v="3915.41"/>
    <x v="3"/>
    <x v="4"/>
    <x v="2"/>
    <x v="1"/>
    <x v="0"/>
    <x v="0"/>
    <x v="0"/>
    <n v="31.279999999999745"/>
    <n v="344.0799999999972"/>
    <x v="5"/>
  </r>
  <r>
    <n v="1079"/>
    <d v="2023-10-28T00:00:00"/>
    <n v="35590.359199999999"/>
    <n v="38"/>
    <n v="1127.76"/>
    <n v="1265.6600000000001"/>
    <x v="16"/>
    <x v="0"/>
    <x v="1"/>
    <x v="0"/>
    <x v="0"/>
    <x v="1"/>
    <x v="1"/>
    <n v="137.90000000000009"/>
    <n v="5240.2000000000035"/>
    <x v="7"/>
  </r>
  <r>
    <n v="1030"/>
    <d v="2023-08-05T00:00:00"/>
    <n v="110276.03860000001"/>
    <n v="34"/>
    <n v="3125.07"/>
    <n v="3564.19"/>
    <x v="0"/>
    <x v="0"/>
    <x v="1"/>
    <x v="3"/>
    <x v="0"/>
    <x v="0"/>
    <x v="0"/>
    <n v="439.11999999999989"/>
    <n v="14930.079999999996"/>
    <x v="3"/>
  </r>
  <r>
    <n v="1051"/>
    <d v="2023-10-16T00:00:00"/>
    <n v="28665.52"/>
    <n v="43"/>
    <n v="287.99"/>
    <n v="666.64"/>
    <x v="11"/>
    <x v="4"/>
    <x v="1"/>
    <x v="2"/>
    <x v="0"/>
    <x v="1"/>
    <x v="0"/>
    <n v="378.65"/>
    <n v="16281.949999999999"/>
    <x v="7"/>
  </r>
  <r>
    <n v="1081"/>
    <d v="2023-04-12T00:00:00"/>
    <n v="43509.5478"/>
    <n v="19"/>
    <n v="2443.69"/>
    <n v="2462.34"/>
    <x v="17"/>
    <x v="0"/>
    <x v="2"/>
    <x v="1"/>
    <x v="1"/>
    <x v="1"/>
    <x v="1"/>
    <n v="18.650000000000091"/>
    <n v="354.35000000000173"/>
    <x v="1"/>
  </r>
  <r>
    <n v="1005"/>
    <d v="2023-09-24T00:00:00"/>
    <n v="2083.482"/>
    <n v="6"/>
    <n v="122.5"/>
    <n v="385.83"/>
    <x v="15"/>
    <x v="3"/>
    <x v="2"/>
    <x v="1"/>
    <x v="0"/>
    <x v="0"/>
    <x v="1"/>
    <n v="263.33"/>
    <n v="1579.98"/>
    <x v="2"/>
  </r>
  <r>
    <n v="1029"/>
    <d v="2023-08-02T00:00:00"/>
    <n v="157108.62999999998"/>
    <n v="46"/>
    <n v="4609.66"/>
    <n v="4879.1499999999996"/>
    <x v="23"/>
    <x v="3"/>
    <x v="2"/>
    <x v="0"/>
    <x v="0"/>
    <x v="0"/>
    <x v="1"/>
    <n v="269.48999999999978"/>
    <n v="12396.53999999999"/>
    <x v="3"/>
  </r>
  <r>
    <n v="1004"/>
    <d v="2023-06-28T00:00:00"/>
    <n v="162410.87520000001"/>
    <n v="38"/>
    <n v="4881.63"/>
    <n v="5088.0600000000004"/>
    <x v="28"/>
    <x v="0"/>
    <x v="1"/>
    <x v="0"/>
    <x v="0"/>
    <x v="2"/>
    <x v="1"/>
    <n v="206.43000000000029"/>
    <n v="7844.3400000000111"/>
    <x v="6"/>
  </r>
  <r>
    <n v="1010"/>
    <d v="2023-03-29T00:00:00"/>
    <n v="60155.28119999999"/>
    <n v="49"/>
    <n v="1150.3"/>
    <n v="1306.02"/>
    <x v="18"/>
    <x v="4"/>
    <x v="2"/>
    <x v="1"/>
    <x v="1"/>
    <x v="2"/>
    <x v="1"/>
    <n v="155.72000000000003"/>
    <n v="7630.2800000000016"/>
    <x v="4"/>
  </r>
  <r>
    <n v="1056"/>
    <d v="2023-02-10T00:00:00"/>
    <n v="53833.625999999625"/>
    <n v="42"/>
    <n v="1080.1199999999999"/>
    <n v="1424.1699999999901"/>
    <x v="15"/>
    <x v="0"/>
    <x v="1"/>
    <x v="0"/>
    <x v="1"/>
    <x v="0"/>
    <x v="0"/>
    <n v="344.04999999999018"/>
    <n v="14450.099999999587"/>
    <x v="0"/>
  </r>
  <r>
    <n v="1017"/>
    <d v="2023-03-17T00:00:00"/>
    <n v="98096.796000000002"/>
    <n v="28"/>
    <n v="3780.91"/>
    <n v="3892.73"/>
    <x v="15"/>
    <x v="0"/>
    <x v="0"/>
    <x v="2"/>
    <x v="0"/>
    <x v="0"/>
    <x v="1"/>
    <n v="111.82000000000016"/>
    <n v="3130.9600000000046"/>
    <x v="4"/>
  </r>
  <r>
    <n v="1074"/>
    <d v="2023-02-15T00:00:00"/>
    <n v="1688.6529"/>
    <n v="1"/>
    <n v="1304.23"/>
    <n v="1705.71"/>
    <x v="30"/>
    <x v="0"/>
    <x v="1"/>
    <x v="0"/>
    <x v="0"/>
    <x v="0"/>
    <x v="1"/>
    <n v="401.48"/>
    <n v="401.48"/>
    <x v="0"/>
  </r>
  <r>
    <n v="1017"/>
    <d v="2023-06-09T00:00:00"/>
    <n v="164106.43199999997"/>
    <n v="35"/>
    <n v="4480.63"/>
    <n v="4884.12"/>
    <x v="14"/>
    <x v="2"/>
    <x v="3"/>
    <x v="0"/>
    <x v="1"/>
    <x v="0"/>
    <x v="0"/>
    <n v="403.48999999999978"/>
    <n v="14122.149999999992"/>
    <x v="6"/>
  </r>
  <r>
    <n v="1084"/>
    <d v="2023-03-21T00:00:00"/>
    <n v="98099.987999999998"/>
    <n v="40"/>
    <n v="2890.95"/>
    <n v="3104.43"/>
    <x v="5"/>
    <x v="3"/>
    <x v="2"/>
    <x v="1"/>
    <x v="1"/>
    <x v="1"/>
    <x v="0"/>
    <n v="213.48000000000002"/>
    <n v="8539.2000000000007"/>
    <x v="4"/>
  </r>
  <r>
    <n v="1088"/>
    <d v="2023-11-06T00:00:00"/>
    <n v="14863.027199999999"/>
    <n v="8"/>
    <n v="1786.35"/>
    <n v="1935.29"/>
    <x v="14"/>
    <x v="1"/>
    <x v="2"/>
    <x v="1"/>
    <x v="1"/>
    <x v="0"/>
    <x v="0"/>
    <n v="148.94000000000005"/>
    <n v="1191.5200000000004"/>
    <x v="8"/>
  </r>
  <r>
    <n v="1069"/>
    <d v="2023-03-27T00:00:00"/>
    <n v="188867.85030000002"/>
    <n v="47"/>
    <n v="4171.83"/>
    <n v="4320.93"/>
    <x v="17"/>
    <x v="1"/>
    <x v="3"/>
    <x v="3"/>
    <x v="1"/>
    <x v="0"/>
    <x v="0"/>
    <n v="149.10000000000036"/>
    <n v="7007.7000000000171"/>
    <x v="4"/>
  </r>
  <r>
    <n v="1034"/>
    <d v="2023-04-02T00:00:00"/>
    <n v="17061.9764"/>
    <n v="7"/>
    <n v="2492.36"/>
    <n v="2738.68"/>
    <x v="1"/>
    <x v="2"/>
    <x v="1"/>
    <x v="3"/>
    <x v="0"/>
    <x v="0"/>
    <x v="0"/>
    <n v="246.31999999999971"/>
    <n v="1724.239999999998"/>
    <x v="1"/>
  </r>
  <r>
    <n v="1006"/>
    <d v="2023-05-28T00:00:00"/>
    <n v="41716.189900000005"/>
    <n v="11"/>
    <n v="4562.58"/>
    <n v="4925.17"/>
    <x v="10"/>
    <x v="0"/>
    <x v="0"/>
    <x v="1"/>
    <x v="1"/>
    <x v="0"/>
    <x v="1"/>
    <n v="362.59000000000015"/>
    <n v="3988.4900000000016"/>
    <x v="10"/>
  </r>
  <r>
    <n v="1053"/>
    <d v="2023-06-10T00:00:00"/>
    <n v="156331.56240000002"/>
    <n v="39"/>
    <n v="4643.67"/>
    <n v="4829.5200000000004"/>
    <x v="22"/>
    <x v="2"/>
    <x v="3"/>
    <x v="0"/>
    <x v="0"/>
    <x v="1"/>
    <x v="0"/>
    <n v="185.85000000000036"/>
    <n v="7248.1500000000142"/>
    <x v="6"/>
  </r>
  <r>
    <n v="1066"/>
    <d v="2023-07-21T00:00:00"/>
    <n v="3721.69"/>
    <n v="4"/>
    <n v="868.83"/>
    <n v="1177.75"/>
    <x v="5"/>
    <x v="2"/>
    <x v="3"/>
    <x v="0"/>
    <x v="0"/>
    <x v="2"/>
    <x v="1"/>
    <n v="308.91999999999996"/>
    <n v="1235.6799999999998"/>
    <x v="11"/>
  </r>
  <r>
    <n v="1077"/>
    <d v="2023-08-30T00:00:00"/>
    <n v="5372.5899999999783"/>
    <n v="25"/>
    <n v="61.5"/>
    <n v="258.91999999999899"/>
    <x v="22"/>
    <x v="4"/>
    <x v="1"/>
    <x v="3"/>
    <x v="1"/>
    <x v="2"/>
    <x v="0"/>
    <n v="197.41999999999899"/>
    <n v="4935.4999999999745"/>
    <x v="3"/>
  </r>
  <r>
    <n v="1043"/>
    <d v="2023-12-19T00:00:00"/>
    <n v="48155.366400000006"/>
    <n v="12"/>
    <n v="4920.46"/>
    <n v="5079.68"/>
    <x v="5"/>
    <x v="3"/>
    <x v="2"/>
    <x v="3"/>
    <x v="1"/>
    <x v="2"/>
    <x v="1"/>
    <n v="159.22000000000025"/>
    <n v="1910.6400000000031"/>
    <x v="9"/>
  </r>
  <r>
    <n v="1075"/>
    <d v="2023-01-02T00:00:00"/>
    <n v="118496.56000000001"/>
    <n v="26"/>
    <n v="4535.38"/>
    <n v="4557.5600000000004"/>
    <x v="11"/>
    <x v="1"/>
    <x v="1"/>
    <x v="3"/>
    <x v="1"/>
    <x v="2"/>
    <x v="0"/>
    <n v="22.180000000000291"/>
    <n v="576.68000000000757"/>
    <x v="5"/>
  </r>
  <r>
    <n v="1023"/>
    <d v="2023-08-13T00:00:00"/>
    <n v="9203.0831999999991"/>
    <n v="38"/>
    <n v="324.45"/>
    <n v="336.37"/>
    <x v="24"/>
    <x v="0"/>
    <x v="3"/>
    <x v="2"/>
    <x v="1"/>
    <x v="2"/>
    <x v="1"/>
    <n v="11.920000000000016"/>
    <n v="452.9600000000006"/>
    <x v="3"/>
  </r>
  <r>
    <n v="1055"/>
    <d v="2023-10-16T00:00:00"/>
    <n v="191636.20699999999"/>
    <n v="46"/>
    <n v="4173.5200000000004"/>
    <n v="4294.8500000000004"/>
    <x v="21"/>
    <x v="1"/>
    <x v="3"/>
    <x v="2"/>
    <x v="0"/>
    <x v="1"/>
    <x v="1"/>
    <n v="121.32999999999993"/>
    <n v="5581.1799999999967"/>
    <x v="7"/>
  </r>
  <r>
    <n v="1080"/>
    <d v="2023-08-21T00:00:00"/>
    <n v="26666.851199999997"/>
    <n v="12"/>
    <n v="2316.13"/>
    <n v="2525.27"/>
    <x v="7"/>
    <x v="1"/>
    <x v="2"/>
    <x v="3"/>
    <x v="0"/>
    <x v="2"/>
    <x v="1"/>
    <n v="209.13999999999987"/>
    <n v="2509.6799999999985"/>
    <x v="3"/>
  </r>
  <r>
    <n v="1095"/>
    <d v="2023-03-18T00:00:00"/>
    <n v="58239.827799999999"/>
    <n v="43"/>
    <n v="1331.86"/>
    <n v="1758.98"/>
    <x v="10"/>
    <x v="3"/>
    <x v="2"/>
    <x v="0"/>
    <x v="0"/>
    <x v="1"/>
    <x v="1"/>
    <n v="427.12000000000012"/>
    <n v="18366.160000000003"/>
    <x v="4"/>
  </r>
  <r>
    <n v="1075"/>
    <d v="2023-04-26T00:00:00"/>
    <n v="154546.1214"/>
    <n v="37"/>
    <n v="4399.8"/>
    <n v="4801.0600000000004"/>
    <x v="9"/>
    <x v="1"/>
    <x v="2"/>
    <x v="3"/>
    <x v="1"/>
    <x v="1"/>
    <x v="1"/>
    <n v="401.26000000000022"/>
    <n v="14846.620000000008"/>
    <x v="1"/>
  </r>
  <r>
    <n v="1016"/>
    <d v="2023-06-03T00:00:00"/>
    <n v="38565.2592"/>
    <n v="46"/>
    <n v="1023.5"/>
    <n v="1164.4100000000001"/>
    <x v="24"/>
    <x v="1"/>
    <x v="1"/>
    <x v="2"/>
    <x v="0"/>
    <x v="2"/>
    <x v="1"/>
    <n v="140.91000000000008"/>
    <n v="6481.8600000000042"/>
    <x v="6"/>
  </r>
  <r>
    <n v="1008"/>
    <d v="2023-04-13T00:00:00"/>
    <n v="100495.12799999998"/>
    <n v="24"/>
    <n v="4739.13"/>
    <n v="4868.95"/>
    <x v="6"/>
    <x v="2"/>
    <x v="2"/>
    <x v="0"/>
    <x v="1"/>
    <x v="2"/>
    <x v="1"/>
    <n v="129.81999999999971"/>
    <n v="3115.679999999993"/>
    <x v="1"/>
  </r>
  <r>
    <n v="1004"/>
    <d v="2023-07-13T00:00:00"/>
    <n v="14080.364799999999"/>
    <n v="16"/>
    <n v="1067.83"/>
    <n v="1189.22"/>
    <x v="16"/>
    <x v="3"/>
    <x v="3"/>
    <x v="2"/>
    <x v="0"/>
    <x v="2"/>
    <x v="1"/>
    <n v="121.3900000000001"/>
    <n v="1942.2400000000016"/>
    <x v="11"/>
  </r>
  <r>
    <n v="1004"/>
    <d v="2023-06-15T00:00:00"/>
    <n v="32247.924800000004"/>
    <n v="13"/>
    <n v="3087.73"/>
    <n v="3263.96"/>
    <x v="19"/>
    <x v="4"/>
    <x v="3"/>
    <x v="0"/>
    <x v="1"/>
    <x v="0"/>
    <x v="1"/>
    <n v="176.23000000000002"/>
    <n v="2290.9900000000002"/>
    <x v="6"/>
  </r>
  <r>
    <n v="1056"/>
    <d v="2023-12-25T00:00:00"/>
    <n v="24999.1"/>
    <n v="25"/>
    <n v="1154.28"/>
    <n v="1408.4"/>
    <x v="12"/>
    <x v="0"/>
    <x v="0"/>
    <x v="2"/>
    <x v="0"/>
    <x v="1"/>
    <x v="1"/>
    <n v="254.12000000000012"/>
    <n v="6353.0000000000027"/>
    <x v="9"/>
  </r>
  <r>
    <n v="1025"/>
    <d v="2023-03-31T00:00:00"/>
    <n v="8570.908799999972"/>
    <n v="4"/>
    <n v="2751.06"/>
    <n v="2976.0099999999902"/>
    <x v="24"/>
    <x v="1"/>
    <x v="1"/>
    <x v="0"/>
    <x v="0"/>
    <x v="2"/>
    <x v="0"/>
    <n v="224.94999999999027"/>
    <n v="899.79999999996107"/>
    <x v="4"/>
  </r>
  <r>
    <n v="1067"/>
    <d v="2023-06-23T00:00:00"/>
    <n v="28527.618899999921"/>
    <n v="11"/>
    <n v="3435.68"/>
    <n v="3552.6299999999901"/>
    <x v="29"/>
    <x v="0"/>
    <x v="0"/>
    <x v="0"/>
    <x v="1"/>
    <x v="0"/>
    <x v="1"/>
    <n v="116.94999999999027"/>
    <n v="1286.449999999893"/>
    <x v="6"/>
  </r>
  <r>
    <n v="1096"/>
    <d v="2023-05-02T00:00:00"/>
    <n v="26596.128000000001"/>
    <n v="32"/>
    <n v="991.63"/>
    <n v="1065.55"/>
    <x v="20"/>
    <x v="4"/>
    <x v="3"/>
    <x v="0"/>
    <x v="0"/>
    <x v="1"/>
    <x v="1"/>
    <n v="73.919999999999959"/>
    <n v="2365.4399999999987"/>
    <x v="10"/>
  </r>
  <r>
    <n v="1067"/>
    <d v="2023-05-23T00:00:00"/>
    <n v="115328.3894"/>
    <n v="49"/>
    <n v="2628.38"/>
    <n v="2644.54"/>
    <x v="1"/>
    <x v="0"/>
    <x v="0"/>
    <x v="0"/>
    <x v="0"/>
    <x v="0"/>
    <x v="0"/>
    <n v="16.159999999999854"/>
    <n v="791.83999999999287"/>
    <x v="10"/>
  </r>
  <r>
    <n v="1027"/>
    <d v="2023-04-16T00:00:00"/>
    <n v="16684.999099999997"/>
    <n v="7"/>
    <n v="2371.85"/>
    <n v="2457.29"/>
    <x v="21"/>
    <x v="4"/>
    <x v="3"/>
    <x v="1"/>
    <x v="1"/>
    <x v="0"/>
    <x v="1"/>
    <n v="85.440000000000055"/>
    <n v="598.08000000000038"/>
    <x v="1"/>
  </r>
  <r>
    <n v="1093"/>
    <d v="2023-11-01T00:00:00"/>
    <n v="27518.828400000002"/>
    <n v="46"/>
    <n v="401.64"/>
    <n v="757.26"/>
    <x v="5"/>
    <x v="2"/>
    <x v="0"/>
    <x v="2"/>
    <x v="1"/>
    <x v="2"/>
    <x v="1"/>
    <n v="355.62"/>
    <n v="16358.52"/>
    <x v="8"/>
  </r>
  <r>
    <n v="1032"/>
    <d v="2023-12-26T00:00:00"/>
    <n v="33036.299999999996"/>
    <n v="11"/>
    <n v="4100.62"/>
    <n v="4230"/>
    <x v="12"/>
    <x v="1"/>
    <x v="2"/>
    <x v="2"/>
    <x v="1"/>
    <x v="1"/>
    <x v="0"/>
    <n v="129.38000000000011"/>
    <n v="1423.1800000000012"/>
    <x v="9"/>
  </r>
  <r>
    <n v="1050"/>
    <d v="2023-11-13T00:00:00"/>
    <n v="42615.081600000005"/>
    <n v="28"/>
    <n v="1711.63"/>
    <n v="1951.24"/>
    <x v="20"/>
    <x v="4"/>
    <x v="0"/>
    <x v="1"/>
    <x v="1"/>
    <x v="0"/>
    <x v="0"/>
    <n v="239.6099999999999"/>
    <n v="6709.0799999999972"/>
    <x v="8"/>
  </r>
  <r>
    <n v="1061"/>
    <d v="2023-05-03T00:00:00"/>
    <n v="94284.518400000001"/>
    <n v="41"/>
    <n v="2894.18"/>
    <n v="3193.92"/>
    <x v="24"/>
    <x v="0"/>
    <x v="2"/>
    <x v="0"/>
    <x v="1"/>
    <x v="1"/>
    <x v="1"/>
    <n v="299.74000000000024"/>
    <n v="12289.340000000009"/>
    <x v="10"/>
  </r>
  <r>
    <n v="1051"/>
    <d v="2023-01-09T00:00:00"/>
    <n v="53186.920399999995"/>
    <n v="23"/>
    <n v="2598.1799999999998"/>
    <n v="3042.73"/>
    <x v="19"/>
    <x v="1"/>
    <x v="2"/>
    <x v="0"/>
    <x v="0"/>
    <x v="2"/>
    <x v="0"/>
    <n v="444.55000000000018"/>
    <n v="10224.650000000005"/>
    <x v="5"/>
  </r>
  <r>
    <n v="1019"/>
    <d v="2023-09-19T00:00:00"/>
    <n v="129796.69499999999"/>
    <n v="45"/>
    <n v="2590.64"/>
    <n v="3036.18"/>
    <x v="8"/>
    <x v="2"/>
    <x v="1"/>
    <x v="2"/>
    <x v="1"/>
    <x v="1"/>
    <x v="1"/>
    <n v="445.53999999999996"/>
    <n v="20049.3"/>
    <x v="2"/>
  </r>
  <r>
    <n v="1021"/>
    <d v="2023-03-14T00:00:00"/>
    <n v="20452.2624"/>
    <n v="23"/>
    <n v="580.75"/>
    <n v="956.16"/>
    <x v="17"/>
    <x v="1"/>
    <x v="2"/>
    <x v="1"/>
    <x v="0"/>
    <x v="0"/>
    <x v="1"/>
    <n v="375.40999999999997"/>
    <n v="8634.4299999999985"/>
    <x v="4"/>
  </r>
  <r>
    <n v="1005"/>
    <d v="2023-12-25T00:00:00"/>
    <n v="54771.443999999996"/>
    <n v="28"/>
    <n v="2146.2399999999998"/>
    <n v="2173.4699999999998"/>
    <x v="15"/>
    <x v="4"/>
    <x v="2"/>
    <x v="0"/>
    <x v="0"/>
    <x v="0"/>
    <x v="1"/>
    <n v="27.230000000000018"/>
    <n v="762.44000000000051"/>
    <x v="9"/>
  </r>
  <r>
    <n v="1082"/>
    <d v="2023-08-11T00:00:00"/>
    <n v="105433.84999999999"/>
    <n v="43"/>
    <n v="2289.2199999999998"/>
    <n v="2581"/>
    <x v="8"/>
    <x v="2"/>
    <x v="0"/>
    <x v="0"/>
    <x v="1"/>
    <x v="1"/>
    <x v="0"/>
    <n v="291.7800000000002"/>
    <n v="12546.540000000008"/>
    <x v="3"/>
  </r>
  <r>
    <n v="1092"/>
    <d v="2023-02-10T00:00:00"/>
    <n v="159042.2096"/>
    <n v="47"/>
    <n v="3681.53"/>
    <n v="4076.96"/>
    <x v="22"/>
    <x v="0"/>
    <x v="3"/>
    <x v="0"/>
    <x v="0"/>
    <x v="0"/>
    <x v="1"/>
    <n v="395.42999999999984"/>
    <n v="18585.209999999992"/>
    <x v="0"/>
  </r>
  <r>
    <n v="1042"/>
    <d v="2023-07-23T00:00:00"/>
    <n v="78022.297600000005"/>
    <n v="26"/>
    <n v="4208.09"/>
    <n v="4226.5600000000004"/>
    <x v="12"/>
    <x v="2"/>
    <x v="1"/>
    <x v="3"/>
    <x v="0"/>
    <x v="0"/>
    <x v="1"/>
    <n v="18.470000000000255"/>
    <n v="480.22000000000662"/>
    <x v="11"/>
  </r>
  <r>
    <n v="1061"/>
    <d v="2023-09-21T00:00:00"/>
    <n v="58269.942499999808"/>
    <n v="25"/>
    <n v="2747.66"/>
    <n v="3027.0099999999902"/>
    <x v="10"/>
    <x v="2"/>
    <x v="2"/>
    <x v="1"/>
    <x v="1"/>
    <x v="0"/>
    <x v="0"/>
    <n v="279.34999999999036"/>
    <n v="6983.749999999759"/>
    <x v="2"/>
  </r>
  <r>
    <n v="1022"/>
    <d v="2023-11-24T00:00:00"/>
    <n v="22956.272400000002"/>
    <n v="29"/>
    <n v="479.58"/>
    <n v="909.88"/>
    <x v="9"/>
    <x v="3"/>
    <x v="1"/>
    <x v="0"/>
    <x v="0"/>
    <x v="2"/>
    <x v="1"/>
    <n v="430.3"/>
    <n v="12478.7"/>
    <x v="8"/>
  </r>
  <r>
    <n v="1021"/>
    <d v="2023-06-27T00:00:00"/>
    <n v="27829.49"/>
    <n v="19"/>
    <n v="1222.4000000000001"/>
    <n v="1464.71"/>
    <x v="11"/>
    <x v="2"/>
    <x v="0"/>
    <x v="3"/>
    <x v="1"/>
    <x v="2"/>
    <x v="1"/>
    <n v="242.30999999999995"/>
    <n v="4603.8899999999994"/>
    <x v="6"/>
  </r>
  <r>
    <n v="1070"/>
    <d v="2023-12-14T00:00:00"/>
    <n v="26379.252899999999"/>
    <n v="33"/>
    <n v="866.42"/>
    <n v="878.43"/>
    <x v="0"/>
    <x v="2"/>
    <x v="2"/>
    <x v="1"/>
    <x v="1"/>
    <x v="0"/>
    <x v="1"/>
    <n v="12.009999999999991"/>
    <n v="396.3299999999997"/>
    <x v="9"/>
  </r>
  <r>
    <n v="1001"/>
    <d v="2023-11-14T00:00:00"/>
    <n v="20630.937599999997"/>
    <n v="36"/>
    <n v="666.84"/>
    <n v="682.24"/>
    <x v="28"/>
    <x v="1"/>
    <x v="0"/>
    <x v="0"/>
    <x v="1"/>
    <x v="1"/>
    <x v="1"/>
    <n v="15.399999999999977"/>
    <n v="554.39999999999918"/>
    <x v="8"/>
  </r>
  <r>
    <n v="1005"/>
    <d v="2023-03-25T00:00:00"/>
    <n v="26149.41"/>
    <n v="14"/>
    <n v="1861.2"/>
    <n v="2075.35"/>
    <x v="15"/>
    <x v="0"/>
    <x v="1"/>
    <x v="2"/>
    <x v="0"/>
    <x v="2"/>
    <x v="1"/>
    <n v="214.14999999999986"/>
    <n v="2998.0999999999981"/>
    <x v="4"/>
  </r>
  <r>
    <n v="1012"/>
    <d v="2023-11-14T00:00:00"/>
    <n v="17266.290999999997"/>
    <n v="14"/>
    <n v="1185.5"/>
    <n v="1271.45"/>
    <x v="21"/>
    <x v="1"/>
    <x v="0"/>
    <x v="3"/>
    <x v="0"/>
    <x v="1"/>
    <x v="1"/>
    <n v="85.950000000000045"/>
    <n v="1203.3000000000006"/>
    <x v="8"/>
  </r>
  <r>
    <n v="1090"/>
    <d v="2023-04-21T00:00:00"/>
    <n v="44645.180999999699"/>
    <n v="35"/>
    <n v="1130.5999999999999"/>
    <n v="1466.1799999999901"/>
    <x v="9"/>
    <x v="1"/>
    <x v="1"/>
    <x v="3"/>
    <x v="0"/>
    <x v="0"/>
    <x v="0"/>
    <n v="335.57999999999015"/>
    <n v="11745.299999999655"/>
    <x v="1"/>
  </r>
  <r>
    <n v="1046"/>
    <d v="2023-09-08T00:00:00"/>
    <n v="18713.903999999999"/>
    <n v="30"/>
    <n v="320.73"/>
    <n v="678.04"/>
    <x v="4"/>
    <x v="4"/>
    <x v="0"/>
    <x v="0"/>
    <x v="0"/>
    <x v="0"/>
    <x v="1"/>
    <n v="357.30999999999995"/>
    <n v="10719.3"/>
    <x v="2"/>
  </r>
  <r>
    <n v="1034"/>
    <d v="2023-01-07T00:00:00"/>
    <n v="4795.837199999999"/>
    <n v="28"/>
    <n v="137.47"/>
    <n v="234.63"/>
    <x v="29"/>
    <x v="1"/>
    <x v="1"/>
    <x v="0"/>
    <x v="1"/>
    <x v="1"/>
    <x v="1"/>
    <n v="97.16"/>
    <n v="2720.48"/>
    <x v="5"/>
  </r>
  <r>
    <n v="1049"/>
    <d v="2023-03-25T00:00:00"/>
    <n v="16557.279200000001"/>
    <n v="17"/>
    <n v="558.70000000000005"/>
    <n v="1004.08"/>
    <x v="21"/>
    <x v="3"/>
    <x v="3"/>
    <x v="3"/>
    <x v="0"/>
    <x v="2"/>
    <x v="0"/>
    <n v="445.38"/>
    <n v="7571.46"/>
    <x v="4"/>
  </r>
  <r>
    <n v="1078"/>
    <d v="2023-07-27T00:00:00"/>
    <n v="3352.8627000000006"/>
    <n v="3"/>
    <n v="902.38"/>
    <n v="1128.9100000000001"/>
    <x v="30"/>
    <x v="3"/>
    <x v="0"/>
    <x v="2"/>
    <x v="1"/>
    <x v="1"/>
    <x v="1"/>
    <n v="226.53000000000009"/>
    <n v="679.59000000000026"/>
    <x v="11"/>
  </r>
  <r>
    <n v="1090"/>
    <d v="2023-11-10T00:00:00"/>
    <n v="36213.759999999842"/>
    <n v="16"/>
    <n v="2183.37"/>
    <n v="2263.3599999999901"/>
    <x v="11"/>
    <x v="4"/>
    <x v="0"/>
    <x v="2"/>
    <x v="0"/>
    <x v="1"/>
    <x v="1"/>
    <n v="79.989999999990232"/>
    <n v="1279.8399999998437"/>
    <x v="8"/>
  </r>
  <r>
    <n v="1045"/>
    <d v="2023-01-22T00:00:00"/>
    <n v="122608.58400000002"/>
    <n v="46"/>
    <n v="2577.08"/>
    <n v="2961.56"/>
    <x v="15"/>
    <x v="0"/>
    <x v="3"/>
    <x v="1"/>
    <x v="0"/>
    <x v="0"/>
    <x v="0"/>
    <n v="384.48"/>
    <n v="17686.080000000002"/>
    <x v="5"/>
  </r>
  <r>
    <n v="1027"/>
    <d v="2023-01-03T00:00:00"/>
    <n v="27432.48"/>
    <n v="30"/>
    <n v="745.93"/>
    <n v="1143.02"/>
    <x v="2"/>
    <x v="0"/>
    <x v="3"/>
    <x v="0"/>
    <x v="0"/>
    <x v="2"/>
    <x v="0"/>
    <n v="397.09000000000003"/>
    <n v="11912.7"/>
    <x v="5"/>
  </r>
  <r>
    <n v="1073"/>
    <d v="2023-05-07T00:00:00"/>
    <n v="56005.536599999999"/>
    <n v="29"/>
    <n v="2152.6799999999998"/>
    <n v="2475.9299999999998"/>
    <x v="20"/>
    <x v="1"/>
    <x v="0"/>
    <x v="2"/>
    <x v="0"/>
    <x v="1"/>
    <x v="0"/>
    <n v="323.25"/>
    <n v="9374.25"/>
    <x v="10"/>
  </r>
  <r>
    <n v="1026"/>
    <d v="2023-10-24T00:00:00"/>
    <n v="83973.582000000009"/>
    <n v="45"/>
    <n v="1741.66"/>
    <n v="2169.86"/>
    <x v="6"/>
    <x v="1"/>
    <x v="3"/>
    <x v="1"/>
    <x v="0"/>
    <x v="2"/>
    <x v="0"/>
    <n v="428.20000000000005"/>
    <n v="19269.000000000004"/>
    <x v="7"/>
  </r>
  <r>
    <n v="1047"/>
    <d v="2023-07-07T00:00:00"/>
    <n v="15751.731000000002"/>
    <n v="15"/>
    <n v="957.95"/>
    <n v="1329.26"/>
    <x v="5"/>
    <x v="1"/>
    <x v="2"/>
    <x v="2"/>
    <x v="1"/>
    <x v="0"/>
    <x v="0"/>
    <n v="371.30999999999995"/>
    <n v="5569.65"/>
    <x v="11"/>
  </r>
  <r>
    <n v="1086"/>
    <d v="2023-12-28T00:00:00"/>
    <n v="21540.171599999998"/>
    <n v="46"/>
    <n v="83.86"/>
    <n v="526.14"/>
    <x v="1"/>
    <x v="0"/>
    <x v="1"/>
    <x v="0"/>
    <x v="0"/>
    <x v="2"/>
    <x v="0"/>
    <n v="442.28"/>
    <n v="20344.879999999997"/>
    <x v="9"/>
  </r>
  <r>
    <n v="1056"/>
    <d v="2023-01-14T00:00:00"/>
    <n v="51687"/>
    <n v="25"/>
    <n v="2361.7399999999998"/>
    <n v="2584.35"/>
    <x v="2"/>
    <x v="2"/>
    <x v="1"/>
    <x v="1"/>
    <x v="0"/>
    <x v="0"/>
    <x v="0"/>
    <n v="222.61000000000013"/>
    <n v="5565.2500000000036"/>
    <x v="5"/>
  </r>
  <r>
    <n v="1094"/>
    <d v="2023-01-12T00:00:00"/>
    <n v="143719.68599999999"/>
    <n v="38"/>
    <n v="3443.98"/>
    <n v="3820.3"/>
    <x v="30"/>
    <x v="3"/>
    <x v="1"/>
    <x v="1"/>
    <x v="0"/>
    <x v="2"/>
    <x v="1"/>
    <n v="376.32000000000016"/>
    <n v="14300.160000000007"/>
    <x v="5"/>
  </r>
  <r>
    <n v="1063"/>
    <d v="2023-03-28T00:00:00"/>
    <n v="61721.351999999635"/>
    <n v="42"/>
    <n v="1170.07"/>
    <n v="1669.94999999999"/>
    <x v="7"/>
    <x v="2"/>
    <x v="2"/>
    <x v="1"/>
    <x v="0"/>
    <x v="1"/>
    <x v="1"/>
    <n v="499.8799999999901"/>
    <n v="20994.959999999584"/>
    <x v="4"/>
  </r>
  <r>
    <n v="1048"/>
    <d v="2023-01-12T00:00:00"/>
    <n v="38136.815200000005"/>
    <n v="47"/>
    <n v="702.44"/>
    <n v="1067.6600000000001"/>
    <x v="19"/>
    <x v="2"/>
    <x v="3"/>
    <x v="2"/>
    <x v="1"/>
    <x v="0"/>
    <x v="1"/>
    <n v="365.22"/>
    <n v="17165.34"/>
    <x v="5"/>
  </r>
  <r>
    <n v="1061"/>
    <d v="2023-01-25T00:00:00"/>
    <n v="130156.67279999971"/>
    <n v="38"/>
    <n v="4440.8599999999997"/>
    <n v="4506.8099999999904"/>
    <x v="19"/>
    <x v="0"/>
    <x v="3"/>
    <x v="0"/>
    <x v="0"/>
    <x v="1"/>
    <x v="0"/>
    <n v="65.949999999990723"/>
    <n v="2506.0999999996475"/>
    <x v="5"/>
  </r>
  <r>
    <n v="1081"/>
    <d v="2023-10-28T00:00:00"/>
    <n v="30441.109499999999"/>
    <n v="23"/>
    <n v="1411.37"/>
    <n v="1675.35"/>
    <x v="5"/>
    <x v="2"/>
    <x v="0"/>
    <x v="1"/>
    <x v="1"/>
    <x v="0"/>
    <x v="1"/>
    <n v="263.98"/>
    <n v="6071.5400000000009"/>
    <x v="7"/>
  </r>
  <r>
    <n v="1026"/>
    <d v="2023-08-31T00:00:00"/>
    <n v="34184.979999999996"/>
    <n v="25"/>
    <n v="1156.8800000000001"/>
    <n v="1454.68"/>
    <x v="18"/>
    <x v="4"/>
    <x v="3"/>
    <x v="3"/>
    <x v="0"/>
    <x v="2"/>
    <x v="0"/>
    <n v="297.79999999999995"/>
    <n v="7444.9999999999991"/>
    <x v="3"/>
  </r>
  <r>
    <n v="1036"/>
    <d v="2023-05-02T00:00:00"/>
    <n v="171394.88939999999"/>
    <n v="42"/>
    <n v="4292.63"/>
    <n v="4387.99"/>
    <x v="17"/>
    <x v="1"/>
    <x v="0"/>
    <x v="0"/>
    <x v="1"/>
    <x v="2"/>
    <x v="1"/>
    <n v="95.359999999999673"/>
    <n v="4005.1199999999862"/>
    <x v="10"/>
  </r>
  <r>
    <n v="1001"/>
    <d v="2023-05-27T00:00:00"/>
    <n v="22424.85"/>
    <n v="7"/>
    <n v="4094.68"/>
    <n v="4576.5"/>
    <x v="23"/>
    <x v="4"/>
    <x v="2"/>
    <x v="3"/>
    <x v="1"/>
    <x v="0"/>
    <x v="1"/>
    <n v="481.82000000000016"/>
    <n v="3372.7400000000011"/>
    <x v="10"/>
  </r>
  <r>
    <n v="1008"/>
    <d v="2023-02-24T00:00:00"/>
    <n v="50476.568999999996"/>
    <n v="22"/>
    <n v="2269.3200000000002"/>
    <n v="2365.35"/>
    <x v="21"/>
    <x v="3"/>
    <x v="1"/>
    <x v="3"/>
    <x v="1"/>
    <x v="0"/>
    <x v="1"/>
    <n v="96.029999999999745"/>
    <n v="2112.6599999999944"/>
    <x v="0"/>
  </r>
  <r>
    <n v="1099"/>
    <d v="2023-08-26T00:00:00"/>
    <n v="41484.989500000003"/>
    <n v="17"/>
    <n v="2471.73"/>
    <n v="2568.73"/>
    <x v="8"/>
    <x v="1"/>
    <x v="1"/>
    <x v="1"/>
    <x v="1"/>
    <x v="0"/>
    <x v="1"/>
    <n v="97"/>
    <n v="1649"/>
    <x v="3"/>
  </r>
  <r>
    <n v="1052"/>
    <d v="2023-12-22T00:00:00"/>
    <n v="27411.091199999999"/>
    <n v="18"/>
    <n v="1127.8599999999999"/>
    <n v="1586.29"/>
    <x v="14"/>
    <x v="2"/>
    <x v="1"/>
    <x v="1"/>
    <x v="1"/>
    <x v="2"/>
    <x v="0"/>
    <n v="458.43000000000006"/>
    <n v="8251.7400000000016"/>
    <x v="9"/>
  </r>
  <r>
    <n v="1079"/>
    <d v="2023-06-22T00:00:00"/>
    <n v="29791.313999999998"/>
    <n v="49"/>
    <n v="437.59"/>
    <n v="675.54"/>
    <x v="15"/>
    <x v="3"/>
    <x v="3"/>
    <x v="2"/>
    <x v="0"/>
    <x v="0"/>
    <x v="0"/>
    <n v="237.95"/>
    <n v="11659.55"/>
    <x v="6"/>
  </r>
  <r>
    <n v="1047"/>
    <d v="2023-08-09T00:00:00"/>
    <n v="112901.003"/>
    <n v="41"/>
    <n v="2888.49"/>
    <n v="2929.45"/>
    <x v="18"/>
    <x v="1"/>
    <x v="0"/>
    <x v="2"/>
    <x v="1"/>
    <x v="0"/>
    <x v="1"/>
    <n v="40.960000000000036"/>
    <n v="1679.3600000000015"/>
    <x v="3"/>
  </r>
  <r>
    <n v="1056"/>
    <d v="2023-04-29T00:00:00"/>
    <n v="7139.3199999999988"/>
    <n v="10"/>
    <n v="536.80999999999995"/>
    <n v="839.92"/>
    <x v="25"/>
    <x v="2"/>
    <x v="0"/>
    <x v="2"/>
    <x v="0"/>
    <x v="1"/>
    <x v="0"/>
    <n v="303.11"/>
    <n v="3031.1000000000004"/>
    <x v="1"/>
  </r>
  <r>
    <n v="1086"/>
    <d v="2023-11-05T00:00:00"/>
    <n v="22177.679999999917"/>
    <n v="10"/>
    <n v="2273.91"/>
    <n v="2578.7999999999902"/>
    <x v="6"/>
    <x v="4"/>
    <x v="2"/>
    <x v="0"/>
    <x v="1"/>
    <x v="0"/>
    <x v="0"/>
    <n v="304.88999999999032"/>
    <n v="3048.8999999999032"/>
    <x v="8"/>
  </r>
  <r>
    <n v="1014"/>
    <d v="2023-07-02T00:00:00"/>
    <n v="24257.527699999999"/>
    <n v="7"/>
    <n v="4705.46"/>
    <n v="4747.07"/>
    <x v="29"/>
    <x v="1"/>
    <x v="3"/>
    <x v="2"/>
    <x v="1"/>
    <x v="1"/>
    <x v="1"/>
    <n v="41.609999999999673"/>
    <n v="291.26999999999771"/>
    <x v="11"/>
  </r>
  <r>
    <n v="1090"/>
    <d v="2023-10-15T00:00:00"/>
    <n v="249625.88639999999"/>
    <n v="48"/>
    <n v="4766.53"/>
    <n v="5253.07"/>
    <x v="30"/>
    <x v="2"/>
    <x v="2"/>
    <x v="3"/>
    <x v="0"/>
    <x v="1"/>
    <x v="0"/>
    <n v="486.53999999999996"/>
    <n v="23353.919999999998"/>
    <x v="7"/>
  </r>
  <r>
    <n v="1028"/>
    <d v="2023-11-03T00:00:00"/>
    <n v="51685.091999999997"/>
    <n v="38"/>
    <n v="1234.69"/>
    <n v="1511.26"/>
    <x v="15"/>
    <x v="4"/>
    <x v="0"/>
    <x v="2"/>
    <x v="1"/>
    <x v="1"/>
    <x v="0"/>
    <n v="276.56999999999994"/>
    <n v="10509.659999999998"/>
    <x v="8"/>
  </r>
  <r>
    <n v="1087"/>
    <d v="2023-10-27T00:00:00"/>
    <n v="75799.832399999999"/>
    <n v="27"/>
    <n v="3139.36"/>
    <n v="3423.66"/>
    <x v="13"/>
    <x v="3"/>
    <x v="0"/>
    <x v="1"/>
    <x v="1"/>
    <x v="2"/>
    <x v="0"/>
    <n v="284.29999999999973"/>
    <n v="7676.0999999999931"/>
    <x v="7"/>
  </r>
  <r>
    <n v="1078"/>
    <d v="2023-03-23T00:00:00"/>
    <n v="72021.272400000002"/>
    <n v="33"/>
    <n v="2396.6799999999998"/>
    <n v="2661.54"/>
    <x v="13"/>
    <x v="3"/>
    <x v="1"/>
    <x v="2"/>
    <x v="1"/>
    <x v="1"/>
    <x v="0"/>
    <n v="264.86000000000013"/>
    <n v="8740.3800000000047"/>
    <x v="4"/>
  </r>
  <r>
    <n v="1088"/>
    <d v="2023-07-30T00:00:00"/>
    <n v="4036.7539999999995"/>
    <n v="1"/>
    <n v="4384.6400000000003"/>
    <n v="4693.8999999999996"/>
    <x v="6"/>
    <x v="3"/>
    <x v="3"/>
    <x v="0"/>
    <x v="1"/>
    <x v="0"/>
    <x v="1"/>
    <n v="309.25999999999931"/>
    <n v="309.25999999999931"/>
    <x v="11"/>
  </r>
  <r>
    <n v="1002"/>
    <d v="2023-05-30T00:00:00"/>
    <n v="51266.529599999994"/>
    <n v="44"/>
    <n v="1393.58"/>
    <n v="1533.09"/>
    <x v="19"/>
    <x v="3"/>
    <x v="0"/>
    <x v="0"/>
    <x v="0"/>
    <x v="2"/>
    <x v="1"/>
    <n v="139.51"/>
    <n v="6138.44"/>
    <x v="10"/>
  </r>
  <r>
    <n v="1026"/>
    <d v="2023-02-06T00:00:00"/>
    <n v="7299.7455999999665"/>
    <n v="34"/>
    <n v="68.33"/>
    <n v="219.07999999999899"/>
    <x v="3"/>
    <x v="0"/>
    <x v="1"/>
    <x v="3"/>
    <x v="1"/>
    <x v="2"/>
    <x v="0"/>
    <n v="150.74999999999898"/>
    <n v="5125.4999999999654"/>
    <x v="0"/>
  </r>
  <r>
    <n v="1014"/>
    <d v="2023-12-18T00:00:00"/>
    <n v="3390.3296"/>
    <n v="4"/>
    <n v="854.68"/>
    <n v="1115.24"/>
    <x v="19"/>
    <x v="1"/>
    <x v="3"/>
    <x v="0"/>
    <x v="1"/>
    <x v="2"/>
    <x v="1"/>
    <n v="260.56000000000006"/>
    <n v="1042.2400000000002"/>
    <x v="9"/>
  </r>
  <r>
    <n v="1059"/>
    <d v="2023-11-08T00:00:00"/>
    <n v="31579.319"/>
    <n v="17"/>
    <n v="1780.14"/>
    <n v="2185.42"/>
    <x v="25"/>
    <x v="1"/>
    <x v="2"/>
    <x v="2"/>
    <x v="0"/>
    <x v="2"/>
    <x v="1"/>
    <n v="405.28"/>
    <n v="6889.7599999999993"/>
    <x v="8"/>
  </r>
  <r>
    <n v="1056"/>
    <d v="2023-12-27T00:00:00"/>
    <n v="6325.44"/>
    <n v="4"/>
    <n v="1612.82"/>
    <n v="1647.25"/>
    <x v="14"/>
    <x v="0"/>
    <x v="3"/>
    <x v="1"/>
    <x v="0"/>
    <x v="2"/>
    <x v="1"/>
    <n v="34.430000000000064"/>
    <n v="137.72000000000025"/>
    <x v="9"/>
  </r>
  <r>
    <n v="1007"/>
    <d v="2023-02-28T00:00:00"/>
    <n v="134126.95879999999"/>
    <n v="43"/>
    <n v="3967.25"/>
    <n v="4272.92"/>
    <x v="29"/>
    <x v="2"/>
    <x v="3"/>
    <x v="0"/>
    <x v="1"/>
    <x v="2"/>
    <x v="0"/>
    <n v="305.67000000000007"/>
    <n v="13143.810000000003"/>
    <x v="0"/>
  </r>
  <r>
    <n v="1003"/>
    <d v="2023-05-11T00:00:00"/>
    <n v="80535.546000000002"/>
    <n v="26"/>
    <n v="3418.78"/>
    <n v="3824.1"/>
    <x v="27"/>
    <x v="2"/>
    <x v="0"/>
    <x v="3"/>
    <x v="1"/>
    <x v="2"/>
    <x v="0"/>
    <n v="405.31999999999971"/>
    <n v="10538.319999999992"/>
    <x v="10"/>
  </r>
  <r>
    <n v="1023"/>
    <d v="2023-07-21T00:00:00"/>
    <n v="6154.8220000000001"/>
    <n v="4"/>
    <n v="1532.8"/>
    <n v="1619.69"/>
    <x v="8"/>
    <x v="3"/>
    <x v="0"/>
    <x v="2"/>
    <x v="0"/>
    <x v="1"/>
    <x v="1"/>
    <n v="86.8900000000001"/>
    <n v="347.5600000000004"/>
    <x v="11"/>
  </r>
  <r>
    <n v="1018"/>
    <d v="2023-08-31T00:00:00"/>
    <n v="2309.8580999999999"/>
    <n v="1"/>
    <n v="2315.83"/>
    <n v="2333.19"/>
    <x v="30"/>
    <x v="4"/>
    <x v="3"/>
    <x v="3"/>
    <x v="1"/>
    <x v="0"/>
    <x v="1"/>
    <n v="17.360000000000127"/>
    <n v="17.360000000000127"/>
    <x v="3"/>
  </r>
  <r>
    <n v="1038"/>
    <d v="2023-02-04T00:00:00"/>
    <n v="4611.5999999999995"/>
    <n v="7"/>
    <n v="523.02"/>
    <n v="686.25"/>
    <x v="14"/>
    <x v="2"/>
    <x v="0"/>
    <x v="0"/>
    <x v="0"/>
    <x v="0"/>
    <x v="0"/>
    <n v="163.23000000000002"/>
    <n v="1142.6100000000001"/>
    <x v="0"/>
  </r>
  <r>
    <n v="1099"/>
    <d v="2023-04-03T00:00:00"/>
    <n v="117932.64599999976"/>
    <n v="30"/>
    <n v="4495.82"/>
    <n v="4794.0099999999902"/>
    <x v="13"/>
    <x v="4"/>
    <x v="0"/>
    <x v="0"/>
    <x v="1"/>
    <x v="1"/>
    <x v="1"/>
    <n v="298.1899999999905"/>
    <n v="8945.6999999997151"/>
    <x v="1"/>
  </r>
  <r>
    <n v="1015"/>
    <d v="2023-07-26T00:00:00"/>
    <n v="40681.840499999998"/>
    <n v="9"/>
    <n v="4680.3500000000004"/>
    <n v="4758.1099999999997"/>
    <x v="8"/>
    <x v="1"/>
    <x v="0"/>
    <x v="3"/>
    <x v="0"/>
    <x v="1"/>
    <x v="0"/>
    <n v="77.759999999999309"/>
    <n v="699.83999999999378"/>
    <x v="11"/>
  </r>
  <r>
    <n v="1064"/>
    <d v="2023-12-19T00:00:00"/>
    <n v="166617.91649999999"/>
    <n v="35"/>
    <n v="4900.03"/>
    <n v="5118.83"/>
    <x v="17"/>
    <x v="4"/>
    <x v="1"/>
    <x v="2"/>
    <x v="0"/>
    <x v="2"/>
    <x v="1"/>
    <n v="218.80000000000018"/>
    <n v="7658.0000000000064"/>
    <x v="9"/>
  </r>
  <r>
    <n v="1089"/>
    <d v="2023-11-28T00:00:00"/>
    <n v="36669.441599999998"/>
    <n v="8"/>
    <n v="4349.34"/>
    <n v="4629.9799999999996"/>
    <x v="30"/>
    <x v="1"/>
    <x v="1"/>
    <x v="0"/>
    <x v="0"/>
    <x v="2"/>
    <x v="0"/>
    <n v="280.63999999999942"/>
    <n v="2245.1199999999953"/>
    <x v="8"/>
  </r>
  <r>
    <n v="1028"/>
    <d v="2023-11-01T00:00:00"/>
    <n v="22736.563200000001"/>
    <n v="24"/>
    <n v="911.11"/>
    <n v="1214.56"/>
    <x v="20"/>
    <x v="0"/>
    <x v="3"/>
    <x v="1"/>
    <x v="1"/>
    <x v="1"/>
    <x v="0"/>
    <n v="303.44999999999993"/>
    <n v="7282.7999999999984"/>
    <x v="8"/>
  </r>
  <r>
    <n v="1074"/>
    <d v="2023-12-16T00:00:00"/>
    <n v="6109.9972000000007"/>
    <n v="19"/>
    <n v="278.67"/>
    <n v="423.13"/>
    <x v="19"/>
    <x v="0"/>
    <x v="0"/>
    <x v="0"/>
    <x v="1"/>
    <x v="2"/>
    <x v="0"/>
    <n v="144.45999999999998"/>
    <n v="2744.74"/>
    <x v="9"/>
  </r>
  <r>
    <n v="1039"/>
    <d v="2023-08-01T00:00:00"/>
    <n v="85500.273600000015"/>
    <n v="36"/>
    <n v="2919"/>
    <n v="3125.01"/>
    <x v="19"/>
    <x v="3"/>
    <x v="1"/>
    <x v="2"/>
    <x v="1"/>
    <x v="0"/>
    <x v="0"/>
    <n v="206.01000000000022"/>
    <n v="7416.3600000000079"/>
    <x v="3"/>
  </r>
  <r>
    <n v="1057"/>
    <d v="2023-06-08T00:00:00"/>
    <n v="204698.43839999998"/>
    <n v="43"/>
    <n v="4567.3900000000003"/>
    <n v="4958.78"/>
    <x v="14"/>
    <x v="2"/>
    <x v="3"/>
    <x v="0"/>
    <x v="1"/>
    <x v="0"/>
    <x v="1"/>
    <n v="391.38999999999942"/>
    <n v="16829.769999999975"/>
    <x v="6"/>
  </r>
  <r>
    <n v="1017"/>
    <d v="2023-01-24T00:00:00"/>
    <n v="27576.063900000001"/>
    <n v="27"/>
    <n v="927.89"/>
    <n v="1399.09"/>
    <x v="29"/>
    <x v="3"/>
    <x v="0"/>
    <x v="3"/>
    <x v="0"/>
    <x v="2"/>
    <x v="0"/>
    <n v="471.19999999999993"/>
    <n v="12722.399999999998"/>
    <x v="5"/>
  </r>
  <r>
    <n v="1086"/>
    <d v="2023-10-20T00:00:00"/>
    <n v="13239.807999999999"/>
    <n v="32"/>
    <n v="84.86"/>
    <n v="517.17999999999995"/>
    <x v="2"/>
    <x v="1"/>
    <x v="2"/>
    <x v="0"/>
    <x v="0"/>
    <x v="2"/>
    <x v="1"/>
    <n v="432.31999999999994"/>
    <n v="13834.239999999998"/>
    <x v="7"/>
  </r>
  <r>
    <n v="1090"/>
    <d v="2023-01-04T00:00:00"/>
    <n v="44188.316200000001"/>
    <n v="14"/>
    <n v="4037.21"/>
    <n v="4323.71"/>
    <x v="29"/>
    <x v="3"/>
    <x v="0"/>
    <x v="0"/>
    <x v="0"/>
    <x v="2"/>
    <x v="0"/>
    <n v="286.5"/>
    <n v="4011"/>
    <x v="5"/>
  </r>
  <r>
    <n v="1044"/>
    <d v="2023-08-08T00:00:00"/>
    <n v="10040.8788"/>
    <n v="18"/>
    <n v="430.14"/>
    <n v="641.17999999999995"/>
    <x v="9"/>
    <x v="4"/>
    <x v="0"/>
    <x v="2"/>
    <x v="1"/>
    <x v="0"/>
    <x v="0"/>
    <n v="211.03999999999996"/>
    <n v="3798.7199999999993"/>
    <x v="3"/>
  </r>
  <r>
    <n v="1025"/>
    <d v="2023-12-30T00:00:00"/>
    <n v="55321.316399999996"/>
    <n v="28"/>
    <n v="2097.84"/>
    <n v="2270.9899999999998"/>
    <x v="9"/>
    <x v="1"/>
    <x v="1"/>
    <x v="3"/>
    <x v="1"/>
    <x v="2"/>
    <x v="1"/>
    <n v="173.14999999999964"/>
    <n v="4848.1999999999898"/>
    <x v="9"/>
  </r>
  <r>
    <n v="1017"/>
    <d v="2023-01-20T00:00:00"/>
    <n v="76737.108799999987"/>
    <n v="29"/>
    <n v="3410.49"/>
    <n v="3481.72"/>
    <x v="19"/>
    <x v="0"/>
    <x v="3"/>
    <x v="2"/>
    <x v="1"/>
    <x v="1"/>
    <x v="1"/>
    <n v="71.230000000000018"/>
    <n v="2065.6700000000005"/>
    <x v="5"/>
  </r>
  <r>
    <n v="1013"/>
    <d v="2023-06-01T00:00:00"/>
    <n v="19933.267199999998"/>
    <n v="16"/>
    <n v="1222.1500000000001"/>
    <n v="1284.3599999999999"/>
    <x v="21"/>
    <x v="2"/>
    <x v="3"/>
    <x v="0"/>
    <x v="0"/>
    <x v="2"/>
    <x v="1"/>
    <n v="62.209999999999809"/>
    <n v="995.35999999999694"/>
    <x v="6"/>
  </r>
  <r>
    <n v="1084"/>
    <d v="2023-02-19T00:00:00"/>
    <n v="23899.553999999996"/>
    <n v="35"/>
    <n v="465.61"/>
    <n v="812.91"/>
    <x v="28"/>
    <x v="1"/>
    <x v="1"/>
    <x v="1"/>
    <x v="1"/>
    <x v="1"/>
    <x v="0"/>
    <n v="347.29999999999995"/>
    <n v="12155.499999999998"/>
    <x v="0"/>
  </r>
  <r>
    <n v="1025"/>
    <d v="2023-06-26T00:00:00"/>
    <n v="140961.57749999998"/>
    <n v="47"/>
    <n v="3861.61"/>
    <n v="3998.91"/>
    <x v="26"/>
    <x v="1"/>
    <x v="0"/>
    <x v="0"/>
    <x v="1"/>
    <x v="2"/>
    <x v="0"/>
    <n v="137.29999999999973"/>
    <n v="6453.0999999999876"/>
    <x v="6"/>
  </r>
  <r>
    <n v="1068"/>
    <d v="2023-04-06T00:00:00"/>
    <n v="76821.487500000003"/>
    <n v="31"/>
    <n v="3169.37"/>
    <n v="3304.15"/>
    <x v="26"/>
    <x v="4"/>
    <x v="2"/>
    <x v="2"/>
    <x v="0"/>
    <x v="2"/>
    <x v="1"/>
    <n v="134.7800000000002"/>
    <n v="4178.1800000000057"/>
    <x v="1"/>
  </r>
  <r>
    <n v="1010"/>
    <d v="2023-04-15T00:00:00"/>
    <n v="15455.705999999998"/>
    <n v="4"/>
    <n v="4943.03"/>
    <n v="5442.15"/>
    <x v="12"/>
    <x v="2"/>
    <x v="0"/>
    <x v="1"/>
    <x v="0"/>
    <x v="0"/>
    <x v="0"/>
    <n v="499.11999999999989"/>
    <n v="1996.4799999999996"/>
    <x v="1"/>
  </r>
  <r>
    <n v="1067"/>
    <d v="2023-09-07T00:00:00"/>
    <n v="54262.571999999716"/>
    <n v="37"/>
    <n v="1754.32"/>
    <n v="1856.3999999999901"/>
    <x v="5"/>
    <x v="0"/>
    <x v="0"/>
    <x v="2"/>
    <x v="1"/>
    <x v="1"/>
    <x v="1"/>
    <n v="102.07999999999015"/>
    <n v="3776.9599999996353"/>
    <x v="2"/>
  </r>
  <r>
    <n v="1018"/>
    <d v="2023-04-27T00:00:00"/>
    <n v="7003.5545999999995"/>
    <n v="17"/>
    <n v="355.72"/>
    <n v="438.27"/>
    <x v="18"/>
    <x v="1"/>
    <x v="2"/>
    <x v="2"/>
    <x v="0"/>
    <x v="1"/>
    <x v="0"/>
    <n v="82.549999999999955"/>
    <n v="1403.3499999999992"/>
    <x v="1"/>
  </r>
  <r>
    <n v="1100"/>
    <d v="2023-12-20T00:00:00"/>
    <n v="144532.2879"/>
    <n v="39"/>
    <n v="3685.03"/>
    <n v="3743.39"/>
    <x v="30"/>
    <x v="1"/>
    <x v="1"/>
    <x v="3"/>
    <x v="1"/>
    <x v="1"/>
    <x v="0"/>
    <n v="58.359999999999673"/>
    <n v="2276.0399999999872"/>
    <x v="9"/>
  </r>
  <r>
    <n v="1086"/>
    <d v="2023-08-16T00:00:00"/>
    <n v="120813.35039999998"/>
    <n v="48"/>
    <n v="2632.58"/>
    <n v="2926.68"/>
    <x v="6"/>
    <x v="4"/>
    <x v="3"/>
    <x v="1"/>
    <x v="0"/>
    <x v="0"/>
    <x v="0"/>
    <n v="294.09999999999991"/>
    <n v="14116.799999999996"/>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65DE75-E82F-4E2B-A4E1-0615D85958B2}"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D47:F53" firstHeaderRow="0" firstDataRow="1" firstDataCol="1"/>
  <pivotFields count="16">
    <pivotField dataField="1" showAll="0"/>
    <pivotField numFmtId="14" showAll="0"/>
    <pivotField showAll="0"/>
    <pivotField showAll="0"/>
    <pivotField showAll="0"/>
    <pivotField showAll="0"/>
    <pivotField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axis="axisRow" showAll="0">
      <items count="6">
        <item x="4"/>
        <item x="0"/>
        <item x="2"/>
        <item x="1"/>
        <item x="3"/>
        <item t="default"/>
      </items>
    </pivotField>
    <pivotField showAll="0"/>
    <pivotField showAll="0">
      <items count="5">
        <item x="2"/>
        <item x="3"/>
        <item x="1"/>
        <item x="0"/>
        <item t="default"/>
      </items>
    </pivotField>
    <pivotField showAll="0">
      <items count="3">
        <item x="1"/>
        <item x="0"/>
        <item t="default"/>
      </items>
    </pivotField>
    <pivotField showAll="0">
      <items count="4">
        <item x="1"/>
        <item x="0"/>
        <item x="2"/>
        <item t="default"/>
      </items>
    </pivotField>
    <pivotField showAll="0">
      <items count="3">
        <item x="0"/>
        <item x="1"/>
        <item t="default"/>
      </items>
    </pivotField>
    <pivotField showAll="0"/>
    <pivotField dataField="1" showAll="0"/>
    <pivotField showAll="0">
      <items count="13">
        <item x="5"/>
        <item x="0"/>
        <item x="4"/>
        <item x="1"/>
        <item x="10"/>
        <item x="6"/>
        <item x="11"/>
        <item x="3"/>
        <item x="2"/>
        <item x="7"/>
        <item x="8"/>
        <item x="9"/>
        <item t="default"/>
      </items>
    </pivotField>
  </pivotFields>
  <rowFields count="1">
    <field x="7"/>
  </rowFields>
  <rowItems count="6">
    <i>
      <x/>
    </i>
    <i>
      <x v="1"/>
    </i>
    <i>
      <x v="2"/>
    </i>
    <i>
      <x v="3"/>
    </i>
    <i>
      <x v="4"/>
    </i>
    <i t="grand">
      <x/>
    </i>
  </rowItems>
  <colFields count="1">
    <field x="-2"/>
  </colFields>
  <colItems count="2">
    <i>
      <x/>
    </i>
    <i i="1">
      <x v="1"/>
    </i>
  </colItems>
  <dataFields count="2">
    <dataField name="Count of Product_ID" fld="0" subtotal="count" baseField="7" baseItem="0"/>
    <dataField name="Sum of total_profit" fld="14" baseField="0" baseItem="0"/>
  </dataFields>
  <formats count="4">
    <format dxfId="8">
      <pivotArea outline="0" collapsedLevelsAreSubtotals="1" fieldPosition="0"/>
    </format>
    <format dxfId="7">
      <pivotArea dataOnly="0" labelOnly="1" outline="0" axis="axisValues" fieldPosition="0"/>
    </format>
    <format dxfId="6">
      <pivotArea collapsedLevelsAreSubtotals="1" fieldPosition="0">
        <references count="1">
          <reference field="7" count="0"/>
        </references>
      </pivotArea>
    </format>
    <format dxfId="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E97175-1C15-4CB9-AFDE-CD08EDFB7A3E}"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46:B52" firstHeaderRow="1" firstDataRow="1" firstDataCol="1"/>
  <pivotFields count="16">
    <pivotField showAll="0"/>
    <pivotField numFmtId="14" showAll="0"/>
    <pivotField dataField="1" showAll="0"/>
    <pivotField showAll="0"/>
    <pivotField showAll="0"/>
    <pivotField showAll="0"/>
    <pivotField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axis="axisRow" showAll="0">
      <items count="6">
        <item x="4"/>
        <item x="0"/>
        <item x="2"/>
        <item x="1"/>
        <item x="3"/>
        <item t="default"/>
      </items>
    </pivotField>
    <pivotField showAll="0"/>
    <pivotField showAll="0">
      <items count="5">
        <item x="2"/>
        <item x="3"/>
        <item x="1"/>
        <item x="0"/>
        <item t="default"/>
      </items>
    </pivotField>
    <pivotField showAll="0">
      <items count="3">
        <item x="1"/>
        <item x="0"/>
        <item t="default"/>
      </items>
    </pivotField>
    <pivotField showAll="0">
      <items count="4">
        <item x="1"/>
        <item x="0"/>
        <item x="2"/>
        <item t="default"/>
      </items>
    </pivotField>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7"/>
  </rowFields>
  <rowItems count="6">
    <i>
      <x/>
    </i>
    <i>
      <x v="1"/>
    </i>
    <i>
      <x v="2"/>
    </i>
    <i>
      <x v="3"/>
    </i>
    <i>
      <x v="4"/>
    </i>
    <i t="grand">
      <x/>
    </i>
  </rowItems>
  <colItems count="1">
    <i/>
  </colItems>
  <dataFields count="1">
    <dataField name="Sum of Sales_Amount" fld="2" baseField="0" baseItem="0" numFmtId="44"/>
  </dataFields>
  <formats count="3">
    <format dxfId="11">
      <pivotArea outline="0" collapsedLevelsAreSubtotals="1" fieldPosition="0"/>
    </format>
    <format dxfId="10">
      <pivotArea dataOnly="0" labelOnly="1" outline="0" axis="axisValues" fieldPosition="0"/>
    </format>
    <format dxfId="9">
      <pivotArea collapsedLevelsAreSubtotals="1" fieldPosition="0">
        <references count="1">
          <reference field="7" count="0"/>
        </references>
      </pivotArea>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7E98F7-4AE5-4815-A797-97AFE0927F2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0:E37" firstHeaderRow="1" firstDataRow="2" firstDataCol="1"/>
  <pivotFields count="16">
    <pivotField dataField="1" showAll="0"/>
    <pivotField numFmtId="14" showAll="0"/>
    <pivotField showAll="0"/>
    <pivotField showAll="0"/>
    <pivotField showAll="0"/>
    <pivotField showAll="0"/>
    <pivotField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axis="axisRow" showAll="0"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showAll="0"/>
    <pivotField showAll="0">
      <items count="5">
        <item x="2"/>
        <item x="3"/>
        <item x="1"/>
        <item x="0"/>
        <item t="default"/>
      </items>
    </pivotField>
    <pivotField showAll="0">
      <items count="3">
        <item x="1"/>
        <item x="0"/>
        <item t="default"/>
      </items>
    </pivotField>
    <pivotField axis="axisCol"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7"/>
  </rowFields>
  <rowItems count="6">
    <i>
      <x v="3"/>
    </i>
    <i>
      <x v="4"/>
    </i>
    <i>
      <x v="1"/>
    </i>
    <i>
      <x/>
    </i>
    <i>
      <x v="2"/>
    </i>
    <i t="grand">
      <x/>
    </i>
  </rowItems>
  <colFields count="1">
    <field x="11"/>
  </colFields>
  <colItems count="4">
    <i>
      <x v="2"/>
    </i>
    <i>
      <x/>
    </i>
    <i>
      <x v="1"/>
    </i>
    <i t="grand">
      <x/>
    </i>
  </colItems>
  <dataFields count="1">
    <dataField name="Count of Product_ID" fld="0" subtotal="count" baseField="7" baseItem="0"/>
  </dataFields>
  <chartFormats count="6">
    <chartFormat chart="2" format="0" series="1">
      <pivotArea type="data" outline="0" fieldPosition="0">
        <references count="2">
          <reference field="4294967294" count="1" selected="0">
            <x v="0"/>
          </reference>
          <reference field="11" count="1" selected="0">
            <x v="0"/>
          </reference>
        </references>
      </pivotArea>
    </chartFormat>
    <chartFormat chart="2" format="1" series="1">
      <pivotArea type="data" outline="0" fieldPosition="0">
        <references count="2">
          <reference field="4294967294" count="1" selected="0">
            <x v="0"/>
          </reference>
          <reference field="11" count="1" selected="0">
            <x v="1"/>
          </reference>
        </references>
      </pivotArea>
    </chartFormat>
    <chartFormat chart="2" format="2" series="1">
      <pivotArea type="data" outline="0" fieldPosition="0">
        <references count="2">
          <reference field="4294967294" count="1" selected="0">
            <x v="0"/>
          </reference>
          <reference field="11" count="1" selected="0">
            <x v="2"/>
          </reference>
        </references>
      </pivotArea>
    </chartFormat>
    <chartFormat chart="5" format="6" series="1">
      <pivotArea type="data" outline="0" fieldPosition="0">
        <references count="2">
          <reference field="4294967294" count="1" selected="0">
            <x v="0"/>
          </reference>
          <reference field="11" count="1" selected="0">
            <x v="0"/>
          </reference>
        </references>
      </pivotArea>
    </chartFormat>
    <chartFormat chart="5" format="7" series="1">
      <pivotArea type="data" outline="0" fieldPosition="0">
        <references count="2">
          <reference field="4294967294" count="1" selected="0">
            <x v="0"/>
          </reference>
          <reference field="11" count="1" selected="0">
            <x v="1"/>
          </reference>
        </references>
      </pivotArea>
    </chartFormat>
    <chartFormat chart="5"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F7DD1C-B623-4910-B00E-201634921B0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5:D22" firstHeaderRow="1" firstDataRow="2" firstDataCol="1"/>
  <pivotFields count="16">
    <pivotField dataField="1" showAll="0"/>
    <pivotField numFmtId="14" showAll="0"/>
    <pivotField showAll="0"/>
    <pivotField showAll="0"/>
    <pivotField showAll="0"/>
    <pivotField showAll="0"/>
    <pivotField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axis="axisRow" showAll="0">
      <items count="6">
        <item x="4"/>
        <item x="0"/>
        <item x="2"/>
        <item x="1"/>
        <item x="3"/>
        <item t="default"/>
      </items>
    </pivotField>
    <pivotField showAll="0"/>
    <pivotField showAll="0">
      <items count="5">
        <item x="2"/>
        <item x="3"/>
        <item x="1"/>
        <item x="0"/>
        <item t="default"/>
      </items>
    </pivotField>
    <pivotField axis="axisCol" showAll="0">
      <items count="3">
        <item x="1"/>
        <item x="0"/>
        <item t="default"/>
      </items>
    </pivotField>
    <pivotField showAll="0"/>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7"/>
  </rowFields>
  <rowItems count="6">
    <i>
      <x/>
    </i>
    <i>
      <x v="1"/>
    </i>
    <i>
      <x v="2"/>
    </i>
    <i>
      <x v="3"/>
    </i>
    <i>
      <x v="4"/>
    </i>
    <i t="grand">
      <x/>
    </i>
  </rowItems>
  <colFields count="1">
    <field x="10"/>
  </colFields>
  <colItems count="3">
    <i>
      <x/>
    </i>
    <i>
      <x v="1"/>
    </i>
    <i t="grand">
      <x/>
    </i>
  </colItems>
  <dataFields count="1">
    <dataField name="Count of Product_ID" fld="0" subtotal="count" baseField="7" baseItem="0"/>
  </dataFields>
  <chartFormats count="4">
    <chartFormat chart="1" format="0" series="1">
      <pivotArea type="data" outline="0" fieldPosition="0">
        <references count="2">
          <reference field="4294967294" count="1" selected="0">
            <x v="0"/>
          </reference>
          <reference field="10" count="1" selected="0">
            <x v="0"/>
          </reference>
        </references>
      </pivotArea>
    </chartFormat>
    <chartFormat chart="1"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81DDD9-E648-4689-A14A-7E91E099405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F8" firstHeaderRow="1" firstDataRow="2" firstDataCol="1"/>
  <pivotFields count="16">
    <pivotField showAll="0"/>
    <pivotField numFmtId="14" showAll="0"/>
    <pivotField dataField="1" showAll="0"/>
    <pivotField showAll="0"/>
    <pivotField showAll="0"/>
    <pivotField showAll="0"/>
    <pivotField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axis="axisRow" showAll="0"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showAll="0"/>
    <pivotField axis="axisCol" showAll="0">
      <items count="5">
        <item x="2"/>
        <item x="3"/>
        <item x="1"/>
        <item x="0"/>
        <item t="default"/>
      </items>
    </pivotField>
    <pivotField showAll="0"/>
    <pivotField showAll="0"/>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7"/>
  </rowFields>
  <rowItems count="6">
    <i>
      <x v="3"/>
    </i>
    <i>
      <x v="4"/>
    </i>
    <i>
      <x v="1"/>
    </i>
    <i>
      <x/>
    </i>
    <i>
      <x v="2"/>
    </i>
    <i t="grand">
      <x/>
    </i>
  </rowItems>
  <colFields count="1">
    <field x="9"/>
  </colFields>
  <colItems count="5">
    <i>
      <x/>
    </i>
    <i>
      <x v="1"/>
    </i>
    <i>
      <x v="2"/>
    </i>
    <i>
      <x v="3"/>
    </i>
    <i t="grand">
      <x/>
    </i>
  </colItems>
  <dataFields count="1">
    <dataField name="Sum of Sales_Amount" fld="2" baseField="0" baseItem="0"/>
  </dataFields>
  <formats count="1">
    <format dxfId="12">
      <pivotArea grandCol="1" outline="0" collapsedLevelsAreSubtotals="1" fieldPosition="0"/>
    </format>
  </formats>
  <chartFormats count="8">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0" format="3" series="1">
      <pivotArea type="data" outline="0" fieldPosition="0">
        <references count="2">
          <reference field="4294967294" count="1" selected="0">
            <x v="0"/>
          </reference>
          <reference field="9" count="1" selected="0">
            <x v="3"/>
          </reference>
        </references>
      </pivotArea>
    </chartFormat>
    <chartFormat chart="6" format="8" series="1">
      <pivotArea type="data" outline="0" fieldPosition="0">
        <references count="2">
          <reference field="4294967294" count="1" selected="0">
            <x v="0"/>
          </reference>
          <reference field="9" count="1" selected="0">
            <x v="0"/>
          </reference>
        </references>
      </pivotArea>
    </chartFormat>
    <chartFormat chart="6" format="9" series="1">
      <pivotArea type="data" outline="0" fieldPosition="0">
        <references count="2">
          <reference field="4294967294" count="1" selected="0">
            <x v="0"/>
          </reference>
          <reference field="9" count="1" selected="0">
            <x v="1"/>
          </reference>
        </references>
      </pivotArea>
    </chartFormat>
    <chartFormat chart="6" format="10" series="1">
      <pivotArea type="data" outline="0" fieldPosition="0">
        <references count="2">
          <reference field="4294967294" count="1" selected="0">
            <x v="0"/>
          </reference>
          <reference field="9" count="1" selected="0">
            <x v="2"/>
          </reference>
        </references>
      </pivotArea>
    </chartFormat>
    <chartFormat chart="6" format="11"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0381121-3C97-46A0-9AF0-00BC4A4D734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17:F31" firstHeaderRow="1" firstDataRow="2" firstDataCol="1"/>
  <pivotFields count="16">
    <pivotField showAll="0"/>
    <pivotField numFmtId="14" showAll="0"/>
    <pivotField showAll="0"/>
    <pivotField showAll="0"/>
    <pivotField showAll="0"/>
    <pivotField showAll="0"/>
    <pivotField showAll="0"/>
    <pivotField showAll="0">
      <items count="6">
        <item x="4"/>
        <item x="0"/>
        <item x="2"/>
        <item x="1"/>
        <item x="3"/>
        <item t="default"/>
      </items>
    </pivotField>
    <pivotField showAll="0"/>
    <pivotField axis="axisCol" showAll="0">
      <items count="5">
        <item x="2"/>
        <item x="3"/>
        <item x="1"/>
        <item x="0"/>
        <item t="default"/>
      </items>
    </pivotField>
    <pivotField showAll="0"/>
    <pivotField showAll="0"/>
    <pivotField showAll="0">
      <items count="3">
        <item x="0"/>
        <item x="1"/>
        <item t="default"/>
      </items>
    </pivotField>
    <pivotField showAll="0"/>
    <pivotField dataField="1" showAll="0"/>
    <pivotField axis="axisRow" showAll="0">
      <items count="13">
        <item x="5"/>
        <item x="0"/>
        <item x="4"/>
        <item x="1"/>
        <item x="10"/>
        <item x="6"/>
        <item x="11"/>
        <item x="3"/>
        <item x="2"/>
        <item x="7"/>
        <item x="8"/>
        <item x="9"/>
        <item t="default"/>
      </items>
    </pivotField>
  </pivotFields>
  <rowFields count="1">
    <field x="15"/>
  </rowFields>
  <rowItems count="13">
    <i>
      <x/>
    </i>
    <i>
      <x v="1"/>
    </i>
    <i>
      <x v="2"/>
    </i>
    <i>
      <x v="3"/>
    </i>
    <i>
      <x v="4"/>
    </i>
    <i>
      <x v="5"/>
    </i>
    <i>
      <x v="6"/>
    </i>
    <i>
      <x v="7"/>
    </i>
    <i>
      <x v="8"/>
    </i>
    <i>
      <x v="9"/>
    </i>
    <i>
      <x v="10"/>
    </i>
    <i>
      <x v="11"/>
    </i>
    <i t="grand">
      <x/>
    </i>
  </rowItems>
  <colFields count="1">
    <field x="9"/>
  </colFields>
  <colItems count="5">
    <i>
      <x/>
    </i>
    <i>
      <x v="1"/>
    </i>
    <i>
      <x v="2"/>
    </i>
    <i>
      <x v="3"/>
    </i>
    <i t="grand">
      <x/>
    </i>
  </colItems>
  <dataFields count="1">
    <dataField name="total profit" fld="14" baseField="15" baseItem="0"/>
  </dataFields>
  <chartFormats count="12">
    <chartFormat chart="1" format="0" series="1">
      <pivotArea type="data" outline="0" fieldPosition="0">
        <references count="2">
          <reference field="4294967294" count="1" selected="0">
            <x v="0"/>
          </reference>
          <reference field="9" count="1" selected="0">
            <x v="0"/>
          </reference>
        </references>
      </pivotArea>
    </chartFormat>
    <chartFormat chart="1" format="1" series="1">
      <pivotArea type="data" outline="0" fieldPosition="0">
        <references count="2">
          <reference field="4294967294" count="1" selected="0">
            <x v="0"/>
          </reference>
          <reference field="9" count="1" selected="0">
            <x v="1"/>
          </reference>
        </references>
      </pivotArea>
    </chartFormat>
    <chartFormat chart="1" format="2" series="1">
      <pivotArea type="data" outline="0" fieldPosition="0">
        <references count="2">
          <reference field="4294967294" count="1" selected="0">
            <x v="0"/>
          </reference>
          <reference field="9" count="1" selected="0">
            <x v="2"/>
          </reference>
        </references>
      </pivotArea>
    </chartFormat>
    <chartFormat chart="1" format="3" series="1">
      <pivotArea type="data" outline="0" fieldPosition="0">
        <references count="2">
          <reference field="4294967294" count="1" selected="0">
            <x v="0"/>
          </reference>
          <reference field="9" count="1" selected="0">
            <x v="3"/>
          </reference>
        </references>
      </pivotArea>
    </chartFormat>
    <chartFormat chart="11" format="16" series="1">
      <pivotArea type="data" outline="0" fieldPosition="0">
        <references count="2">
          <reference field="4294967294" count="1" selected="0">
            <x v="0"/>
          </reference>
          <reference field="9" count="1" selected="0">
            <x v="0"/>
          </reference>
        </references>
      </pivotArea>
    </chartFormat>
    <chartFormat chart="11" format="17" series="1">
      <pivotArea type="data" outline="0" fieldPosition="0">
        <references count="2">
          <reference field="4294967294" count="1" selected="0">
            <x v="0"/>
          </reference>
          <reference field="9" count="1" selected="0">
            <x v="1"/>
          </reference>
        </references>
      </pivotArea>
    </chartFormat>
    <chartFormat chart="11" format="18" series="1">
      <pivotArea type="data" outline="0" fieldPosition="0">
        <references count="2">
          <reference field="4294967294" count="1" selected="0">
            <x v="0"/>
          </reference>
          <reference field="9" count="1" selected="0">
            <x v="2"/>
          </reference>
        </references>
      </pivotArea>
    </chartFormat>
    <chartFormat chart="11" format="19" series="1">
      <pivotArea type="data" outline="0" fieldPosition="0">
        <references count="2">
          <reference field="4294967294" count="1" selected="0">
            <x v="0"/>
          </reference>
          <reference field="9" count="1" selected="0">
            <x v="3"/>
          </reference>
        </references>
      </pivotArea>
    </chartFormat>
    <chartFormat chart="20" format="8" series="1">
      <pivotArea type="data" outline="0" fieldPosition="0">
        <references count="2">
          <reference field="4294967294" count="1" selected="0">
            <x v="0"/>
          </reference>
          <reference field="9" count="1" selected="0">
            <x v="0"/>
          </reference>
        </references>
      </pivotArea>
    </chartFormat>
    <chartFormat chart="20" format="9" series="1">
      <pivotArea type="data" outline="0" fieldPosition="0">
        <references count="2">
          <reference field="4294967294" count="1" selected="0">
            <x v="0"/>
          </reference>
          <reference field="9" count="1" selected="0">
            <x v="1"/>
          </reference>
        </references>
      </pivotArea>
    </chartFormat>
    <chartFormat chart="20" format="10" series="1">
      <pivotArea type="data" outline="0" fieldPosition="0">
        <references count="2">
          <reference field="4294967294" count="1" selected="0">
            <x v="0"/>
          </reference>
          <reference field="9" count="1" selected="0">
            <x v="2"/>
          </reference>
        </references>
      </pivotArea>
    </chartFormat>
    <chartFormat chart="20" format="11"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B40709D-EFAE-496F-83DB-AD6B1CD544E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G15" firstHeaderRow="1" firstDataRow="2" firstDataCol="1"/>
  <pivotFields count="16">
    <pivotField showAll="0"/>
    <pivotField numFmtId="14" showAll="0"/>
    <pivotField showAll="0"/>
    <pivotField showAll="0"/>
    <pivotField showAll="0"/>
    <pivotField showAll="0"/>
    <pivotField showAll="0"/>
    <pivotField axis="axisCol" showAll="0"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3">
        <item x="0"/>
        <item x="1"/>
        <item t="default"/>
      </items>
    </pivotField>
    <pivotField showAll="0"/>
    <pivotField dataField="1" showAll="0"/>
    <pivotField axis="axisRow" showAll="0" sortType="descending">
      <items count="13">
        <item x="5"/>
        <item x="0"/>
        <item x="4"/>
        <item x="1"/>
        <item x="10"/>
        <item x="6"/>
        <item x="11"/>
        <item x="3"/>
        <item x="2"/>
        <item x="7"/>
        <item x="8"/>
        <item x="9"/>
        <item t="default"/>
      </items>
      <autoSortScope>
        <pivotArea dataOnly="0" outline="0" fieldPosition="0">
          <references count="1">
            <reference field="4294967294" count="1" selected="0">
              <x v="0"/>
            </reference>
          </references>
        </pivotArea>
      </autoSortScope>
    </pivotField>
  </pivotFields>
  <rowFields count="1">
    <field x="15"/>
  </rowFields>
  <rowItems count="13">
    <i>
      <x/>
    </i>
    <i>
      <x v="5"/>
    </i>
    <i>
      <x v="11"/>
    </i>
    <i>
      <x v="9"/>
    </i>
    <i>
      <x v="7"/>
    </i>
    <i>
      <x v="10"/>
    </i>
    <i>
      <x v="2"/>
    </i>
    <i>
      <x v="3"/>
    </i>
    <i>
      <x v="4"/>
    </i>
    <i>
      <x v="1"/>
    </i>
    <i>
      <x v="8"/>
    </i>
    <i>
      <x v="6"/>
    </i>
    <i t="grand">
      <x/>
    </i>
  </rowItems>
  <colFields count="1">
    <field x="7"/>
  </colFields>
  <colItems count="6">
    <i>
      <x v="3"/>
    </i>
    <i>
      <x v="4"/>
    </i>
    <i>
      <x/>
    </i>
    <i>
      <x v="1"/>
    </i>
    <i>
      <x v="2"/>
    </i>
    <i t="grand">
      <x/>
    </i>
  </colItems>
  <dataFields count="1">
    <dataField name="total profit" fld="14" baseField="15" baseItem="0"/>
  </dataFields>
  <chartFormats count="10">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0" format="4" series="1">
      <pivotArea type="data" outline="0" fieldPosition="0">
        <references count="2">
          <reference field="4294967294" count="1" selected="0">
            <x v="0"/>
          </reference>
          <reference field="7" count="1" selected="0">
            <x v="4"/>
          </reference>
        </references>
      </pivotArea>
    </chartFormat>
    <chartFormat chart="5" format="10" series="1">
      <pivotArea type="data" outline="0" fieldPosition="0">
        <references count="2">
          <reference field="4294967294" count="1" selected="0">
            <x v="0"/>
          </reference>
          <reference field="7" count="1" selected="0">
            <x v="3"/>
          </reference>
        </references>
      </pivotArea>
    </chartFormat>
    <chartFormat chart="5" format="11" series="1">
      <pivotArea type="data" outline="0" fieldPosition="0">
        <references count="2">
          <reference field="4294967294" count="1" selected="0">
            <x v="0"/>
          </reference>
          <reference field="7" count="1" selected="0">
            <x v="4"/>
          </reference>
        </references>
      </pivotArea>
    </chartFormat>
    <chartFormat chart="5" format="12" series="1">
      <pivotArea type="data" outline="0" fieldPosition="0">
        <references count="2">
          <reference field="4294967294" count="1" selected="0">
            <x v="0"/>
          </reference>
          <reference field="7" count="1" selected="0">
            <x v="0"/>
          </reference>
        </references>
      </pivotArea>
    </chartFormat>
    <chartFormat chart="5" format="13" series="1">
      <pivotArea type="data" outline="0" fieldPosition="0">
        <references count="2">
          <reference field="4294967294" count="1" selected="0">
            <x v="0"/>
          </reference>
          <reference field="7" count="1" selected="0">
            <x v="1"/>
          </reference>
        </references>
      </pivotArea>
    </chartFormat>
    <chartFormat chart="5" format="14"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346691B-97AE-4FE4-8339-6BAB675D4ADA}" name="PivotTable2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51:AF64" firstHeaderRow="1" firstDataRow="2" firstDataCol="1"/>
  <pivotFields count="16">
    <pivotField showAll="0"/>
    <pivotField numFmtId="14" showAll="0"/>
    <pivotField showAll="0"/>
    <pivotField showAll="0"/>
    <pivotField showAll="0"/>
    <pivotField showAll="0"/>
    <pivotField axis="axisCol"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showAll="0">
      <items count="6">
        <item x="4"/>
        <item x="0"/>
        <item x="2"/>
        <item x="1"/>
        <item x="3"/>
        <item t="default"/>
      </items>
    </pivotField>
    <pivotField showAll="0"/>
    <pivotField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dataField="1" showAll="0"/>
    <pivotField axis="axisRow" showAll="0">
      <items count="13">
        <item x="5"/>
        <item x="0"/>
        <item x="4"/>
        <item x="1"/>
        <item x="10"/>
        <item x="6"/>
        <item x="11"/>
        <item x="3"/>
        <item x="2"/>
        <item x="7"/>
        <item x="8"/>
        <item x="9"/>
        <item t="default"/>
      </items>
    </pivotField>
  </pivotFields>
  <rowFields count="1">
    <field x="15"/>
  </rowFields>
  <rowItems count="12">
    <i>
      <x/>
    </i>
    <i>
      <x v="1"/>
    </i>
    <i>
      <x v="2"/>
    </i>
    <i>
      <x v="3"/>
    </i>
    <i>
      <x v="4"/>
    </i>
    <i>
      <x v="5"/>
    </i>
    <i>
      <x v="6"/>
    </i>
    <i>
      <x v="7"/>
    </i>
    <i>
      <x v="8"/>
    </i>
    <i>
      <x v="9"/>
    </i>
    <i>
      <x v="10"/>
    </i>
    <i>
      <x v="11"/>
    </i>
  </rowItems>
  <colFields count="1">
    <field x="6"/>
  </colFields>
  <col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colItems>
  <dataFields count="1">
    <dataField name="Sum of total_profit" fld="14" baseField="0" baseItem="0"/>
  </dataFields>
  <chartFormats count="32">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2">
          <reference field="4294967294" count="1" selected="0">
            <x v="0"/>
          </reference>
          <reference field="6" count="1" selected="0">
            <x v="20"/>
          </reference>
        </references>
      </pivotArea>
    </chartFormat>
    <chartFormat chart="2" format="21" series="1">
      <pivotArea type="data" outline="0" fieldPosition="0">
        <references count="2">
          <reference field="4294967294" count="1" selected="0">
            <x v="0"/>
          </reference>
          <reference field="6" count="1" selected="0">
            <x v="21"/>
          </reference>
        </references>
      </pivotArea>
    </chartFormat>
    <chartFormat chart="2" format="22" series="1">
      <pivotArea type="data" outline="0" fieldPosition="0">
        <references count="2">
          <reference field="4294967294" count="1" selected="0">
            <x v="0"/>
          </reference>
          <reference field="6" count="1" selected="0">
            <x v="22"/>
          </reference>
        </references>
      </pivotArea>
    </chartFormat>
    <chartFormat chart="2" format="23" series="1">
      <pivotArea type="data" outline="0" fieldPosition="0">
        <references count="2">
          <reference field="4294967294" count="1" selected="0">
            <x v="0"/>
          </reference>
          <reference field="6" count="1" selected="0">
            <x v="23"/>
          </reference>
        </references>
      </pivotArea>
    </chartFormat>
    <chartFormat chart="2" format="24" series="1">
      <pivotArea type="data" outline="0" fieldPosition="0">
        <references count="2">
          <reference field="4294967294" count="1" selected="0">
            <x v="0"/>
          </reference>
          <reference field="6" count="1" selected="0">
            <x v="24"/>
          </reference>
        </references>
      </pivotArea>
    </chartFormat>
    <chartFormat chart="2" format="25" series="1">
      <pivotArea type="data" outline="0" fieldPosition="0">
        <references count="2">
          <reference field="4294967294" count="1" selected="0">
            <x v="0"/>
          </reference>
          <reference field="6" count="1" selected="0">
            <x v="25"/>
          </reference>
        </references>
      </pivotArea>
    </chartFormat>
    <chartFormat chart="2" format="26" series="1">
      <pivotArea type="data" outline="0" fieldPosition="0">
        <references count="2">
          <reference field="4294967294" count="1" selected="0">
            <x v="0"/>
          </reference>
          <reference field="6" count="1" selected="0">
            <x v="26"/>
          </reference>
        </references>
      </pivotArea>
    </chartFormat>
    <chartFormat chart="2" format="27" series="1">
      <pivotArea type="data" outline="0" fieldPosition="0">
        <references count="2">
          <reference field="4294967294" count="1" selected="0">
            <x v="0"/>
          </reference>
          <reference field="6" count="1" selected="0">
            <x v="27"/>
          </reference>
        </references>
      </pivotArea>
    </chartFormat>
    <chartFormat chart="2" format="28" series="1">
      <pivotArea type="data" outline="0" fieldPosition="0">
        <references count="2">
          <reference field="4294967294" count="1" selected="0">
            <x v="0"/>
          </reference>
          <reference field="6" count="1" selected="0">
            <x v="28"/>
          </reference>
        </references>
      </pivotArea>
    </chartFormat>
    <chartFormat chart="2" format="29" series="1">
      <pivotArea type="data" outline="0" fieldPosition="0">
        <references count="2">
          <reference field="4294967294" count="1" selected="0">
            <x v="0"/>
          </reference>
          <reference field="6" count="1" selected="0">
            <x v="29"/>
          </reference>
        </references>
      </pivotArea>
    </chartFormat>
    <chartFormat chart="2" format="30" series="1">
      <pivotArea type="data" outline="0" fieldPosition="0">
        <references count="2">
          <reference field="4294967294" count="1" selected="0">
            <x v="0"/>
          </reference>
          <reference field="6" count="1" selected="0">
            <x v="30"/>
          </reference>
        </references>
      </pivotArea>
    </chartFormat>
    <chartFormat chart="2" format="3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60E2021-0FA3-4310-9AB5-1D815548FEE4}"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4:B47" firstHeaderRow="1" firstDataRow="1" firstDataCol="1"/>
  <pivotFields count="16">
    <pivotField dataField="1" showAll="0"/>
    <pivotField numFmtId="14" showAll="0"/>
    <pivotField showAll="0"/>
    <pivotField showAll="0"/>
    <pivotField showAll="0"/>
    <pivotField showAll="0"/>
    <pivotField showAll="0"/>
    <pivotField showAll="0">
      <items count="6">
        <item x="4"/>
        <item x="0"/>
        <item x="2"/>
        <item x="1"/>
        <item x="3"/>
        <item t="default"/>
      </items>
    </pivotField>
    <pivotField showAll="0"/>
    <pivotField showAll="0">
      <items count="5">
        <item x="2"/>
        <item x="3"/>
        <item x="1"/>
        <item x="0"/>
        <item t="default"/>
      </items>
    </pivotField>
    <pivotField showAll="0"/>
    <pivotField showAll="0"/>
    <pivotField showAll="0">
      <items count="3">
        <item x="0"/>
        <item x="1"/>
        <item t="default"/>
      </items>
    </pivotField>
    <pivotField showAll="0"/>
    <pivotField showAll="0"/>
    <pivotField axis="axisRow" showAll="0">
      <items count="13">
        <item x="5"/>
        <item x="0"/>
        <item x="4"/>
        <item x="1"/>
        <item x="10"/>
        <item x="6"/>
        <item x="11"/>
        <item x="3"/>
        <item x="2"/>
        <item x="7"/>
        <item x="8"/>
        <item x="9"/>
        <item t="default"/>
      </items>
    </pivotField>
  </pivotFields>
  <rowFields count="1">
    <field x="15"/>
  </rowFields>
  <rowItems count="13">
    <i>
      <x/>
    </i>
    <i>
      <x v="1"/>
    </i>
    <i>
      <x v="2"/>
    </i>
    <i>
      <x v="3"/>
    </i>
    <i>
      <x v="4"/>
    </i>
    <i>
      <x v="5"/>
    </i>
    <i>
      <x v="6"/>
    </i>
    <i>
      <x v="7"/>
    </i>
    <i>
      <x v="8"/>
    </i>
    <i>
      <x v="9"/>
    </i>
    <i>
      <x v="10"/>
    </i>
    <i>
      <x v="11"/>
    </i>
    <i t="grand">
      <x/>
    </i>
  </rowItems>
  <colItems count="1">
    <i/>
  </colItems>
  <dataFields count="1">
    <dataField name="no. orders" fld="0" subtotal="count" baseField="15" baseItem="0"/>
  </dataFields>
  <chartFormats count="2">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7F7AAE1-7CD8-4F2B-9E2B-8F36B95339C7}"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D1:E33" firstHeaderRow="1" firstDataRow="1" firstDataCol="1"/>
  <pivotFields count="16">
    <pivotField showAll="0"/>
    <pivotField numFmtId="14" showAll="0"/>
    <pivotField showAll="0"/>
    <pivotField showAll="0"/>
    <pivotField showAll="0"/>
    <pivotField showAll="0"/>
    <pivotField axis="axisRow" showAll="0" sortType="descending">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autoSortScope>
        <pivotArea dataOnly="0" outline="0" fieldPosition="0">
          <references count="1">
            <reference field="4294967294" count="1" selected="0">
              <x v="0"/>
            </reference>
          </references>
        </pivotArea>
      </autoSortScope>
    </pivotField>
    <pivotField showAll="0">
      <items count="6">
        <item x="4"/>
        <item x="0"/>
        <item x="2"/>
        <item x="1"/>
        <item x="3"/>
        <item t="default"/>
      </items>
    </pivotField>
    <pivotField showAll="0"/>
    <pivotField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dataField="1" showAll="0"/>
    <pivotField showAll="0">
      <items count="13">
        <item x="5"/>
        <item x="0"/>
        <item x="4"/>
        <item x="1"/>
        <item x="10"/>
        <item x="6"/>
        <item x="11"/>
        <item x="3"/>
        <item x="2"/>
        <item x="7"/>
        <item x="8"/>
        <item x="9"/>
        <item t="default"/>
      </items>
    </pivotField>
  </pivotFields>
  <rowFields count="1">
    <field x="6"/>
  </rowFields>
  <rowItems count="32">
    <i>
      <x v="1"/>
    </i>
    <i>
      <x v="24"/>
    </i>
    <i>
      <x v="10"/>
    </i>
    <i>
      <x v="4"/>
    </i>
    <i>
      <x v="25"/>
    </i>
    <i>
      <x v="22"/>
    </i>
    <i>
      <x v="12"/>
    </i>
    <i>
      <x v="13"/>
    </i>
    <i>
      <x v="9"/>
    </i>
    <i>
      <x v="29"/>
    </i>
    <i>
      <x v="17"/>
    </i>
    <i>
      <x v="27"/>
    </i>
    <i>
      <x v="8"/>
    </i>
    <i>
      <x v="26"/>
    </i>
    <i>
      <x v="18"/>
    </i>
    <i>
      <x v="14"/>
    </i>
    <i>
      <x v="6"/>
    </i>
    <i>
      <x v="5"/>
    </i>
    <i>
      <x v="3"/>
    </i>
    <i>
      <x v="21"/>
    </i>
    <i>
      <x v="7"/>
    </i>
    <i>
      <x v="20"/>
    </i>
    <i>
      <x v="19"/>
    </i>
    <i>
      <x v="23"/>
    </i>
    <i>
      <x v="28"/>
    </i>
    <i>
      <x v="15"/>
    </i>
    <i>
      <x v="11"/>
    </i>
    <i>
      <x v="30"/>
    </i>
    <i>
      <x v="2"/>
    </i>
    <i>
      <x v="16"/>
    </i>
    <i>
      <x/>
    </i>
    <i t="grand">
      <x/>
    </i>
  </rowItems>
  <colItems count="1">
    <i/>
  </colItems>
  <dataFields count="1">
    <dataField name="Sum of total_profit" fld="14" baseField="0" baseItem="0" numFmtId="165"/>
  </dataFields>
  <formats count="2">
    <format dxfId="4">
      <pivotArea outline="0" collapsedLevelsAreSubtotals="1" fieldPosition="0"/>
    </format>
    <format dxfId="3">
      <pivotArea dataOnly="0" labelOnly="1" fieldPosition="0">
        <references count="1">
          <reference field="6" count="30">
            <x v="1"/>
            <x v="2"/>
            <x v="3"/>
            <x v="4"/>
            <x v="5"/>
            <x v="6"/>
            <x v="7"/>
            <x v="8"/>
            <x v="9"/>
            <x v="10"/>
            <x v="11"/>
            <x v="12"/>
            <x v="13"/>
            <x v="14"/>
            <x v="15"/>
            <x v="16"/>
            <x v="17"/>
            <x v="18"/>
            <x v="19"/>
            <x v="20"/>
            <x v="21"/>
            <x v="22"/>
            <x v="23"/>
            <x v="24"/>
            <x v="25"/>
            <x v="26"/>
            <x v="27"/>
            <x v="28"/>
            <x v="29"/>
            <x v="30"/>
          </reference>
        </references>
      </pivotArea>
    </format>
  </formats>
  <chartFormats count="2">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200B5F3-EFB7-4BE5-8972-59E68899996A}"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33" firstHeaderRow="1" firstDataRow="1" firstDataCol="1"/>
  <pivotFields count="16">
    <pivotField dataField="1" showAll="0"/>
    <pivotField numFmtId="14" showAll="0"/>
    <pivotField showAll="0"/>
    <pivotField showAll="0"/>
    <pivotField showAll="0"/>
    <pivotField showAll="0"/>
    <pivotField axis="axisRow" showAll="0" sortType="descending">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autoSortScope>
        <pivotArea dataOnly="0" outline="0" fieldPosition="0">
          <references count="1">
            <reference field="4294967294" count="1" selected="0">
              <x v="0"/>
            </reference>
          </references>
        </pivotArea>
      </autoSortScope>
    </pivotField>
    <pivotField showAll="0">
      <items count="6">
        <item x="4"/>
        <item x="0"/>
        <item x="2"/>
        <item x="1"/>
        <item x="3"/>
        <item t="default"/>
      </items>
    </pivotField>
    <pivotField showAll="0"/>
    <pivotField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6"/>
  </rowFields>
  <rowItems count="32">
    <i>
      <x v="22"/>
    </i>
    <i>
      <x v="24"/>
    </i>
    <i>
      <x v="17"/>
    </i>
    <i>
      <x v="25"/>
    </i>
    <i>
      <x v="3"/>
    </i>
    <i>
      <x v="21"/>
    </i>
    <i>
      <x v="20"/>
    </i>
    <i>
      <x v="12"/>
    </i>
    <i>
      <x v="9"/>
    </i>
    <i>
      <x v="4"/>
    </i>
    <i>
      <x v="1"/>
    </i>
    <i>
      <x v="27"/>
    </i>
    <i>
      <x v="10"/>
    </i>
    <i>
      <x v="26"/>
    </i>
    <i>
      <x v="29"/>
    </i>
    <i>
      <x v="7"/>
    </i>
    <i>
      <x v="14"/>
    </i>
    <i>
      <x v="8"/>
    </i>
    <i>
      <x v="13"/>
    </i>
    <i>
      <x v="6"/>
    </i>
    <i>
      <x v="15"/>
    </i>
    <i>
      <x v="18"/>
    </i>
    <i>
      <x v="23"/>
    </i>
    <i>
      <x v="19"/>
    </i>
    <i>
      <x v="28"/>
    </i>
    <i>
      <x v="5"/>
    </i>
    <i>
      <x v="2"/>
    </i>
    <i>
      <x v="11"/>
    </i>
    <i>
      <x v="16"/>
    </i>
    <i>
      <x v="30"/>
    </i>
    <i>
      <x/>
    </i>
    <i t="grand">
      <x/>
    </i>
  </rowItems>
  <colItems count="1">
    <i/>
  </colItems>
  <dataFields count="1">
    <dataField name="no. orders" fld="0" subtotal="count" baseField="6"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8DBF3E7-3623-4EA6-8638-2EC696A34A41}" name="PivotTable16"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20">
  <location ref="H9:K14" firstHeaderRow="1" firstDataRow="2" firstDataCol="1"/>
  <pivotFields count="16">
    <pivotField dataField="1" showAll="0"/>
    <pivotField numFmtId="14" showAll="0"/>
    <pivotField showAll="0"/>
    <pivotField showAll="0"/>
    <pivotField showAll="0"/>
    <pivotField showAll="0"/>
    <pivotField showAll="0"/>
    <pivotField showAll="0">
      <items count="6">
        <item x="4"/>
        <item x="0"/>
        <item x="2"/>
        <item x="1"/>
        <item x="3"/>
        <item t="default"/>
      </items>
    </pivotField>
    <pivotField showAll="0"/>
    <pivotField axis="axisRow" showAll="0">
      <items count="5">
        <item x="2"/>
        <item x="3"/>
        <item x="1"/>
        <item x="0"/>
        <item t="default"/>
      </items>
    </pivotField>
    <pivotField showAll="0">
      <items count="3">
        <item x="1"/>
        <item x="0"/>
        <item t="default"/>
      </items>
    </pivotField>
    <pivotField axis="axisCol" showAll="0">
      <items count="4">
        <item x="1"/>
        <item x="0"/>
        <item x="2"/>
        <item t="default"/>
      </items>
    </pivotField>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9"/>
  </rowFields>
  <rowItems count="4">
    <i>
      <x/>
    </i>
    <i>
      <x v="1"/>
    </i>
    <i>
      <x v="2"/>
    </i>
    <i>
      <x v="3"/>
    </i>
  </rowItems>
  <colFields count="1">
    <field x="11"/>
  </colFields>
  <colItems count="3">
    <i>
      <x/>
    </i>
    <i>
      <x v="1"/>
    </i>
    <i>
      <x v="2"/>
    </i>
  </colItems>
  <dataFields count="1">
    <dataField name="Count of Product_ID" fld="0" subtotal="count" baseField="9" baseItem="0"/>
  </dataFields>
  <chartFormats count="6">
    <chartFormat chart="3" format="0" series="1">
      <pivotArea type="data" outline="0" fieldPosition="0">
        <references count="2">
          <reference field="4294967294" count="1" selected="0">
            <x v="0"/>
          </reference>
          <reference field="11" count="1" selected="0">
            <x v="0"/>
          </reference>
        </references>
      </pivotArea>
    </chartFormat>
    <chartFormat chart="3" format="1" series="1">
      <pivotArea type="data" outline="0" fieldPosition="0">
        <references count="2">
          <reference field="4294967294" count="1" selected="0">
            <x v="0"/>
          </reference>
          <reference field="11" count="1" selected="0">
            <x v="1"/>
          </reference>
        </references>
      </pivotArea>
    </chartFormat>
    <chartFormat chart="3" format="2" series="1">
      <pivotArea type="data" outline="0" fieldPosition="0">
        <references count="2">
          <reference field="4294967294" count="1" selected="0">
            <x v="0"/>
          </reference>
          <reference field="11" count="1" selected="0">
            <x v="2"/>
          </reference>
        </references>
      </pivotArea>
    </chartFormat>
    <chartFormat chart="13" format="12" series="1">
      <pivotArea type="data" outline="0" fieldPosition="0">
        <references count="2">
          <reference field="4294967294" count="1" selected="0">
            <x v="0"/>
          </reference>
          <reference field="11" count="1" selected="0">
            <x v="0"/>
          </reference>
        </references>
      </pivotArea>
    </chartFormat>
    <chartFormat chart="13" format="13" series="1">
      <pivotArea type="data" outline="0" fieldPosition="0">
        <references count="2">
          <reference field="4294967294" count="1" selected="0">
            <x v="0"/>
          </reference>
          <reference field="11" count="1" selected="0">
            <x v="1"/>
          </reference>
        </references>
      </pivotArea>
    </chartFormat>
    <chartFormat chart="13" format="14"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5A9E74E-BAE1-4633-89D1-B4541CA94EAB}" name="PivotTable15"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22">
  <location ref="H1:I5" firstHeaderRow="1" firstDataRow="1" firstDataCol="1"/>
  <pivotFields count="16">
    <pivotField showAll="0"/>
    <pivotField numFmtId="14" showAll="0"/>
    <pivotField showAll="0"/>
    <pivotField showAll="0"/>
    <pivotField showAll="0"/>
    <pivotField showAll="0"/>
    <pivotField showAll="0"/>
    <pivotField showAll="0">
      <items count="6">
        <item x="4"/>
        <item x="0"/>
        <item x="2"/>
        <item x="1"/>
        <item x="3"/>
        <item t="default"/>
      </items>
    </pivotField>
    <pivotField showAll="0"/>
    <pivotField axis="axisRow"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dataField="1" showAll="0"/>
    <pivotField showAll="0">
      <items count="13">
        <item x="5"/>
        <item x="0"/>
        <item x="4"/>
        <item x="1"/>
        <item x="10"/>
        <item x="6"/>
        <item x="11"/>
        <item x="3"/>
        <item x="2"/>
        <item x="7"/>
        <item x="8"/>
        <item x="9"/>
        <item t="default"/>
      </items>
    </pivotField>
  </pivotFields>
  <rowFields count="1">
    <field x="9"/>
  </rowFields>
  <rowItems count="4">
    <i>
      <x/>
    </i>
    <i>
      <x v="1"/>
    </i>
    <i>
      <x v="2"/>
    </i>
    <i>
      <x v="3"/>
    </i>
  </rowItems>
  <colItems count="1">
    <i/>
  </colItems>
  <dataFields count="1">
    <dataField name="Sum of total_profit" fld="14" baseField="0" baseItem="0" numFmtId="165"/>
  </dataFields>
  <formats count="1">
    <format dxfId="2">
      <pivotArea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86B888B-E731-429D-9F1D-EDBC4DAFBAE5}" name="PivotTable1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29">
  <location ref="A1:B5" firstHeaderRow="1" firstDataRow="1" firstDataCol="1"/>
  <pivotFields count="16">
    <pivotField dataField="1" showAll="0"/>
    <pivotField numFmtId="14" showAll="0"/>
    <pivotField showAll="0"/>
    <pivotField showAll="0"/>
    <pivotField showAll="0"/>
    <pivotField showAll="0"/>
    <pivotField showAll="0"/>
    <pivotField showAll="0">
      <items count="6">
        <item x="4"/>
        <item x="0"/>
        <item x="2"/>
        <item x="1"/>
        <item x="3"/>
        <item t="default"/>
      </items>
    </pivotField>
    <pivotField showAll="0"/>
    <pivotField axis="axisRow"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9"/>
  </rowFields>
  <rowItems count="4">
    <i>
      <x/>
    </i>
    <i>
      <x v="1"/>
    </i>
    <i>
      <x v="2"/>
    </i>
    <i>
      <x v="3"/>
    </i>
  </rowItems>
  <colItems count="1">
    <i/>
  </colItems>
  <dataFields count="1">
    <dataField name="Count of Product_ID" fld="0" subtotal="count" showDataAs="percentOfTotal" baseField="7" baseItem="0" numFmtId="10"/>
  </dataFields>
  <chartFormats count="11">
    <chartFormat chart="2"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2" format="6" series="1">
      <pivotArea type="data" outline="0" fieldPosition="0">
        <references count="1">
          <reference field="4294967294" count="1" selected="0">
            <x v="0"/>
          </reference>
        </references>
      </pivotArea>
    </chartFormat>
    <chartFormat chart="22" format="7">
      <pivotArea type="data" outline="0" fieldPosition="0">
        <references count="2">
          <reference field="4294967294" count="1" selected="0">
            <x v="0"/>
          </reference>
          <reference field="9" count="1" selected="0">
            <x v="0"/>
          </reference>
        </references>
      </pivotArea>
    </chartFormat>
    <chartFormat chart="22" format="8">
      <pivotArea type="data" outline="0" fieldPosition="0">
        <references count="2">
          <reference field="4294967294" count="1" selected="0">
            <x v="0"/>
          </reference>
          <reference field="9" count="1" selected="0">
            <x v="1"/>
          </reference>
        </references>
      </pivotArea>
    </chartFormat>
    <chartFormat chart="22" format="9">
      <pivotArea type="data" outline="0" fieldPosition="0">
        <references count="2">
          <reference field="4294967294" count="1" selected="0">
            <x v="0"/>
          </reference>
          <reference field="9" count="1" selected="0">
            <x v="2"/>
          </reference>
        </references>
      </pivotArea>
    </chartFormat>
    <chartFormat chart="22" format="10">
      <pivotArea type="data" outline="0" fieldPosition="0">
        <references count="2">
          <reference field="4294967294" count="1" selected="0">
            <x v="0"/>
          </reference>
          <reference field="9" count="1" selected="0">
            <x v="3"/>
          </reference>
        </references>
      </pivotArea>
    </chartFormat>
    <chartFormat chart="19" format="5">
      <pivotArea type="data" outline="0" fieldPosition="0">
        <references count="2">
          <reference field="4294967294" count="1" selected="0">
            <x v="0"/>
          </reference>
          <reference field="9" count="1" selected="0">
            <x v="0"/>
          </reference>
        </references>
      </pivotArea>
    </chartFormat>
    <chartFormat chart="19" format="6">
      <pivotArea type="data" outline="0" fieldPosition="0">
        <references count="2">
          <reference field="4294967294" count="1" selected="0">
            <x v="0"/>
          </reference>
          <reference field="9" count="1" selected="0">
            <x v="1"/>
          </reference>
        </references>
      </pivotArea>
    </chartFormat>
    <chartFormat chart="19" format="7">
      <pivotArea type="data" outline="0" fieldPosition="0">
        <references count="2">
          <reference field="4294967294" count="1" selected="0">
            <x v="0"/>
          </reference>
          <reference field="9" count="1" selected="0">
            <x v="2"/>
          </reference>
        </references>
      </pivotArea>
    </chartFormat>
    <chartFormat chart="19" format="8">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D0DD421-ECCE-4210-9872-B756345BBD4F}"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2:D38" firstHeaderRow="1" firstDataRow="2" firstDataCol="1"/>
  <pivotFields count="16">
    <pivotField dataField="1" showAll="0"/>
    <pivotField numFmtId="14" showAll="0"/>
    <pivotField showAll="0"/>
    <pivotField showAll="0"/>
    <pivotField showAll="0"/>
    <pivotField showAll="0"/>
    <pivotField showAll="0"/>
    <pivotField showAll="0">
      <items count="6">
        <item x="4"/>
        <item x="0"/>
        <item x="2"/>
        <item x="1"/>
        <item x="3"/>
        <item t="default"/>
      </items>
    </pivotField>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items count="5">
        <item x="2"/>
        <item x="3"/>
        <item x="1"/>
        <item x="0"/>
        <item t="default"/>
      </items>
    </pivotField>
    <pivotField showAll="0">
      <items count="3">
        <item x="1"/>
        <item x="0"/>
        <item t="default"/>
      </items>
    </pivotField>
    <pivotField showAll="0"/>
    <pivotField axis="axisCol"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8"/>
  </rowFields>
  <rowItems count="5">
    <i>
      <x v="1"/>
    </i>
    <i>
      <x/>
    </i>
    <i>
      <x v="3"/>
    </i>
    <i>
      <x v="2"/>
    </i>
    <i t="grand">
      <x/>
    </i>
  </rowItems>
  <colFields count="1">
    <field x="12"/>
  </colFields>
  <colItems count="3">
    <i>
      <x/>
    </i>
    <i>
      <x v="1"/>
    </i>
    <i t="grand">
      <x/>
    </i>
  </colItems>
  <dataFields count="1">
    <dataField name="Count of Product_ID" fld="0" subtotal="count" baseField="8" baseItem="0"/>
  </dataFields>
  <chartFormats count="4">
    <chartFormat chart="3" format="0" series="1">
      <pivotArea type="data" outline="0" fieldPosition="0">
        <references count="2">
          <reference field="4294967294" count="1" selected="0">
            <x v="0"/>
          </reference>
          <reference field="12" count="1" selected="0">
            <x v="0"/>
          </reference>
        </references>
      </pivotArea>
    </chartFormat>
    <chartFormat chart="3" format="1" series="1">
      <pivotArea type="data" outline="0" fieldPosition="0">
        <references count="2">
          <reference field="4294967294" count="1" selected="0">
            <x v="0"/>
          </reference>
          <reference field="12" count="1" selected="0">
            <x v="1"/>
          </reference>
        </references>
      </pivotArea>
    </chartFormat>
    <chartFormat chart="6" format="4" series="1">
      <pivotArea type="data" outline="0" fieldPosition="0">
        <references count="2">
          <reference field="4294967294" count="1" selected="0">
            <x v="0"/>
          </reference>
          <reference field="12" count="1" selected="0">
            <x v="0"/>
          </reference>
        </references>
      </pivotArea>
    </chartFormat>
    <chartFormat chart="6"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EA0683B-7678-4D7B-B0E3-79ED0FA730F8}"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A16:E29" firstHeaderRow="1" firstDataRow="2" firstDataCol="1"/>
  <pivotFields count="16">
    <pivotField showAll="0"/>
    <pivotField numFmtId="14" showAll="0"/>
    <pivotField showAll="0"/>
    <pivotField showAll="0"/>
    <pivotField showAll="0"/>
    <pivotField showAll="0"/>
    <pivotField showAll="0"/>
    <pivotField showAll="0">
      <items count="6">
        <item x="4"/>
        <item x="0"/>
        <item x="2"/>
        <item x="1"/>
        <item x="3"/>
        <item t="default"/>
      </items>
    </pivotField>
    <pivotField axis="axisCol" showAll="0">
      <items count="5">
        <item x="3"/>
        <item x="0"/>
        <item x="2"/>
        <item x="1"/>
        <item t="default"/>
      </items>
    </pivotField>
    <pivotField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dataField="1" showAll="0"/>
    <pivotField axis="axisRow" showAll="0" sortType="descending">
      <items count="13">
        <item x="5"/>
        <item x="0"/>
        <item x="4"/>
        <item x="1"/>
        <item x="10"/>
        <item x="6"/>
        <item x="11"/>
        <item x="3"/>
        <item x="2"/>
        <item x="7"/>
        <item x="8"/>
        <item x="9"/>
        <item t="default"/>
      </items>
      <autoSortScope>
        <pivotArea dataOnly="0" outline="0" fieldPosition="0">
          <references count="1">
            <reference field="4294967294" count="1" selected="0">
              <x v="0"/>
            </reference>
          </references>
        </pivotArea>
      </autoSortScope>
    </pivotField>
  </pivotFields>
  <rowFields count="1">
    <field x="15"/>
  </rowFields>
  <rowItems count="12">
    <i>
      <x/>
    </i>
    <i>
      <x v="5"/>
    </i>
    <i>
      <x v="11"/>
    </i>
    <i>
      <x v="9"/>
    </i>
    <i>
      <x v="7"/>
    </i>
    <i>
      <x v="10"/>
    </i>
    <i>
      <x v="2"/>
    </i>
    <i>
      <x v="3"/>
    </i>
    <i>
      <x v="4"/>
    </i>
    <i>
      <x v="1"/>
    </i>
    <i>
      <x v="8"/>
    </i>
    <i>
      <x v="6"/>
    </i>
  </rowItems>
  <colFields count="1">
    <field x="8"/>
  </colFields>
  <colItems count="4">
    <i>
      <x/>
    </i>
    <i>
      <x v="1"/>
    </i>
    <i>
      <x v="2"/>
    </i>
    <i>
      <x v="3"/>
    </i>
  </colItems>
  <dataFields count="1">
    <dataField name="Sum of total_profit" fld="14" baseField="0" baseItem="0"/>
  </dataFields>
  <chartFormats count="8">
    <chartFormat chart="2" format="0" series="1">
      <pivotArea type="data" outline="0" fieldPosition="0">
        <references count="2">
          <reference field="4294967294" count="1" selected="0">
            <x v="0"/>
          </reference>
          <reference field="8" count="1" selected="0">
            <x v="0"/>
          </reference>
        </references>
      </pivotArea>
    </chartFormat>
    <chartFormat chart="2" format="1" series="1">
      <pivotArea type="data" outline="0" fieldPosition="0">
        <references count="2">
          <reference field="4294967294" count="1" selected="0">
            <x v="0"/>
          </reference>
          <reference field="8" count="1" selected="0">
            <x v="1"/>
          </reference>
        </references>
      </pivotArea>
    </chartFormat>
    <chartFormat chart="2" format="2" series="1">
      <pivotArea type="data" outline="0" fieldPosition="0">
        <references count="2">
          <reference field="4294967294" count="1" selected="0">
            <x v="0"/>
          </reference>
          <reference field="8" count="1" selected="0">
            <x v="2"/>
          </reference>
        </references>
      </pivotArea>
    </chartFormat>
    <chartFormat chart="2" format="3" series="1">
      <pivotArea type="data" outline="0" fieldPosition="0">
        <references count="2">
          <reference field="4294967294" count="1" selected="0">
            <x v="0"/>
          </reference>
          <reference field="8" count="1" selected="0">
            <x v="3"/>
          </reference>
        </references>
      </pivotArea>
    </chartFormat>
    <chartFormat chart="6" format="8" series="1">
      <pivotArea type="data" outline="0" fieldPosition="0">
        <references count="2">
          <reference field="4294967294" count="1" selected="0">
            <x v="0"/>
          </reference>
          <reference field="8" count="1" selected="0">
            <x v="0"/>
          </reference>
        </references>
      </pivotArea>
    </chartFormat>
    <chartFormat chart="6" format="9" series="1">
      <pivotArea type="data" outline="0" fieldPosition="0">
        <references count="2">
          <reference field="4294967294" count="1" selected="0">
            <x v="0"/>
          </reference>
          <reference field="8" count="1" selected="0">
            <x v="1"/>
          </reference>
        </references>
      </pivotArea>
    </chartFormat>
    <chartFormat chart="6" format="10" series="1">
      <pivotArea type="data" outline="0" fieldPosition="0">
        <references count="2">
          <reference field="4294967294" count="1" selected="0">
            <x v="0"/>
          </reference>
          <reference field="8" count="1" selected="0">
            <x v="2"/>
          </reference>
        </references>
      </pivotArea>
    </chartFormat>
    <chartFormat chart="6" format="11" series="1">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C8EC094-B641-446A-B800-99774179AD1A}"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B13" firstHeaderRow="1" firstDataRow="1" firstDataCol="1"/>
  <pivotFields count="16">
    <pivotField showAll="0"/>
    <pivotField numFmtId="14" showAll="0"/>
    <pivotField showAll="0"/>
    <pivotField showAll="0"/>
    <pivotField showAll="0"/>
    <pivotField showAll="0"/>
    <pivotField showAll="0"/>
    <pivotField showAll="0">
      <items count="6">
        <item x="4"/>
        <item x="0"/>
        <item x="2"/>
        <item x="1"/>
        <item x="3"/>
        <item t="default"/>
      </items>
    </pivotField>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dataField="1" showAll="0"/>
    <pivotField showAll="0">
      <items count="13">
        <item x="5"/>
        <item x="0"/>
        <item x="4"/>
        <item x="1"/>
        <item x="10"/>
        <item x="6"/>
        <item x="11"/>
        <item x="3"/>
        <item x="2"/>
        <item x="7"/>
        <item x="8"/>
        <item x="9"/>
        <item t="default"/>
      </items>
    </pivotField>
  </pivotFields>
  <rowFields count="1">
    <field x="8"/>
  </rowFields>
  <rowItems count="5">
    <i>
      <x v="1"/>
    </i>
    <i>
      <x v="3"/>
    </i>
    <i>
      <x/>
    </i>
    <i>
      <x v="2"/>
    </i>
    <i t="grand">
      <x/>
    </i>
  </rowItems>
  <colItems count="1">
    <i/>
  </colItems>
  <dataFields count="1">
    <dataField name="Sum of total_profit" fld="14" baseField="0" baseItem="0" numFmtId="165"/>
  </dataFields>
  <formats count="2">
    <format dxfId="1">
      <pivotArea outline="0" collapsedLevelsAreSubtotals="1" fieldPosition="0"/>
    </format>
    <format dxfId="0">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6013692-1392-4FC1-AA2A-ED365E13B6D8}"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B6" firstHeaderRow="1" firstDataRow="1" firstDataCol="1"/>
  <pivotFields count="16">
    <pivotField dataField="1" showAll="0"/>
    <pivotField numFmtId="14" showAll="0"/>
    <pivotField showAll="0"/>
    <pivotField showAll="0"/>
    <pivotField showAll="0"/>
    <pivotField showAll="0"/>
    <pivotField showAll="0"/>
    <pivotField showAll="0">
      <items count="6">
        <item x="4"/>
        <item x="0"/>
        <item x="2"/>
        <item x="1"/>
        <item x="3"/>
        <item t="default"/>
      </items>
    </pivotField>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items count="5">
        <item x="2"/>
        <item x="3"/>
        <item x="1"/>
        <item x="0"/>
        <item t="default"/>
      </items>
    </pivotField>
    <pivotField showAll="0">
      <items count="3">
        <item x="1"/>
        <item x="0"/>
        <item t="default"/>
      </items>
    </pivotField>
    <pivotField showAll="0"/>
    <pivotField showAll="0">
      <items count="3">
        <item x="0"/>
        <item x="1"/>
        <item t="default"/>
      </items>
    </pivotField>
    <pivotField showAll="0"/>
    <pivotField showAll="0"/>
    <pivotField showAll="0">
      <items count="13">
        <item x="5"/>
        <item x="0"/>
        <item x="4"/>
        <item x="1"/>
        <item x="10"/>
        <item x="6"/>
        <item x="11"/>
        <item x="3"/>
        <item x="2"/>
        <item x="7"/>
        <item x="8"/>
        <item x="9"/>
        <item t="default"/>
      </items>
    </pivotField>
  </pivotFields>
  <rowFields count="1">
    <field x="8"/>
  </rowFields>
  <rowItems count="5">
    <i>
      <x v="1"/>
    </i>
    <i>
      <x/>
    </i>
    <i>
      <x v="3"/>
    </i>
    <i>
      <x v="2"/>
    </i>
    <i t="grand">
      <x/>
    </i>
  </rowItems>
  <colItems count="1">
    <i/>
  </colItems>
  <dataFields count="1">
    <dataField name="Count of Product_ID" fld="0" subtotal="count" showDataAs="percentOfTotal" baseField="8" baseItem="0" numFmtId="10"/>
  </dataFields>
  <chartFormats count="21">
    <chartFormat chart="2"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2" format="2">
      <pivotArea type="data" outline="0" fieldPosition="0">
        <references count="2">
          <reference field="4294967294" count="1" selected="0">
            <x v="0"/>
          </reference>
          <reference field="8" count="1" selected="0">
            <x v="1"/>
          </reference>
        </references>
      </pivotArea>
    </chartFormat>
    <chartFormat chart="12" format="3">
      <pivotArea type="data" outline="0" fieldPosition="0">
        <references count="2">
          <reference field="4294967294" count="1" selected="0">
            <x v="0"/>
          </reference>
          <reference field="8" count="1" selected="0">
            <x v="0"/>
          </reference>
        </references>
      </pivotArea>
    </chartFormat>
    <chartFormat chart="12" format="4">
      <pivotArea type="data" outline="0" fieldPosition="0">
        <references count="2">
          <reference field="4294967294" count="1" selected="0">
            <x v="0"/>
          </reference>
          <reference field="8" count="1" selected="0">
            <x v="3"/>
          </reference>
        </references>
      </pivotArea>
    </chartFormat>
    <chartFormat chart="12" format="5">
      <pivotArea type="data" outline="0" fieldPosition="0">
        <references count="2">
          <reference field="4294967294" count="1" selected="0">
            <x v="0"/>
          </reference>
          <reference field="8"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8" count="1" selected="0">
            <x v="1"/>
          </reference>
        </references>
      </pivotArea>
    </chartFormat>
    <chartFormat chart="13" format="8">
      <pivotArea type="data" outline="0" fieldPosition="0">
        <references count="2">
          <reference field="4294967294" count="1" selected="0">
            <x v="0"/>
          </reference>
          <reference field="8" count="1" selected="0">
            <x v="0"/>
          </reference>
        </references>
      </pivotArea>
    </chartFormat>
    <chartFormat chart="13" format="9">
      <pivotArea type="data" outline="0" fieldPosition="0">
        <references count="2">
          <reference field="4294967294" count="1" selected="0">
            <x v="0"/>
          </reference>
          <reference field="8" count="1" selected="0">
            <x v="3"/>
          </reference>
        </references>
      </pivotArea>
    </chartFormat>
    <chartFormat chart="13" format="10">
      <pivotArea type="data" outline="0" fieldPosition="0">
        <references count="2">
          <reference field="4294967294" count="1" selected="0">
            <x v="0"/>
          </reference>
          <reference field="8" count="1" selected="0">
            <x v="2"/>
          </reference>
        </references>
      </pivotArea>
    </chartFormat>
    <chartFormat chart="14" format="6" series="1">
      <pivotArea type="data" outline="0" fieldPosition="0">
        <references count="1">
          <reference field="4294967294" count="1" selected="0">
            <x v="0"/>
          </reference>
        </references>
      </pivotArea>
    </chartFormat>
    <chartFormat chart="14" format="7">
      <pivotArea type="data" outline="0" fieldPosition="0">
        <references count="2">
          <reference field="4294967294" count="1" selected="0">
            <x v="0"/>
          </reference>
          <reference field="8" count="1" selected="0">
            <x v="1"/>
          </reference>
        </references>
      </pivotArea>
    </chartFormat>
    <chartFormat chart="14" format="8">
      <pivotArea type="data" outline="0" fieldPosition="0">
        <references count="2">
          <reference field="4294967294" count="1" selected="0">
            <x v="0"/>
          </reference>
          <reference field="8" count="1" selected="0">
            <x v="0"/>
          </reference>
        </references>
      </pivotArea>
    </chartFormat>
    <chartFormat chart="14" format="9">
      <pivotArea type="data" outline="0" fieldPosition="0">
        <references count="2">
          <reference field="4294967294" count="1" selected="0">
            <x v="0"/>
          </reference>
          <reference field="8" count="1" selected="0">
            <x v="3"/>
          </reference>
        </references>
      </pivotArea>
    </chartFormat>
    <chartFormat chart="14" format="10">
      <pivotArea type="data" outline="0" fieldPosition="0">
        <references count="2">
          <reference field="4294967294" count="1" selected="0">
            <x v="0"/>
          </reference>
          <reference field="8" count="1" selected="0">
            <x v="2"/>
          </reference>
        </references>
      </pivotArea>
    </chartFormat>
    <chartFormat chart="6" format="5">
      <pivotArea type="data" outline="0" fieldPosition="0">
        <references count="2">
          <reference field="4294967294" count="1" selected="0">
            <x v="0"/>
          </reference>
          <reference field="8" count="1" selected="0">
            <x v="1"/>
          </reference>
        </references>
      </pivotArea>
    </chartFormat>
    <chartFormat chart="6" format="6">
      <pivotArea type="data" outline="0" fieldPosition="0">
        <references count="2">
          <reference field="4294967294" count="1" selected="0">
            <x v="0"/>
          </reference>
          <reference field="8" count="1" selected="0">
            <x v="0"/>
          </reference>
        </references>
      </pivotArea>
    </chartFormat>
    <chartFormat chart="6" format="7">
      <pivotArea type="data" outline="0" fieldPosition="0">
        <references count="2">
          <reference field="4294967294" count="1" selected="0">
            <x v="0"/>
          </reference>
          <reference field="8" count="1" selected="0">
            <x v="3"/>
          </reference>
        </references>
      </pivotArea>
    </chartFormat>
    <chartFormat chart="6" format="8">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 xr10:uid="{36492D12-CCDF-44F6-9C62-B37DCC549D13}" sourceName="Discount">
  <pivotTables>
    <pivotTable tabId="4" name="PivotTable20"/>
  </pivotTables>
  <data>
    <tabular pivotCacheId="102001221">
      <items count="31">
        <i x="11" s="1"/>
        <i x="30" s="1"/>
        <i x="3" s="1"/>
        <i x="21" s="1"/>
        <i x="14" s="1"/>
        <i x="8" s="1"/>
        <i x="18" s="1"/>
        <i x="17" s="1"/>
        <i x="4" s="1"/>
        <i x="0" s="1"/>
        <i x="15" s="1"/>
        <i x="1" s="1"/>
        <i x="7" s="1"/>
        <i x="9" s="1"/>
        <i x="6" s="1"/>
        <i x="25" s="1"/>
        <i x="28" s="1"/>
        <i x="22" s="1"/>
        <i x="13" s="1"/>
        <i x="27" s="1"/>
        <i x="2" s="1"/>
        <i x="5" s="1"/>
        <i x="20" s="1"/>
        <i x="10" s="1"/>
        <i x="19" s="1"/>
        <i x="26" s="1"/>
        <i x="16" s="1"/>
        <i x="29" s="1"/>
        <i x="24" s="1"/>
        <i x="12" s="1"/>
        <i x="2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6F626A3-50EC-4DEC-9E24-EA011A09661B}" sourceName="month">
  <pivotTables>
    <pivotTable tabId="3" name="PivotTable21"/>
    <pivotTable tabId="3" name="PivotTable3"/>
    <pivotTable tabId="3" name="PivotTable8"/>
    <pivotTable tabId="3" name="PivotTable9"/>
    <pivotTable tabId="7" name="PivotTable14"/>
    <pivotTable tabId="7" name="PivotTable15"/>
    <pivotTable tabId="7" name="PivotTable16"/>
    <pivotTable tabId="8" name="PivotTable18"/>
    <pivotTable tabId="8" name="PivotTable19"/>
    <pivotTable tabId="5" name="PivotTable10"/>
    <pivotTable tabId="5" name="PivotTable11"/>
    <pivotTable tabId="5" name="PivotTable12"/>
    <pivotTable tabId="5" name="PivotTable13"/>
    <pivotTable tabId="4" name="PivotTable17"/>
    <pivotTable tabId="4" name="PivotTable20"/>
    <pivotTable tabId="4" name="PivotTable4"/>
    <pivotTable tabId="4" name="PivotTable7"/>
    <pivotTable tabId="3" name="PivotTable22"/>
  </pivotTables>
  <data>
    <tabular pivotCacheId="102001221">
      <items count="12">
        <i x="5" s="1"/>
        <i x="0" s="1"/>
        <i x="4" s="1"/>
        <i x="1" s="1"/>
        <i x="10" s="1"/>
        <i x="6" s="1"/>
        <i x="11" s="1"/>
        <i x="3" s="1"/>
        <i x="2" s="1"/>
        <i x="7" s="1"/>
        <i x="8" s="1"/>
        <i x="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1" xr10:uid="{2FD1173A-EEF3-4E40-80D9-226AE6564FCC}" sourceName="Discount">
  <pivotTables>
    <pivotTable tabId="3" name="PivotTable21"/>
    <pivotTable tabId="3" name="PivotTable3"/>
    <pivotTable tabId="3" name="PivotTable8"/>
    <pivotTable tabId="3" name="PivotTable9"/>
    <pivotTable tabId="3" name="PivotTable22"/>
  </pivotTables>
  <data>
    <tabular pivotCacheId="102001221">
      <items count="31">
        <i x="11" s="1"/>
        <i x="30" s="1"/>
        <i x="3" s="1"/>
        <i x="21" s="1"/>
        <i x="14" s="1"/>
        <i x="8" s="1"/>
        <i x="18" s="1"/>
        <i x="17" s="1"/>
        <i x="4" s="1"/>
        <i x="0" s="1"/>
        <i x="15" s="1"/>
        <i x="1" s="1"/>
        <i x="7" s="1"/>
        <i x="9" s="1"/>
        <i x="6" s="1"/>
        <i x="25" s="1"/>
        <i x="28" s="1"/>
        <i x="22" s="1"/>
        <i x="13" s="1"/>
        <i x="27" s="1"/>
        <i x="2" s="1"/>
        <i x="5" s="1"/>
        <i x="20" s="1"/>
        <i x="10" s="1"/>
        <i x="19" s="1"/>
        <i x="26" s="1"/>
        <i x="16" s="1"/>
        <i x="29" s="1"/>
        <i x="24" s="1"/>
        <i x="12" s="1"/>
        <i x="2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5" xr10:uid="{0CC21030-29AB-454C-AAAB-AAB596D0C9F1}" cache="Slicer_month" caption="month" style="SlicerStyleLight5" rowHeight="257175"/>
  <slicer name="Discount 6" xr10:uid="{08525A54-05EA-443A-9EF0-13729262F91E}" cache="Slicer_Discount1" caption="Discount" style="SlicerStyleLight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465EC26-1AD1-4C33-919B-76FB153A7690}" cache="Slicer_month" caption="month" style="SlicerStyleLight5" rowHeight="257175"/>
  <slicer name="Discount 1" xr10:uid="{FACAFFDC-62CE-4062-BAF7-438DB10E9FBE}" cache="Slicer_Discount1" caption="Discount" style="SlicerStyleLight5"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A390B7AC-F91B-4961-8583-3D2EECDF7EF6}" cache="Slicer_month" caption="month" showCaption="0" style="SlicerStyleLight5" rowHeight="257175"/>
  <slicer name="Discount 4" xr10:uid="{768FA11B-E7B4-4415-A0FC-9905F1D1DB3B}" cache="Slicer_Discount1" caption="Discount" showCaption="0" style="SlicerStyleLight5"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4" xr10:uid="{AB14D589-2113-42BF-B1C1-778231126BD9}" cache="Slicer_month" caption="month" showCaption="0" style="SlicerStyleLight5" rowHeight="257175"/>
  <slicer name="Discount 5" xr10:uid="{12707725-331D-4280-8F7D-8D882375A74A}" cache="Slicer_Discount1" caption="Discount" showCaption="0" style="SlicerStyleLight5"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ount" xr10:uid="{2F148546-DD92-4C1B-A48A-841683643B13}" cache="Slicer_Discount" caption="Discount"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3A2544-10A6-4C4E-BCA4-A7D564E15D76}" name="Table1" displayName="Table1" ref="A1:M1001" totalsRowShown="0">
  <autoFilter ref="A1:M1001" xr:uid="{853A2544-10A6-4C4E-BCA4-A7D564E15D76}"/>
  <tableColumns count="13">
    <tableColumn id="1" xr3:uid="{B12969ED-3550-4410-BE26-EEA89C95347A}" name="Product_ID"/>
    <tableColumn id="2" xr3:uid="{A445F61B-BEC7-4EED-8F9E-2D6D90C78E55}" name="Sale_Date" dataDxfId="24"/>
    <tableColumn id="3" xr3:uid="{89EAEB55-2782-4351-9DC8-4A185D5C0244}" name="Sales_Rep"/>
    <tableColumn id="4" xr3:uid="{0C592E72-581F-468E-B980-6A81358F51EB}" name="Region"/>
    <tableColumn id="5" xr3:uid="{F8D7A752-4B24-4E9A-9CF7-06A6DAE914DD}" name="Sales_Amount"/>
    <tableColumn id="6" xr3:uid="{AA7B05B5-66AF-410D-9060-F4F226C920FE}" name="Quantity_Sold"/>
    <tableColumn id="7" xr3:uid="{C4C3D473-0BAC-41CD-B538-3F5547C46171}" name="Product_Category"/>
    <tableColumn id="8" xr3:uid="{FAEC2737-74EB-4531-B247-3C1BFC41653C}" name="Unit_Cost"/>
    <tableColumn id="9" xr3:uid="{B8F0FB93-C479-4E87-B90A-7CF251046EBC}" name="Unit_Price"/>
    <tableColumn id="10" xr3:uid="{1D6A89AA-9700-4CAA-9607-EDA9B9ECFDD6}" name="Customer_Type"/>
    <tableColumn id="11" xr3:uid="{E54414DD-9686-4A40-8848-9B2958FEC538}" name="Discount"/>
    <tableColumn id="12" xr3:uid="{2BB41C58-FF4D-4A90-A281-725DD77B3B89}" name="Payment_Method"/>
    <tableColumn id="13" xr3:uid="{090D2D14-3266-4703-9CB3-98A8FCC84D7E}" name="Sales_Chann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2D78B61-A5CA-482F-B5D6-2172111DF6B7}" name="Table7" displayName="Table7" ref="A1:P1001" totalsRowShown="0">
  <autoFilter ref="A1:P1001" xr:uid="{02D78B61-A5CA-482F-B5D6-2172111DF6B7}"/>
  <tableColumns count="16">
    <tableColumn id="1" xr3:uid="{C9E0FB14-39CA-4E84-A812-D841966C4E04}" name="Product_ID"/>
    <tableColumn id="2" xr3:uid="{8D72AF64-0F42-4CAF-96CE-DD198970F6DB}" name="Sale_Date" dataDxfId="23"/>
    <tableColumn id="3" xr3:uid="{6D334850-BD1B-4C2B-B7E1-62A61F9B0747}" name="Sales_Amount" dataDxfId="22">
      <calculatedColumnFormula>(D2*F2)*(1-G2)</calculatedColumnFormula>
    </tableColumn>
    <tableColumn id="4" xr3:uid="{EB1CD37F-7C56-476C-A4AA-4BB23D22C581}" name="Quantity_Sold"/>
    <tableColumn id="5" xr3:uid="{9FBA380F-8357-4C81-892E-AC678B5BD761}" name="Unit_Cost"/>
    <tableColumn id="6" xr3:uid="{7019DD9B-0730-4228-8AEE-0E94A9AEC287}" name="Unit_Price"/>
    <tableColumn id="7" xr3:uid="{D60A96F4-1782-4AC0-A816-7F7FB42D0C34}" name="Discount"/>
    <tableColumn id="8" xr3:uid="{1BEBD874-5678-4446-B5FF-DA77D47830E1}" name="Sales_Rep" dataDxfId="21">
      <calculatedColumnFormula>PROPER(TRIM(sales_data!C2))</calculatedColumnFormula>
    </tableColumn>
    <tableColumn id="9" xr3:uid="{FA2DB8BB-1E7F-42D7-BA1C-D157AF255946}" name="Region" dataDxfId="20">
      <calculatedColumnFormula>PROPER(TRIM(sales_data!D2))</calculatedColumnFormula>
    </tableColumn>
    <tableColumn id="10" xr3:uid="{A1FF246F-ACA2-4D89-AD6E-E0C41C49DF3D}" name="Product_Category" dataDxfId="19">
      <calculatedColumnFormula>PROPER(TRIM(sales_data!G2))</calculatedColumnFormula>
    </tableColumn>
    <tableColumn id="11" xr3:uid="{6B878214-BC45-497D-B40A-2664268E61C1}" name="Customer_Type" dataDxfId="18">
      <calculatedColumnFormula>PROPER(TRIM(sales_data!J2))</calculatedColumnFormula>
    </tableColumn>
    <tableColumn id="12" xr3:uid="{1CF756AD-7567-458D-9CE1-753CC4B02B2C}" name="Payment_method" dataDxfId="17">
      <calculatedColumnFormula>PROPER(TRIM(sales_data!L2))</calculatedColumnFormula>
    </tableColumn>
    <tableColumn id="13" xr3:uid="{7A401883-1E14-4A9A-AB60-C33AE6DE7169}" name="sales_channel" dataDxfId="16">
      <calculatedColumnFormula>PROPER(TRIM(sales_data!M2))</calculatedColumnFormula>
    </tableColumn>
    <tableColumn id="14" xr3:uid="{41586044-7404-462E-B9F9-A64110D2FDEF}" name="unit_profit" dataDxfId="15">
      <calculatedColumnFormula>F2-E2</calculatedColumnFormula>
    </tableColumn>
    <tableColumn id="15" xr3:uid="{7F48F388-A92A-4091-A7CE-FD852AB227A2}" name="total_profit" dataDxfId="14">
      <calculatedColumnFormula>N2*D2</calculatedColumnFormula>
    </tableColumn>
    <tableColumn id="16" xr3:uid="{F26CB75D-ED25-4EF8-9DF8-95B7C395E3F5}" name="month" dataDxfId="13">
      <calculatedColumnFormula>TEXT(B2,"mmm")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5.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5.xml"/><Relationship Id="rId5" Type="http://schemas.openxmlformats.org/officeDocument/2006/relationships/drawing" Target="../drawings/drawing6.xml"/><Relationship Id="rId4"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drawing" Target="../drawings/drawing9.xml"/><Relationship Id="rId4"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0E231-5B23-4845-9951-839E68584D85}">
  <sheetPr codeName="Sheet1"/>
  <dimension ref="A1:R1001"/>
  <sheetViews>
    <sheetView workbookViewId="0">
      <selection activeCell="E49" sqref="E49"/>
    </sheetView>
  </sheetViews>
  <sheetFormatPr defaultRowHeight="15" x14ac:dyDescent="0.25"/>
  <cols>
    <col min="1" max="1" width="13" customWidth="1"/>
    <col min="2" max="2" width="12.140625" customWidth="1"/>
    <col min="3" max="3" width="12.42578125" customWidth="1"/>
    <col min="4" max="4" width="9.42578125" customWidth="1"/>
    <col min="5" max="5" width="15.85546875" customWidth="1"/>
    <col min="6" max="6" width="15.7109375" customWidth="1"/>
    <col min="7" max="7" width="19.140625" customWidth="1"/>
    <col min="8" max="8" width="14.42578125" customWidth="1"/>
    <col min="9" max="9" width="12.42578125" customWidth="1"/>
    <col min="10" max="10" width="17.28515625" customWidth="1"/>
    <col min="11" max="11" width="13.28515625" customWidth="1"/>
    <col min="12" max="12" width="18.7109375" customWidth="1"/>
    <col min="13" max="13" width="16.42578125" customWidth="1"/>
  </cols>
  <sheetData>
    <row r="1" spans="1:18" x14ac:dyDescent="0.25">
      <c r="A1" t="s">
        <v>0</v>
      </c>
      <c r="B1" t="s">
        <v>1</v>
      </c>
      <c r="C1" t="s">
        <v>2</v>
      </c>
      <c r="D1" t="s">
        <v>3</v>
      </c>
      <c r="E1" t="s">
        <v>4</v>
      </c>
      <c r="F1" t="s">
        <v>5</v>
      </c>
      <c r="G1" t="s">
        <v>6</v>
      </c>
      <c r="H1" t="s">
        <v>7</v>
      </c>
      <c r="I1" t="s">
        <v>8</v>
      </c>
      <c r="J1" t="s">
        <v>9</v>
      </c>
      <c r="K1" t="s">
        <v>10</v>
      </c>
      <c r="L1" t="s">
        <v>11</v>
      </c>
      <c r="M1" t="s">
        <v>12</v>
      </c>
    </row>
    <row r="2" spans="1:18" x14ac:dyDescent="0.25">
      <c r="A2">
        <v>1052</v>
      </c>
      <c r="B2" s="1">
        <v>44960</v>
      </c>
      <c r="C2" t="s">
        <v>13</v>
      </c>
      <c r="D2" t="s">
        <v>14</v>
      </c>
      <c r="E2">
        <v>5053.97</v>
      </c>
      <c r="F2">
        <v>18</v>
      </c>
      <c r="G2" t="s">
        <v>15</v>
      </c>
      <c r="H2">
        <v>152.75</v>
      </c>
      <c r="I2">
        <v>267.22000000000003</v>
      </c>
      <c r="J2" t="s">
        <v>16</v>
      </c>
      <c r="K2">
        <v>0.09</v>
      </c>
      <c r="L2" t="s">
        <v>17</v>
      </c>
      <c r="M2" t="s">
        <v>18</v>
      </c>
    </row>
    <row r="3" spans="1:18" x14ac:dyDescent="0.25">
      <c r="A3">
        <v>1093</v>
      </c>
      <c r="B3" s="1">
        <v>45037</v>
      </c>
      <c r="C3" t="s">
        <v>13</v>
      </c>
      <c r="D3" t="s">
        <v>19</v>
      </c>
      <c r="E3">
        <v>4384.0200000000004</v>
      </c>
      <c r="F3">
        <v>17</v>
      </c>
      <c r="G3" t="s">
        <v>15</v>
      </c>
      <c r="H3">
        <v>3816.39</v>
      </c>
      <c r="I3">
        <v>4209.4399999999996</v>
      </c>
      <c r="J3" t="s">
        <v>16</v>
      </c>
      <c r="K3">
        <v>0.11</v>
      </c>
      <c r="L3" t="s">
        <v>17</v>
      </c>
      <c r="M3" t="s">
        <v>20</v>
      </c>
    </row>
    <row r="4" spans="1:18" x14ac:dyDescent="0.25">
      <c r="A4">
        <v>1015</v>
      </c>
      <c r="B4" s="1">
        <v>45190</v>
      </c>
      <c r="C4" t="s">
        <v>21</v>
      </c>
      <c r="D4" t="s">
        <v>22</v>
      </c>
      <c r="E4">
        <v>4631.2299999999996</v>
      </c>
      <c r="F4">
        <v>30</v>
      </c>
      <c r="G4" t="s">
        <v>23</v>
      </c>
      <c r="H4">
        <v>261.56</v>
      </c>
      <c r="I4">
        <v>371.4</v>
      </c>
      <c r="J4" t="s">
        <v>16</v>
      </c>
      <c r="K4">
        <v>0.2</v>
      </c>
      <c r="L4" t="s">
        <v>24</v>
      </c>
      <c r="M4" t="s">
        <v>20</v>
      </c>
    </row>
    <row r="5" spans="1:18" x14ac:dyDescent="0.25">
      <c r="A5">
        <v>1072</v>
      </c>
      <c r="B5" s="1">
        <v>45162</v>
      </c>
      <c r="C5" t="s">
        <v>13</v>
      </c>
      <c r="D5" t="s">
        <v>22</v>
      </c>
      <c r="E5">
        <v>2167.94</v>
      </c>
      <c r="F5">
        <v>39</v>
      </c>
      <c r="G5" t="s">
        <v>25</v>
      </c>
      <c r="H5">
        <v>4330.03</v>
      </c>
      <c r="I5">
        <v>4467.75</v>
      </c>
      <c r="J5" t="s">
        <v>26</v>
      </c>
      <c r="K5">
        <v>0.02</v>
      </c>
      <c r="L5" t="s">
        <v>27</v>
      </c>
      <c r="M5" t="s">
        <v>20</v>
      </c>
    </row>
    <row r="6" spans="1:18" x14ac:dyDescent="0.25">
      <c r="A6">
        <v>1061</v>
      </c>
      <c r="B6" s="1">
        <v>45009</v>
      </c>
      <c r="C6" t="s">
        <v>28</v>
      </c>
      <c r="D6" t="s">
        <v>29</v>
      </c>
      <c r="E6">
        <v>3750.2</v>
      </c>
      <c r="F6">
        <v>13</v>
      </c>
      <c r="G6" t="s">
        <v>30</v>
      </c>
      <c r="H6">
        <v>637.37</v>
      </c>
      <c r="I6">
        <v>692.71</v>
      </c>
      <c r="J6" t="s">
        <v>26</v>
      </c>
      <c r="K6">
        <v>0.08</v>
      </c>
      <c r="L6" t="s">
        <v>27</v>
      </c>
      <c r="M6" t="s">
        <v>18</v>
      </c>
      <c r="O6">
        <f>COUNTBLANK(A1:A1000)</f>
        <v>0</v>
      </c>
      <c r="P6">
        <f>COUNTBLANK(B1:B1000)</f>
        <v>0</v>
      </c>
      <c r="Q6">
        <f>COUNTBLANK(C1:C1000)</f>
        <v>0</v>
      </c>
      <c r="R6">
        <f>COUNTBLANK(D1:D1000)</f>
        <v>0</v>
      </c>
    </row>
    <row r="7" spans="1:18" x14ac:dyDescent="0.25">
      <c r="A7">
        <v>1021</v>
      </c>
      <c r="B7" s="1">
        <v>44968</v>
      </c>
      <c r="C7" t="s">
        <v>28</v>
      </c>
      <c r="D7" t="s">
        <v>19</v>
      </c>
      <c r="E7">
        <v>3761.15</v>
      </c>
      <c r="F7">
        <v>32</v>
      </c>
      <c r="G7" t="s">
        <v>23</v>
      </c>
      <c r="H7">
        <v>900.79</v>
      </c>
      <c r="I7">
        <v>1106.51</v>
      </c>
      <c r="J7" t="s">
        <v>26</v>
      </c>
      <c r="K7">
        <v>0.21</v>
      </c>
      <c r="L7" t="s">
        <v>17</v>
      </c>
      <c r="M7" t="s">
        <v>18</v>
      </c>
    </row>
    <row r="8" spans="1:18" x14ac:dyDescent="0.25">
      <c r="A8">
        <v>1083</v>
      </c>
      <c r="B8" s="1">
        <v>45027</v>
      </c>
      <c r="C8" t="s">
        <v>13</v>
      </c>
      <c r="D8" t="s">
        <v>19</v>
      </c>
      <c r="E8">
        <v>618.30999999999995</v>
      </c>
      <c r="F8">
        <v>29</v>
      </c>
      <c r="G8" t="s">
        <v>15</v>
      </c>
      <c r="H8">
        <v>2408.81</v>
      </c>
      <c r="I8">
        <v>2624.09</v>
      </c>
      <c r="J8" t="s">
        <v>16</v>
      </c>
      <c r="K8">
        <v>0.14000000000000001</v>
      </c>
      <c r="L8" t="s">
        <v>17</v>
      </c>
      <c r="M8" t="s">
        <v>18</v>
      </c>
    </row>
    <row r="9" spans="1:18" x14ac:dyDescent="0.25">
      <c r="A9">
        <v>1087</v>
      </c>
      <c r="B9" s="1">
        <v>44932</v>
      </c>
      <c r="C9" t="s">
        <v>31</v>
      </c>
      <c r="D9" t="s">
        <v>22</v>
      </c>
      <c r="E9">
        <v>7698.92</v>
      </c>
      <c r="F9">
        <v>46</v>
      </c>
      <c r="G9" t="s">
        <v>15</v>
      </c>
      <c r="H9">
        <v>3702.51</v>
      </c>
      <c r="I9">
        <v>3964.65</v>
      </c>
      <c r="J9" t="s">
        <v>26</v>
      </c>
      <c r="K9">
        <v>0.12</v>
      </c>
      <c r="L9" t="s">
        <v>24</v>
      </c>
      <c r="M9" t="s">
        <v>18</v>
      </c>
    </row>
    <row r="10" spans="1:18" x14ac:dyDescent="0.25">
      <c r="A10">
        <v>1075</v>
      </c>
      <c r="B10" s="1">
        <v>45106</v>
      </c>
      <c r="C10" t="s">
        <v>21</v>
      </c>
      <c r="D10" t="s">
        <v>22</v>
      </c>
      <c r="E10">
        <v>4223.3900000000003</v>
      </c>
      <c r="F10">
        <v>30</v>
      </c>
      <c r="G10" t="s">
        <v>15</v>
      </c>
      <c r="H10">
        <v>738.06</v>
      </c>
      <c r="I10">
        <v>1095.44999999999</v>
      </c>
      <c r="J10" t="s">
        <v>26</v>
      </c>
      <c r="K10">
        <v>0.05</v>
      </c>
      <c r="L10" t="s">
        <v>24</v>
      </c>
      <c r="M10" t="s">
        <v>18</v>
      </c>
    </row>
    <row r="11" spans="1:18" x14ac:dyDescent="0.25">
      <c r="A11">
        <v>1075</v>
      </c>
      <c r="B11" s="1">
        <v>45208</v>
      </c>
      <c r="C11" t="s">
        <v>28</v>
      </c>
      <c r="D11" t="s">
        <v>19</v>
      </c>
      <c r="E11">
        <v>8239.58</v>
      </c>
      <c r="F11">
        <v>18</v>
      </c>
      <c r="G11" t="s">
        <v>25</v>
      </c>
      <c r="H11">
        <v>2228.35</v>
      </c>
      <c r="I11">
        <v>2682.34</v>
      </c>
      <c r="J11" t="s">
        <v>26</v>
      </c>
      <c r="K11">
        <v>0.13</v>
      </c>
      <c r="L11" t="s">
        <v>24</v>
      </c>
      <c r="M11" t="s">
        <v>18</v>
      </c>
    </row>
    <row r="12" spans="1:18" x14ac:dyDescent="0.25">
      <c r="A12">
        <v>1088</v>
      </c>
      <c r="B12" s="1">
        <v>45246</v>
      </c>
      <c r="C12" t="s">
        <v>31</v>
      </c>
      <c r="D12" t="s">
        <v>14</v>
      </c>
      <c r="E12">
        <v>8518.4500000000007</v>
      </c>
      <c r="F12">
        <v>13</v>
      </c>
      <c r="G12" t="s">
        <v>15</v>
      </c>
      <c r="H12">
        <v>2440.11</v>
      </c>
      <c r="I12">
        <v>2517.6</v>
      </c>
      <c r="J12" t="s">
        <v>26</v>
      </c>
      <c r="K12">
        <v>0.23</v>
      </c>
      <c r="L12" t="s">
        <v>24</v>
      </c>
      <c r="M12" t="s">
        <v>20</v>
      </c>
    </row>
    <row r="13" spans="1:18" x14ac:dyDescent="0.25">
      <c r="A13">
        <v>1100</v>
      </c>
      <c r="B13" s="1">
        <v>45152</v>
      </c>
      <c r="C13" t="s">
        <v>13</v>
      </c>
      <c r="D13" t="s">
        <v>19</v>
      </c>
      <c r="E13">
        <v>2198.7399999999998</v>
      </c>
      <c r="F13">
        <v>43</v>
      </c>
      <c r="G13" t="s">
        <v>23</v>
      </c>
      <c r="H13">
        <v>1100.81</v>
      </c>
      <c r="I13">
        <v>1137.44</v>
      </c>
      <c r="J13" t="s">
        <v>16</v>
      </c>
      <c r="K13">
        <v>0.08</v>
      </c>
      <c r="L13" t="s">
        <v>24</v>
      </c>
      <c r="M13" t="s">
        <v>18</v>
      </c>
    </row>
    <row r="14" spans="1:18" x14ac:dyDescent="0.25">
      <c r="A14">
        <v>1024</v>
      </c>
      <c r="B14" s="1">
        <v>45241</v>
      </c>
      <c r="C14" t="s">
        <v>31</v>
      </c>
      <c r="D14" t="s">
        <v>19</v>
      </c>
      <c r="E14">
        <v>6607.8</v>
      </c>
      <c r="F14">
        <v>21</v>
      </c>
      <c r="G14" t="s">
        <v>23</v>
      </c>
      <c r="H14">
        <v>622.01</v>
      </c>
      <c r="I14">
        <v>641.09</v>
      </c>
      <c r="J14" t="s">
        <v>16</v>
      </c>
      <c r="K14">
        <v>0</v>
      </c>
      <c r="L14" t="s">
        <v>24</v>
      </c>
      <c r="M14" t="s">
        <v>20</v>
      </c>
    </row>
    <row r="15" spans="1:18" x14ac:dyDescent="0.25">
      <c r="A15">
        <v>1003</v>
      </c>
      <c r="B15" s="1">
        <v>45291</v>
      </c>
      <c r="C15" t="s">
        <v>32</v>
      </c>
      <c r="D15" t="s">
        <v>22</v>
      </c>
      <c r="E15">
        <v>4775.59</v>
      </c>
      <c r="F15">
        <v>30</v>
      </c>
      <c r="G15" t="s">
        <v>15</v>
      </c>
      <c r="H15">
        <v>4190.28</v>
      </c>
      <c r="I15">
        <v>4270.6499999999996</v>
      </c>
      <c r="J15" t="s">
        <v>26</v>
      </c>
      <c r="K15">
        <v>0.2</v>
      </c>
      <c r="L15" t="s">
        <v>17</v>
      </c>
      <c r="M15" t="s">
        <v>18</v>
      </c>
    </row>
    <row r="16" spans="1:18" x14ac:dyDescent="0.25">
      <c r="A16">
        <v>1022</v>
      </c>
      <c r="B16" s="1">
        <v>45155</v>
      </c>
      <c r="C16" t="s">
        <v>28</v>
      </c>
      <c r="D16" t="s">
        <v>22</v>
      </c>
      <c r="E16">
        <v>8813.5499999999993</v>
      </c>
      <c r="F16">
        <v>21</v>
      </c>
      <c r="G16" t="s">
        <v>23</v>
      </c>
      <c r="H16">
        <v>2537.1999999999998</v>
      </c>
      <c r="I16">
        <v>2869.6</v>
      </c>
      <c r="J16" t="s">
        <v>26</v>
      </c>
      <c r="K16">
        <v>0.28999999999999998</v>
      </c>
      <c r="L16" t="s">
        <v>24</v>
      </c>
      <c r="M16" t="s">
        <v>20</v>
      </c>
    </row>
    <row r="17" spans="1:13" x14ac:dyDescent="0.25">
      <c r="A17">
        <v>1053</v>
      </c>
      <c r="B17" s="1">
        <v>45215</v>
      </c>
      <c r="C17" t="s">
        <v>13</v>
      </c>
      <c r="D17" t="s">
        <v>14</v>
      </c>
      <c r="E17">
        <v>2235.83</v>
      </c>
      <c r="F17">
        <v>48</v>
      </c>
      <c r="G17" t="s">
        <v>15</v>
      </c>
      <c r="H17">
        <v>121.19</v>
      </c>
      <c r="I17">
        <v>487.65</v>
      </c>
      <c r="J17" t="s">
        <v>26</v>
      </c>
      <c r="K17">
        <v>0.18</v>
      </c>
      <c r="L17" t="s">
        <v>17</v>
      </c>
      <c r="M17" t="s">
        <v>20</v>
      </c>
    </row>
    <row r="18" spans="1:13" x14ac:dyDescent="0.25">
      <c r="A18">
        <v>1002</v>
      </c>
      <c r="B18" s="1">
        <v>45076</v>
      </c>
      <c r="C18" t="s">
        <v>21</v>
      </c>
      <c r="D18" t="s">
        <v>14</v>
      </c>
      <c r="E18">
        <v>6810.35</v>
      </c>
      <c r="F18">
        <v>17</v>
      </c>
      <c r="G18" t="s">
        <v>15</v>
      </c>
      <c r="H18">
        <v>4024.76</v>
      </c>
      <c r="I18">
        <v>4420.1499999999996</v>
      </c>
      <c r="J18" t="s">
        <v>16</v>
      </c>
      <c r="K18">
        <v>0.04</v>
      </c>
      <c r="L18" t="s">
        <v>17</v>
      </c>
      <c r="M18" t="s">
        <v>18</v>
      </c>
    </row>
    <row r="19" spans="1:13" x14ac:dyDescent="0.25">
      <c r="A19">
        <v>1088</v>
      </c>
      <c r="B19" s="1">
        <v>45203</v>
      </c>
      <c r="C19" t="s">
        <v>13</v>
      </c>
      <c r="D19" t="s">
        <v>29</v>
      </c>
      <c r="E19">
        <v>6116.75</v>
      </c>
      <c r="F19">
        <v>40</v>
      </c>
      <c r="G19" t="s">
        <v>30</v>
      </c>
      <c r="H19">
        <v>4904.93</v>
      </c>
      <c r="I19">
        <v>5034.3500000000004</v>
      </c>
      <c r="J19" t="s">
        <v>26</v>
      </c>
      <c r="K19">
        <v>0.1</v>
      </c>
      <c r="L19" t="s">
        <v>27</v>
      </c>
      <c r="M19" t="s">
        <v>20</v>
      </c>
    </row>
    <row r="20" spans="1:13" x14ac:dyDescent="0.25">
      <c r="A20">
        <v>1030</v>
      </c>
      <c r="B20" s="1">
        <v>45124</v>
      </c>
      <c r="C20" t="s">
        <v>21</v>
      </c>
      <c r="D20" t="s">
        <v>19</v>
      </c>
      <c r="E20">
        <v>3023.48</v>
      </c>
      <c r="F20">
        <v>19</v>
      </c>
      <c r="G20" t="s">
        <v>25</v>
      </c>
      <c r="H20">
        <v>3049.33</v>
      </c>
      <c r="I20">
        <v>3209.22</v>
      </c>
      <c r="J20" t="s">
        <v>16</v>
      </c>
      <c r="K20">
        <v>0.26</v>
      </c>
      <c r="L20" t="s">
        <v>17</v>
      </c>
      <c r="M20" t="s">
        <v>18</v>
      </c>
    </row>
    <row r="21" spans="1:13" x14ac:dyDescent="0.25">
      <c r="A21">
        <v>1038</v>
      </c>
      <c r="B21" s="1">
        <v>44996</v>
      </c>
      <c r="C21" t="s">
        <v>13</v>
      </c>
      <c r="D21" t="s">
        <v>22</v>
      </c>
      <c r="E21">
        <v>1452.35</v>
      </c>
      <c r="F21">
        <v>15</v>
      </c>
      <c r="G21" t="s">
        <v>25</v>
      </c>
      <c r="H21">
        <v>2543.36</v>
      </c>
      <c r="I21">
        <v>2790.1</v>
      </c>
      <c r="J21" t="s">
        <v>16</v>
      </c>
      <c r="K21">
        <v>7.0000000000000007E-2</v>
      </c>
      <c r="L21" t="s">
        <v>17</v>
      </c>
      <c r="M21" t="s">
        <v>18</v>
      </c>
    </row>
    <row r="22" spans="1:13" x14ac:dyDescent="0.25">
      <c r="A22">
        <v>1002</v>
      </c>
      <c r="B22" s="1">
        <v>45038</v>
      </c>
      <c r="C22" t="s">
        <v>31</v>
      </c>
      <c r="D22" t="s">
        <v>14</v>
      </c>
      <c r="E22">
        <v>6551.23</v>
      </c>
      <c r="F22">
        <v>9</v>
      </c>
      <c r="G22" t="s">
        <v>30</v>
      </c>
      <c r="H22">
        <v>4398.16</v>
      </c>
      <c r="I22">
        <v>4439.12</v>
      </c>
      <c r="J22" t="s">
        <v>26</v>
      </c>
      <c r="K22">
        <v>0.18</v>
      </c>
      <c r="L22" t="s">
        <v>24</v>
      </c>
      <c r="M22" t="s">
        <v>18</v>
      </c>
    </row>
    <row r="23" spans="1:13" x14ac:dyDescent="0.25">
      <c r="A23">
        <v>1064</v>
      </c>
      <c r="B23" s="1">
        <v>44930</v>
      </c>
      <c r="C23" t="s">
        <v>31</v>
      </c>
      <c r="D23" t="s">
        <v>29</v>
      </c>
      <c r="E23">
        <v>7412.11</v>
      </c>
      <c r="F23">
        <v>10</v>
      </c>
      <c r="G23" t="s">
        <v>30</v>
      </c>
      <c r="H23">
        <v>4764.96</v>
      </c>
      <c r="I23">
        <v>5074.42</v>
      </c>
      <c r="J23" t="s">
        <v>26</v>
      </c>
      <c r="K23">
        <v>0.12</v>
      </c>
      <c r="L23" t="s">
        <v>17</v>
      </c>
      <c r="M23" t="s">
        <v>18</v>
      </c>
    </row>
    <row r="24" spans="1:13" x14ac:dyDescent="0.25">
      <c r="A24">
        <v>1060</v>
      </c>
      <c r="B24" s="1">
        <v>45276</v>
      </c>
      <c r="C24" t="s">
        <v>31</v>
      </c>
      <c r="D24" t="s">
        <v>29</v>
      </c>
      <c r="E24">
        <v>3224.71</v>
      </c>
      <c r="F24">
        <v>44</v>
      </c>
      <c r="G24" t="s">
        <v>25</v>
      </c>
      <c r="H24">
        <v>3784.96</v>
      </c>
      <c r="I24">
        <v>4276.99</v>
      </c>
      <c r="J24" t="s">
        <v>26</v>
      </c>
      <c r="K24">
        <v>0.06</v>
      </c>
      <c r="L24" t="s">
        <v>24</v>
      </c>
      <c r="M24" t="s">
        <v>20</v>
      </c>
    </row>
    <row r="25" spans="1:13" x14ac:dyDescent="0.25">
      <c r="A25">
        <v>1021</v>
      </c>
      <c r="B25" s="1">
        <v>45257</v>
      </c>
      <c r="C25" t="s">
        <v>32</v>
      </c>
      <c r="D25" t="s">
        <v>22</v>
      </c>
      <c r="E25">
        <v>6483.84</v>
      </c>
      <c r="F25">
        <v>31</v>
      </c>
      <c r="G25" t="s">
        <v>15</v>
      </c>
      <c r="H25">
        <v>2254.9899999999998</v>
      </c>
      <c r="I25">
        <v>2441.79</v>
      </c>
      <c r="J25" t="s">
        <v>16</v>
      </c>
      <c r="K25">
        <v>0.24</v>
      </c>
      <c r="L25" t="s">
        <v>24</v>
      </c>
      <c r="M25" t="s">
        <v>18</v>
      </c>
    </row>
    <row r="26" spans="1:13" x14ac:dyDescent="0.25">
      <c r="A26">
        <v>1033</v>
      </c>
      <c r="B26" s="1">
        <v>45244</v>
      </c>
      <c r="C26" t="s">
        <v>21</v>
      </c>
      <c r="D26" t="s">
        <v>22</v>
      </c>
      <c r="E26">
        <v>4011.8</v>
      </c>
      <c r="F26">
        <v>23</v>
      </c>
      <c r="G26" t="s">
        <v>15</v>
      </c>
      <c r="H26">
        <v>2981.5</v>
      </c>
      <c r="I26">
        <v>3360.4</v>
      </c>
      <c r="J26" t="s">
        <v>16</v>
      </c>
      <c r="K26">
        <v>0.22</v>
      </c>
      <c r="L26" t="s">
        <v>24</v>
      </c>
      <c r="M26" t="s">
        <v>20</v>
      </c>
    </row>
    <row r="27" spans="1:13" x14ac:dyDescent="0.25">
      <c r="A27">
        <v>1076</v>
      </c>
      <c r="B27" s="1">
        <v>45276</v>
      </c>
      <c r="C27" t="s">
        <v>31</v>
      </c>
      <c r="D27" t="s">
        <v>29</v>
      </c>
      <c r="E27">
        <v>7160.75</v>
      </c>
      <c r="F27">
        <v>30</v>
      </c>
      <c r="G27" t="s">
        <v>25</v>
      </c>
      <c r="H27">
        <v>3519.63</v>
      </c>
      <c r="I27">
        <v>3774.65</v>
      </c>
      <c r="J27" t="s">
        <v>26</v>
      </c>
      <c r="K27">
        <v>0.2</v>
      </c>
      <c r="L27" t="s">
        <v>27</v>
      </c>
      <c r="M27" t="s">
        <v>20</v>
      </c>
    </row>
    <row r="28" spans="1:13" x14ac:dyDescent="0.25">
      <c r="A28">
        <v>1058</v>
      </c>
      <c r="B28" s="1">
        <v>45021</v>
      </c>
      <c r="C28" t="s">
        <v>32</v>
      </c>
      <c r="D28" t="s">
        <v>14</v>
      </c>
      <c r="E28">
        <v>2072.23</v>
      </c>
      <c r="F28">
        <v>33</v>
      </c>
      <c r="G28" t="s">
        <v>15</v>
      </c>
      <c r="H28">
        <v>1011.65</v>
      </c>
      <c r="I28">
        <v>1084.28</v>
      </c>
      <c r="J28" t="s">
        <v>16</v>
      </c>
      <c r="K28">
        <v>7.0000000000000007E-2</v>
      </c>
      <c r="L28" t="s">
        <v>24</v>
      </c>
      <c r="M28" t="s">
        <v>20</v>
      </c>
    </row>
    <row r="29" spans="1:13" x14ac:dyDescent="0.25">
      <c r="A29">
        <v>1022</v>
      </c>
      <c r="B29" s="1">
        <v>45078</v>
      </c>
      <c r="C29" t="s">
        <v>21</v>
      </c>
      <c r="D29" t="s">
        <v>29</v>
      </c>
      <c r="E29">
        <v>8913.1299999999992</v>
      </c>
      <c r="F29">
        <v>9</v>
      </c>
      <c r="G29" t="s">
        <v>30</v>
      </c>
      <c r="H29">
        <v>2263.65</v>
      </c>
      <c r="I29">
        <v>2558.9499999999998</v>
      </c>
      <c r="J29" t="s">
        <v>26</v>
      </c>
      <c r="K29">
        <v>0.03</v>
      </c>
      <c r="L29" t="s">
        <v>17</v>
      </c>
      <c r="M29" t="s">
        <v>18</v>
      </c>
    </row>
    <row r="30" spans="1:13" x14ac:dyDescent="0.25">
      <c r="A30">
        <v>1089</v>
      </c>
      <c r="B30" s="1">
        <v>45237</v>
      </c>
      <c r="C30" t="s">
        <v>13</v>
      </c>
      <c r="D30" t="s">
        <v>19</v>
      </c>
      <c r="E30">
        <v>2945.36</v>
      </c>
      <c r="F30">
        <v>47</v>
      </c>
      <c r="G30" t="s">
        <v>15</v>
      </c>
      <c r="H30">
        <v>4157.62</v>
      </c>
      <c r="I30">
        <v>4314.5599999999904</v>
      </c>
      <c r="J30" t="s">
        <v>26</v>
      </c>
      <c r="K30">
        <v>0.17</v>
      </c>
      <c r="L30" t="s">
        <v>24</v>
      </c>
      <c r="M30" t="s">
        <v>20</v>
      </c>
    </row>
    <row r="31" spans="1:13" x14ac:dyDescent="0.25">
      <c r="A31">
        <v>1049</v>
      </c>
      <c r="B31" s="1">
        <v>45063</v>
      </c>
      <c r="C31" t="s">
        <v>32</v>
      </c>
      <c r="D31" t="s">
        <v>19</v>
      </c>
      <c r="E31">
        <v>3741.08</v>
      </c>
      <c r="F31">
        <v>1</v>
      </c>
      <c r="G31" t="s">
        <v>15</v>
      </c>
      <c r="H31">
        <v>3290.89</v>
      </c>
      <c r="I31">
        <v>3317.75</v>
      </c>
      <c r="J31" t="s">
        <v>16</v>
      </c>
      <c r="K31">
        <v>0.17</v>
      </c>
      <c r="L31" t="s">
        <v>24</v>
      </c>
      <c r="M31" t="s">
        <v>18</v>
      </c>
    </row>
    <row r="32" spans="1:13" x14ac:dyDescent="0.25">
      <c r="A32">
        <v>1091</v>
      </c>
      <c r="B32" s="1">
        <v>45173</v>
      </c>
      <c r="C32" t="s">
        <v>28</v>
      </c>
      <c r="D32" t="s">
        <v>22</v>
      </c>
      <c r="E32">
        <v>675.11</v>
      </c>
      <c r="F32">
        <v>44</v>
      </c>
      <c r="G32" t="s">
        <v>23</v>
      </c>
      <c r="H32">
        <v>2085.46</v>
      </c>
      <c r="I32">
        <v>2406.58</v>
      </c>
      <c r="J32" t="s">
        <v>16</v>
      </c>
      <c r="K32">
        <v>0.06</v>
      </c>
      <c r="L32" t="s">
        <v>24</v>
      </c>
      <c r="M32" t="s">
        <v>20</v>
      </c>
    </row>
    <row r="33" spans="1:13" x14ac:dyDescent="0.25">
      <c r="A33">
        <v>1059</v>
      </c>
      <c r="B33" s="1">
        <v>45169</v>
      </c>
      <c r="C33" t="s">
        <v>32</v>
      </c>
      <c r="D33" t="s">
        <v>14</v>
      </c>
      <c r="E33">
        <v>1203.97</v>
      </c>
      <c r="F33">
        <v>35</v>
      </c>
      <c r="G33" t="s">
        <v>23</v>
      </c>
      <c r="H33">
        <v>3333.64</v>
      </c>
      <c r="I33">
        <v>3764.52</v>
      </c>
      <c r="J33" t="s">
        <v>16</v>
      </c>
      <c r="K33">
        <v>0.02</v>
      </c>
      <c r="L33" t="s">
        <v>27</v>
      </c>
      <c r="M33" t="s">
        <v>18</v>
      </c>
    </row>
    <row r="34" spans="1:13" x14ac:dyDescent="0.25">
      <c r="A34">
        <v>1042</v>
      </c>
      <c r="B34" s="1">
        <v>44957</v>
      </c>
      <c r="C34" t="s">
        <v>32</v>
      </c>
      <c r="D34" t="s">
        <v>14</v>
      </c>
      <c r="E34">
        <v>5207.03</v>
      </c>
      <c r="F34">
        <v>11</v>
      </c>
      <c r="G34" t="s">
        <v>23</v>
      </c>
      <c r="H34">
        <v>635.20000000000005</v>
      </c>
      <c r="I34">
        <v>814.14</v>
      </c>
      <c r="J34" t="s">
        <v>16</v>
      </c>
      <c r="K34">
        <v>0.02</v>
      </c>
      <c r="L34" t="s">
        <v>17</v>
      </c>
      <c r="M34" t="s">
        <v>18</v>
      </c>
    </row>
    <row r="35" spans="1:13" x14ac:dyDescent="0.25">
      <c r="A35">
        <v>1092</v>
      </c>
      <c r="B35" s="1">
        <v>44966</v>
      </c>
      <c r="C35" t="s">
        <v>21</v>
      </c>
      <c r="D35" t="s">
        <v>19</v>
      </c>
      <c r="E35">
        <v>2749.17</v>
      </c>
      <c r="F35">
        <v>34</v>
      </c>
      <c r="G35" t="s">
        <v>15</v>
      </c>
      <c r="H35">
        <v>2037.41</v>
      </c>
      <c r="I35">
        <v>2238.65</v>
      </c>
      <c r="J35" t="s">
        <v>26</v>
      </c>
      <c r="K35">
        <v>0.3</v>
      </c>
      <c r="L35" t="s">
        <v>27</v>
      </c>
      <c r="M35" t="s">
        <v>18</v>
      </c>
    </row>
    <row r="36" spans="1:13" x14ac:dyDescent="0.25">
      <c r="A36">
        <v>1060</v>
      </c>
      <c r="B36" s="1">
        <v>45155</v>
      </c>
      <c r="C36" t="s">
        <v>13</v>
      </c>
      <c r="D36" t="s">
        <v>29</v>
      </c>
      <c r="E36">
        <v>8371.25</v>
      </c>
      <c r="F36">
        <v>16</v>
      </c>
      <c r="G36" t="s">
        <v>25</v>
      </c>
      <c r="H36">
        <v>3975.99</v>
      </c>
      <c r="I36">
        <v>4422.59</v>
      </c>
      <c r="J36" t="s">
        <v>26</v>
      </c>
      <c r="K36">
        <v>0.24</v>
      </c>
      <c r="L36" t="s">
        <v>17</v>
      </c>
      <c r="M36" t="s">
        <v>18</v>
      </c>
    </row>
    <row r="37" spans="1:13" x14ac:dyDescent="0.25">
      <c r="A37">
        <v>1080</v>
      </c>
      <c r="B37" s="1">
        <v>44962</v>
      </c>
      <c r="C37" t="s">
        <v>28</v>
      </c>
      <c r="D37" t="s">
        <v>22</v>
      </c>
      <c r="E37">
        <v>245.46</v>
      </c>
      <c r="F37">
        <v>9</v>
      </c>
      <c r="G37" t="s">
        <v>30</v>
      </c>
      <c r="H37">
        <v>1141.52</v>
      </c>
      <c r="I37">
        <v>1550.19</v>
      </c>
      <c r="J37" t="s">
        <v>26</v>
      </c>
      <c r="K37">
        <v>0.28000000000000003</v>
      </c>
      <c r="L37" t="s">
        <v>27</v>
      </c>
      <c r="M37" t="s">
        <v>20</v>
      </c>
    </row>
    <row r="38" spans="1:13" x14ac:dyDescent="0.25">
      <c r="A38">
        <v>1015</v>
      </c>
      <c r="B38" s="1">
        <v>45149</v>
      </c>
      <c r="C38" t="s">
        <v>31</v>
      </c>
      <c r="D38" t="s">
        <v>29</v>
      </c>
      <c r="E38">
        <v>3853.03</v>
      </c>
      <c r="F38">
        <v>32</v>
      </c>
      <c r="G38" t="s">
        <v>15</v>
      </c>
      <c r="H38">
        <v>970.51</v>
      </c>
      <c r="I38">
        <v>1330.84</v>
      </c>
      <c r="J38" t="s">
        <v>16</v>
      </c>
      <c r="K38">
        <v>0.06</v>
      </c>
      <c r="L38" t="s">
        <v>17</v>
      </c>
      <c r="M38" t="s">
        <v>20</v>
      </c>
    </row>
    <row r="39" spans="1:13" x14ac:dyDescent="0.25">
      <c r="A39">
        <v>1062</v>
      </c>
      <c r="B39" s="1">
        <v>44932</v>
      </c>
      <c r="C39" t="s">
        <v>31</v>
      </c>
      <c r="D39" t="s">
        <v>29</v>
      </c>
      <c r="E39">
        <v>3439.72</v>
      </c>
      <c r="F39">
        <v>15</v>
      </c>
      <c r="G39" t="s">
        <v>25</v>
      </c>
      <c r="H39">
        <v>4756.55</v>
      </c>
      <c r="I39">
        <v>4888.46</v>
      </c>
      <c r="J39" t="s">
        <v>26</v>
      </c>
      <c r="K39">
        <v>0.28999999999999998</v>
      </c>
      <c r="L39" t="s">
        <v>27</v>
      </c>
      <c r="M39" t="s">
        <v>18</v>
      </c>
    </row>
    <row r="40" spans="1:13" x14ac:dyDescent="0.25">
      <c r="A40">
        <v>1062</v>
      </c>
      <c r="B40" s="1">
        <v>45248</v>
      </c>
      <c r="C40" t="s">
        <v>32</v>
      </c>
      <c r="D40" t="s">
        <v>29</v>
      </c>
      <c r="E40">
        <v>291.33999999999997</v>
      </c>
      <c r="F40">
        <v>12</v>
      </c>
      <c r="G40" t="s">
        <v>15</v>
      </c>
      <c r="H40">
        <v>1088.99</v>
      </c>
      <c r="I40">
        <v>1545</v>
      </c>
      <c r="J40" t="s">
        <v>16</v>
      </c>
      <c r="K40">
        <v>0.04</v>
      </c>
      <c r="L40" t="s">
        <v>24</v>
      </c>
      <c r="M40" t="s">
        <v>20</v>
      </c>
    </row>
    <row r="41" spans="1:13" x14ac:dyDescent="0.25">
      <c r="A41">
        <v>1047</v>
      </c>
      <c r="B41" s="1">
        <v>45146</v>
      </c>
      <c r="C41" t="s">
        <v>21</v>
      </c>
      <c r="D41" t="s">
        <v>14</v>
      </c>
      <c r="E41">
        <v>1331.25</v>
      </c>
      <c r="F41">
        <v>33</v>
      </c>
      <c r="G41" t="s">
        <v>30</v>
      </c>
      <c r="H41">
        <v>1341.55</v>
      </c>
      <c r="I41">
        <v>1427.21</v>
      </c>
      <c r="J41" t="s">
        <v>16</v>
      </c>
      <c r="K41">
        <v>0.15</v>
      </c>
      <c r="L41" t="s">
        <v>27</v>
      </c>
      <c r="M41" t="s">
        <v>18</v>
      </c>
    </row>
    <row r="42" spans="1:13" x14ac:dyDescent="0.25">
      <c r="A42">
        <v>1062</v>
      </c>
      <c r="B42" s="1">
        <v>45001</v>
      </c>
      <c r="C42" t="s">
        <v>21</v>
      </c>
      <c r="D42" t="s">
        <v>19</v>
      </c>
      <c r="E42">
        <v>4195.0600000000004</v>
      </c>
      <c r="F42">
        <v>45</v>
      </c>
      <c r="G42" t="s">
        <v>15</v>
      </c>
      <c r="H42">
        <v>4849.6000000000004</v>
      </c>
      <c r="I42">
        <v>5166.72</v>
      </c>
      <c r="J42" t="s">
        <v>16</v>
      </c>
      <c r="K42">
        <v>0.25</v>
      </c>
      <c r="L42" t="s">
        <v>27</v>
      </c>
      <c r="M42" t="s">
        <v>18</v>
      </c>
    </row>
    <row r="43" spans="1:13" x14ac:dyDescent="0.25">
      <c r="A43">
        <v>1051</v>
      </c>
      <c r="B43" s="1">
        <v>44930</v>
      </c>
      <c r="C43" t="s">
        <v>31</v>
      </c>
      <c r="D43" t="s">
        <v>14</v>
      </c>
      <c r="E43">
        <v>4979.3599999999997</v>
      </c>
      <c r="F43">
        <v>14</v>
      </c>
      <c r="G43" t="s">
        <v>30</v>
      </c>
      <c r="H43">
        <v>3686.81</v>
      </c>
      <c r="I43">
        <v>3710.92</v>
      </c>
      <c r="J43" t="s">
        <v>26</v>
      </c>
      <c r="K43">
        <v>0.1</v>
      </c>
      <c r="L43" t="s">
        <v>24</v>
      </c>
      <c r="M43" t="s">
        <v>20</v>
      </c>
    </row>
    <row r="44" spans="1:13" x14ac:dyDescent="0.25">
      <c r="A44">
        <v>1055</v>
      </c>
      <c r="B44" s="1">
        <v>45261</v>
      </c>
      <c r="C44" t="s">
        <v>28</v>
      </c>
      <c r="D44" t="s">
        <v>19</v>
      </c>
      <c r="E44">
        <v>4102.47</v>
      </c>
      <c r="F44">
        <v>8</v>
      </c>
      <c r="G44" t="s">
        <v>15</v>
      </c>
      <c r="H44">
        <v>3513</v>
      </c>
      <c r="I44">
        <v>3838.42</v>
      </c>
      <c r="J44" t="s">
        <v>16</v>
      </c>
      <c r="K44">
        <v>0.13</v>
      </c>
      <c r="L44" t="s">
        <v>24</v>
      </c>
      <c r="M44" t="s">
        <v>18</v>
      </c>
    </row>
    <row r="45" spans="1:13" x14ac:dyDescent="0.25">
      <c r="A45">
        <v>1064</v>
      </c>
      <c r="B45" s="1">
        <v>45060</v>
      </c>
      <c r="C45" t="s">
        <v>13</v>
      </c>
      <c r="D45" t="s">
        <v>22</v>
      </c>
      <c r="E45">
        <v>5356.28</v>
      </c>
      <c r="F45">
        <v>8</v>
      </c>
      <c r="G45" t="s">
        <v>30</v>
      </c>
      <c r="H45">
        <v>4271.99</v>
      </c>
      <c r="I45">
        <v>4417.79</v>
      </c>
      <c r="J45" t="s">
        <v>16</v>
      </c>
      <c r="K45">
        <v>0.04</v>
      </c>
      <c r="L45" t="s">
        <v>17</v>
      </c>
      <c r="M45" t="s">
        <v>18</v>
      </c>
    </row>
    <row r="46" spans="1:13" x14ac:dyDescent="0.25">
      <c r="A46">
        <v>1003</v>
      </c>
      <c r="B46" s="1">
        <v>45044</v>
      </c>
      <c r="C46" t="s">
        <v>28</v>
      </c>
      <c r="D46" t="s">
        <v>22</v>
      </c>
      <c r="E46">
        <v>5991.8</v>
      </c>
      <c r="F46">
        <v>27</v>
      </c>
      <c r="G46" t="s">
        <v>15</v>
      </c>
      <c r="H46">
        <v>623.32000000000005</v>
      </c>
      <c r="I46">
        <v>853.66</v>
      </c>
      <c r="J46" t="s">
        <v>16</v>
      </c>
      <c r="K46">
        <v>0.04</v>
      </c>
      <c r="L46" t="s">
        <v>17</v>
      </c>
      <c r="M46" t="s">
        <v>18</v>
      </c>
    </row>
    <row r="47" spans="1:13" x14ac:dyDescent="0.25">
      <c r="A47">
        <v>1051</v>
      </c>
      <c r="B47" s="1">
        <v>45020</v>
      </c>
      <c r="C47" t="s">
        <v>13</v>
      </c>
      <c r="D47" t="s">
        <v>29</v>
      </c>
      <c r="E47">
        <v>198.25</v>
      </c>
      <c r="F47">
        <v>12</v>
      </c>
      <c r="G47" t="s">
        <v>30</v>
      </c>
      <c r="H47">
        <v>3544.48</v>
      </c>
      <c r="I47">
        <v>3723.66</v>
      </c>
      <c r="J47" t="s">
        <v>16</v>
      </c>
      <c r="K47">
        <v>0.19</v>
      </c>
      <c r="L47" t="s">
        <v>17</v>
      </c>
      <c r="M47" t="s">
        <v>18</v>
      </c>
    </row>
    <row r="48" spans="1:13" x14ac:dyDescent="0.25">
      <c r="A48">
        <v>1007</v>
      </c>
      <c r="B48" s="1">
        <v>44988</v>
      </c>
      <c r="C48" t="s">
        <v>31</v>
      </c>
      <c r="D48" t="s">
        <v>19</v>
      </c>
      <c r="E48">
        <v>4694.54</v>
      </c>
      <c r="F48">
        <v>1</v>
      </c>
      <c r="G48" t="s">
        <v>23</v>
      </c>
      <c r="H48">
        <v>2543.2600000000002</v>
      </c>
      <c r="I48">
        <v>2637.91</v>
      </c>
      <c r="J48" t="s">
        <v>16</v>
      </c>
      <c r="K48">
        <v>0.2</v>
      </c>
      <c r="L48" t="s">
        <v>27</v>
      </c>
      <c r="M48" t="s">
        <v>18</v>
      </c>
    </row>
    <row r="49" spans="1:13" x14ac:dyDescent="0.25">
      <c r="A49">
        <v>1021</v>
      </c>
      <c r="B49" s="1">
        <v>45120</v>
      </c>
      <c r="C49" t="s">
        <v>13</v>
      </c>
      <c r="D49" t="s">
        <v>19</v>
      </c>
      <c r="E49">
        <v>9638.64</v>
      </c>
      <c r="F49">
        <v>43</v>
      </c>
      <c r="G49" t="s">
        <v>15</v>
      </c>
      <c r="H49">
        <v>4154.3</v>
      </c>
      <c r="I49">
        <v>4469.07</v>
      </c>
      <c r="J49" t="s">
        <v>16</v>
      </c>
      <c r="K49">
        <v>0.23</v>
      </c>
      <c r="L49" t="s">
        <v>17</v>
      </c>
      <c r="M49" t="s">
        <v>20</v>
      </c>
    </row>
    <row r="50" spans="1:13" x14ac:dyDescent="0.25">
      <c r="A50">
        <v>1073</v>
      </c>
      <c r="B50" s="1">
        <v>45261</v>
      </c>
      <c r="C50" t="s">
        <v>21</v>
      </c>
      <c r="D50" t="s">
        <v>19</v>
      </c>
      <c r="E50">
        <v>5238.42</v>
      </c>
      <c r="F50">
        <v>40</v>
      </c>
      <c r="G50" t="s">
        <v>15</v>
      </c>
      <c r="H50">
        <v>2565.3000000000002</v>
      </c>
      <c r="I50">
        <v>3007.47</v>
      </c>
      <c r="J50" t="s">
        <v>16</v>
      </c>
      <c r="K50">
        <v>0.17</v>
      </c>
      <c r="L50" t="s">
        <v>27</v>
      </c>
      <c r="M50" t="s">
        <v>20</v>
      </c>
    </row>
    <row r="51" spans="1:13" x14ac:dyDescent="0.25">
      <c r="A51">
        <v>1039</v>
      </c>
      <c r="B51" s="1">
        <v>45129</v>
      </c>
      <c r="C51" t="s">
        <v>32</v>
      </c>
      <c r="D51" t="s">
        <v>29</v>
      </c>
      <c r="E51">
        <v>6807.67</v>
      </c>
      <c r="F51">
        <v>42</v>
      </c>
      <c r="G51" t="s">
        <v>25</v>
      </c>
      <c r="H51">
        <v>3120.19</v>
      </c>
      <c r="I51">
        <v>3600.14</v>
      </c>
      <c r="J51" t="s">
        <v>16</v>
      </c>
      <c r="K51">
        <v>0.19</v>
      </c>
      <c r="L51" t="s">
        <v>27</v>
      </c>
      <c r="M51" t="s">
        <v>20</v>
      </c>
    </row>
    <row r="52" spans="1:13" x14ac:dyDescent="0.25">
      <c r="A52">
        <v>1018</v>
      </c>
      <c r="B52" s="1">
        <v>44952</v>
      </c>
      <c r="C52" t="s">
        <v>32</v>
      </c>
      <c r="D52" t="s">
        <v>29</v>
      </c>
      <c r="E52">
        <v>3187.45</v>
      </c>
      <c r="F52">
        <v>11</v>
      </c>
      <c r="G52" t="s">
        <v>25</v>
      </c>
      <c r="H52">
        <v>2414.8200000000002</v>
      </c>
      <c r="I52">
        <v>2519.0700000000002</v>
      </c>
      <c r="J52" t="s">
        <v>16</v>
      </c>
      <c r="K52">
        <v>0</v>
      </c>
      <c r="L52" t="s">
        <v>17</v>
      </c>
      <c r="M52" t="s">
        <v>18</v>
      </c>
    </row>
    <row r="53" spans="1:13" x14ac:dyDescent="0.25">
      <c r="A53">
        <v>1004</v>
      </c>
      <c r="B53" s="1">
        <v>45099</v>
      </c>
      <c r="C53" t="s">
        <v>31</v>
      </c>
      <c r="D53" t="s">
        <v>22</v>
      </c>
      <c r="E53">
        <v>7762.51</v>
      </c>
      <c r="F53">
        <v>39</v>
      </c>
      <c r="G53" t="s">
        <v>30</v>
      </c>
      <c r="H53">
        <v>2416.89</v>
      </c>
      <c r="I53">
        <v>2778.3999999999901</v>
      </c>
      <c r="J53" t="s">
        <v>16</v>
      </c>
      <c r="K53">
        <v>0.05</v>
      </c>
      <c r="L53" t="s">
        <v>17</v>
      </c>
      <c r="M53" t="s">
        <v>18</v>
      </c>
    </row>
    <row r="54" spans="1:13" x14ac:dyDescent="0.25">
      <c r="A54">
        <v>1089</v>
      </c>
      <c r="B54" s="1">
        <v>45226</v>
      </c>
      <c r="C54" t="s">
        <v>21</v>
      </c>
      <c r="D54" t="s">
        <v>14</v>
      </c>
      <c r="E54">
        <v>7751.92</v>
      </c>
      <c r="F54">
        <v>43</v>
      </c>
      <c r="G54" t="s">
        <v>15</v>
      </c>
      <c r="H54">
        <v>3851.45</v>
      </c>
      <c r="I54">
        <v>4186.9799999999996</v>
      </c>
      <c r="J54" t="s">
        <v>16</v>
      </c>
      <c r="K54">
        <v>0.3</v>
      </c>
      <c r="L54" t="s">
        <v>27</v>
      </c>
      <c r="M54" t="s">
        <v>18</v>
      </c>
    </row>
    <row r="55" spans="1:13" x14ac:dyDescent="0.25">
      <c r="A55">
        <v>1060</v>
      </c>
      <c r="B55" s="1">
        <v>45059</v>
      </c>
      <c r="C55" t="s">
        <v>28</v>
      </c>
      <c r="D55" t="s">
        <v>19</v>
      </c>
      <c r="E55">
        <v>5260.83</v>
      </c>
      <c r="F55">
        <v>31</v>
      </c>
      <c r="G55" t="s">
        <v>30</v>
      </c>
      <c r="H55">
        <v>3161.4</v>
      </c>
      <c r="I55">
        <v>3339.66</v>
      </c>
      <c r="J55" t="s">
        <v>16</v>
      </c>
      <c r="K55">
        <v>0.02</v>
      </c>
      <c r="L55" t="s">
        <v>24</v>
      </c>
      <c r="M55" t="s">
        <v>18</v>
      </c>
    </row>
    <row r="56" spans="1:13" x14ac:dyDescent="0.25">
      <c r="A56">
        <v>1014</v>
      </c>
      <c r="B56" s="1">
        <v>45252</v>
      </c>
      <c r="C56" t="s">
        <v>21</v>
      </c>
      <c r="D56" t="s">
        <v>19</v>
      </c>
      <c r="E56">
        <v>9762.5400000000009</v>
      </c>
      <c r="F56">
        <v>17</v>
      </c>
      <c r="G56" t="s">
        <v>23</v>
      </c>
      <c r="H56">
        <v>3184.65</v>
      </c>
      <c r="I56">
        <v>3204.01</v>
      </c>
      <c r="J56" t="s">
        <v>26</v>
      </c>
      <c r="K56">
        <v>0.2</v>
      </c>
      <c r="L56" t="s">
        <v>24</v>
      </c>
      <c r="M56" t="s">
        <v>18</v>
      </c>
    </row>
    <row r="57" spans="1:13" x14ac:dyDescent="0.25">
      <c r="A57">
        <v>1009</v>
      </c>
      <c r="B57" s="1">
        <v>45044</v>
      </c>
      <c r="C57" t="s">
        <v>32</v>
      </c>
      <c r="D57" t="s">
        <v>14</v>
      </c>
      <c r="E57">
        <v>1342.95</v>
      </c>
      <c r="F57">
        <v>33</v>
      </c>
      <c r="G57" t="s">
        <v>25</v>
      </c>
      <c r="H57">
        <v>2278.9</v>
      </c>
      <c r="I57">
        <v>2626.9</v>
      </c>
      <c r="J57" t="s">
        <v>26</v>
      </c>
      <c r="K57">
        <v>0.05</v>
      </c>
      <c r="L57" t="s">
        <v>27</v>
      </c>
      <c r="M57" t="s">
        <v>18</v>
      </c>
    </row>
    <row r="58" spans="1:13" x14ac:dyDescent="0.25">
      <c r="A58">
        <v>1090</v>
      </c>
      <c r="B58" s="1">
        <v>45250</v>
      </c>
      <c r="C58" t="s">
        <v>32</v>
      </c>
      <c r="D58" t="s">
        <v>19</v>
      </c>
      <c r="E58">
        <v>267.77999999999997</v>
      </c>
      <c r="F58">
        <v>32</v>
      </c>
      <c r="G58" t="s">
        <v>30</v>
      </c>
      <c r="H58">
        <v>2678.99</v>
      </c>
      <c r="I58">
        <v>3152.2799999999902</v>
      </c>
      <c r="J58" t="s">
        <v>16</v>
      </c>
      <c r="K58">
        <v>0.22</v>
      </c>
      <c r="L58" t="s">
        <v>17</v>
      </c>
      <c r="M58" t="s">
        <v>20</v>
      </c>
    </row>
    <row r="59" spans="1:13" x14ac:dyDescent="0.25">
      <c r="A59">
        <v>1053</v>
      </c>
      <c r="B59" s="1">
        <v>45201</v>
      </c>
      <c r="C59" t="s">
        <v>21</v>
      </c>
      <c r="D59" t="s">
        <v>29</v>
      </c>
      <c r="E59">
        <v>7724.57</v>
      </c>
      <c r="F59">
        <v>29</v>
      </c>
      <c r="G59" t="s">
        <v>30</v>
      </c>
      <c r="H59">
        <v>3741.3</v>
      </c>
      <c r="I59">
        <v>4061.04</v>
      </c>
      <c r="J59" t="s">
        <v>16</v>
      </c>
      <c r="K59">
        <v>0.21</v>
      </c>
      <c r="L59" t="s">
        <v>27</v>
      </c>
      <c r="M59" t="s">
        <v>18</v>
      </c>
    </row>
    <row r="60" spans="1:13" x14ac:dyDescent="0.25">
      <c r="A60">
        <v>1002</v>
      </c>
      <c r="B60" s="1">
        <v>45138</v>
      </c>
      <c r="C60" t="s">
        <v>21</v>
      </c>
      <c r="D60" t="s">
        <v>29</v>
      </c>
      <c r="E60">
        <v>8090.84</v>
      </c>
      <c r="F60">
        <v>21</v>
      </c>
      <c r="G60" t="s">
        <v>25</v>
      </c>
      <c r="H60">
        <v>4138.41</v>
      </c>
      <c r="I60">
        <v>4361.7</v>
      </c>
      <c r="J60" t="s">
        <v>16</v>
      </c>
      <c r="K60">
        <v>7.0000000000000007E-2</v>
      </c>
      <c r="L60" t="s">
        <v>27</v>
      </c>
      <c r="M60" t="s">
        <v>20</v>
      </c>
    </row>
    <row r="61" spans="1:13" x14ac:dyDescent="0.25">
      <c r="A61">
        <v>1084</v>
      </c>
      <c r="B61" s="1">
        <v>45151</v>
      </c>
      <c r="C61" t="s">
        <v>32</v>
      </c>
      <c r="D61" t="s">
        <v>19</v>
      </c>
      <c r="E61">
        <v>1290.05</v>
      </c>
      <c r="F61">
        <v>21</v>
      </c>
      <c r="G61" t="s">
        <v>15</v>
      </c>
      <c r="H61">
        <v>3497.98</v>
      </c>
      <c r="I61">
        <v>3765.31</v>
      </c>
      <c r="J61" t="s">
        <v>26</v>
      </c>
      <c r="K61">
        <v>0.08</v>
      </c>
      <c r="L61" t="s">
        <v>17</v>
      </c>
      <c r="M61" t="s">
        <v>18</v>
      </c>
    </row>
    <row r="62" spans="1:13" x14ac:dyDescent="0.25">
      <c r="A62">
        <v>1092</v>
      </c>
      <c r="B62" s="1">
        <v>44946</v>
      </c>
      <c r="C62" t="s">
        <v>28</v>
      </c>
      <c r="D62" t="s">
        <v>29</v>
      </c>
      <c r="E62">
        <v>2729.27</v>
      </c>
      <c r="F62">
        <v>40</v>
      </c>
      <c r="G62" t="s">
        <v>30</v>
      </c>
      <c r="H62">
        <v>4624.16</v>
      </c>
      <c r="I62">
        <v>4731.9799999999996</v>
      </c>
      <c r="J62" t="s">
        <v>26</v>
      </c>
      <c r="K62">
        <v>0.2</v>
      </c>
      <c r="L62" t="s">
        <v>24</v>
      </c>
      <c r="M62" t="s">
        <v>20</v>
      </c>
    </row>
    <row r="63" spans="1:13" x14ac:dyDescent="0.25">
      <c r="A63">
        <v>1060</v>
      </c>
      <c r="B63" s="1">
        <v>45039</v>
      </c>
      <c r="C63" t="s">
        <v>31</v>
      </c>
      <c r="D63" t="s">
        <v>29</v>
      </c>
      <c r="E63">
        <v>273.77</v>
      </c>
      <c r="F63">
        <v>23</v>
      </c>
      <c r="G63" t="s">
        <v>25</v>
      </c>
      <c r="H63">
        <v>4110.6000000000004</v>
      </c>
      <c r="I63">
        <v>4488.37</v>
      </c>
      <c r="J63" t="s">
        <v>26</v>
      </c>
      <c r="K63">
        <v>0.12</v>
      </c>
      <c r="L63" t="s">
        <v>27</v>
      </c>
      <c r="M63" t="s">
        <v>18</v>
      </c>
    </row>
    <row r="64" spans="1:13" x14ac:dyDescent="0.25">
      <c r="A64">
        <v>1071</v>
      </c>
      <c r="B64" s="1">
        <v>45066</v>
      </c>
      <c r="C64" t="s">
        <v>31</v>
      </c>
      <c r="D64" t="s">
        <v>19</v>
      </c>
      <c r="E64">
        <v>3003.76</v>
      </c>
      <c r="F64">
        <v>6</v>
      </c>
      <c r="G64" t="s">
        <v>15</v>
      </c>
      <c r="H64">
        <v>2831.23</v>
      </c>
      <c r="I64">
        <v>3206.98</v>
      </c>
      <c r="J64" t="s">
        <v>16</v>
      </c>
      <c r="K64">
        <v>0.06</v>
      </c>
      <c r="L64" t="s">
        <v>24</v>
      </c>
      <c r="M64" t="s">
        <v>20</v>
      </c>
    </row>
    <row r="65" spans="1:13" x14ac:dyDescent="0.25">
      <c r="A65">
        <v>1044</v>
      </c>
      <c r="B65" s="1">
        <v>44973</v>
      </c>
      <c r="C65" t="s">
        <v>21</v>
      </c>
      <c r="D65" t="s">
        <v>22</v>
      </c>
      <c r="E65">
        <v>7754.1</v>
      </c>
      <c r="F65">
        <v>22</v>
      </c>
      <c r="G65" t="s">
        <v>23</v>
      </c>
      <c r="H65">
        <v>3373.46</v>
      </c>
      <c r="I65">
        <v>3454.76</v>
      </c>
      <c r="J65" t="s">
        <v>16</v>
      </c>
      <c r="K65">
        <v>0.22</v>
      </c>
      <c r="L65" t="s">
        <v>24</v>
      </c>
      <c r="M65" t="s">
        <v>20</v>
      </c>
    </row>
    <row r="66" spans="1:13" x14ac:dyDescent="0.25">
      <c r="A66">
        <v>1008</v>
      </c>
      <c r="B66" s="1">
        <v>44927</v>
      </c>
      <c r="C66" t="s">
        <v>31</v>
      </c>
      <c r="D66" t="s">
        <v>14</v>
      </c>
      <c r="E66">
        <v>5227.8100000000004</v>
      </c>
      <c r="F66">
        <v>38</v>
      </c>
      <c r="G66" t="s">
        <v>25</v>
      </c>
      <c r="H66">
        <v>4635.2299999999996</v>
      </c>
      <c r="I66">
        <v>5075.4399999999996</v>
      </c>
      <c r="J66" t="s">
        <v>16</v>
      </c>
      <c r="K66">
        <v>0.05</v>
      </c>
      <c r="L66" t="s">
        <v>17</v>
      </c>
      <c r="M66" t="s">
        <v>18</v>
      </c>
    </row>
    <row r="67" spans="1:13" x14ac:dyDescent="0.25">
      <c r="A67">
        <v>1047</v>
      </c>
      <c r="B67" s="1">
        <v>45016</v>
      </c>
      <c r="C67" t="s">
        <v>32</v>
      </c>
      <c r="D67" t="s">
        <v>29</v>
      </c>
      <c r="E67">
        <v>3546.15</v>
      </c>
      <c r="F67">
        <v>37</v>
      </c>
      <c r="G67" t="s">
        <v>30</v>
      </c>
      <c r="H67">
        <v>3114.88</v>
      </c>
      <c r="I67">
        <v>3256.78</v>
      </c>
      <c r="J67" t="s">
        <v>16</v>
      </c>
      <c r="K67">
        <v>0.26</v>
      </c>
      <c r="L67" t="s">
        <v>27</v>
      </c>
      <c r="M67" t="s">
        <v>18</v>
      </c>
    </row>
    <row r="68" spans="1:13" x14ac:dyDescent="0.25">
      <c r="A68">
        <v>1035</v>
      </c>
      <c r="B68" s="1">
        <v>45068</v>
      </c>
      <c r="C68" t="s">
        <v>32</v>
      </c>
      <c r="D68" t="s">
        <v>22</v>
      </c>
      <c r="E68">
        <v>3780.22</v>
      </c>
      <c r="F68">
        <v>45</v>
      </c>
      <c r="G68" t="s">
        <v>23</v>
      </c>
      <c r="H68">
        <v>4132.79</v>
      </c>
      <c r="I68">
        <v>4624.1000000000004</v>
      </c>
      <c r="J68" t="s">
        <v>26</v>
      </c>
      <c r="K68">
        <v>0.15</v>
      </c>
      <c r="L68" t="s">
        <v>27</v>
      </c>
      <c r="M68" t="s">
        <v>20</v>
      </c>
    </row>
    <row r="69" spans="1:13" x14ac:dyDescent="0.25">
      <c r="A69">
        <v>1078</v>
      </c>
      <c r="B69" s="1">
        <v>45246</v>
      </c>
      <c r="C69" t="s">
        <v>21</v>
      </c>
      <c r="D69" t="s">
        <v>29</v>
      </c>
      <c r="E69">
        <v>113.4</v>
      </c>
      <c r="F69">
        <v>8</v>
      </c>
      <c r="G69" t="s">
        <v>15</v>
      </c>
      <c r="H69">
        <v>3459.61</v>
      </c>
      <c r="I69">
        <v>3657.23</v>
      </c>
      <c r="J69" t="s">
        <v>16</v>
      </c>
      <c r="K69">
        <v>0.03</v>
      </c>
      <c r="L69" t="s">
        <v>24</v>
      </c>
      <c r="M69" t="s">
        <v>18</v>
      </c>
    </row>
    <row r="70" spans="1:13" x14ac:dyDescent="0.25">
      <c r="A70">
        <v>1081</v>
      </c>
      <c r="B70" s="1">
        <v>44964</v>
      </c>
      <c r="C70" t="s">
        <v>21</v>
      </c>
      <c r="D70" t="s">
        <v>29</v>
      </c>
      <c r="E70">
        <v>3068.03</v>
      </c>
      <c r="F70">
        <v>41</v>
      </c>
      <c r="G70" t="s">
        <v>15</v>
      </c>
      <c r="H70">
        <v>2782.08</v>
      </c>
      <c r="I70">
        <v>2879.24</v>
      </c>
      <c r="J70" t="s">
        <v>26</v>
      </c>
      <c r="K70">
        <v>0.21</v>
      </c>
      <c r="L70" t="s">
        <v>24</v>
      </c>
      <c r="M70" t="s">
        <v>18</v>
      </c>
    </row>
    <row r="71" spans="1:13" x14ac:dyDescent="0.25">
      <c r="A71">
        <v>1036</v>
      </c>
      <c r="B71" s="1">
        <v>45219</v>
      </c>
      <c r="C71" t="s">
        <v>21</v>
      </c>
      <c r="D71" t="s">
        <v>14</v>
      </c>
      <c r="E71">
        <v>6499.94</v>
      </c>
      <c r="F71">
        <v>49</v>
      </c>
      <c r="G71" t="s">
        <v>25</v>
      </c>
      <c r="H71">
        <v>1247.0999999999999</v>
      </c>
      <c r="I71">
        <v>1429.4399999999901</v>
      </c>
      <c r="J71" t="s">
        <v>26</v>
      </c>
      <c r="K71">
        <v>0.16</v>
      </c>
      <c r="L71" t="s">
        <v>17</v>
      </c>
      <c r="M71" t="s">
        <v>18</v>
      </c>
    </row>
    <row r="72" spans="1:13" x14ac:dyDescent="0.25">
      <c r="A72">
        <v>1050</v>
      </c>
      <c r="B72" s="1">
        <v>45065</v>
      </c>
      <c r="C72" t="s">
        <v>28</v>
      </c>
      <c r="D72" t="s">
        <v>29</v>
      </c>
      <c r="E72">
        <v>9744.52</v>
      </c>
      <c r="F72">
        <v>35</v>
      </c>
      <c r="G72" t="s">
        <v>25</v>
      </c>
      <c r="H72">
        <v>2158.69</v>
      </c>
      <c r="I72">
        <v>2384.38</v>
      </c>
      <c r="J72" t="s">
        <v>16</v>
      </c>
      <c r="K72">
        <v>0.09</v>
      </c>
      <c r="L72" t="s">
        <v>24</v>
      </c>
      <c r="M72" t="s">
        <v>20</v>
      </c>
    </row>
    <row r="73" spans="1:13" x14ac:dyDescent="0.25">
      <c r="A73">
        <v>1004</v>
      </c>
      <c r="B73" s="1">
        <v>45282</v>
      </c>
      <c r="C73" t="s">
        <v>31</v>
      </c>
      <c r="D73" t="s">
        <v>14</v>
      </c>
      <c r="E73">
        <v>8485.9</v>
      </c>
      <c r="F73">
        <v>11</v>
      </c>
      <c r="G73" t="s">
        <v>25</v>
      </c>
      <c r="H73">
        <v>4840.33</v>
      </c>
      <c r="I73">
        <v>4884.29</v>
      </c>
      <c r="J73" t="s">
        <v>26</v>
      </c>
      <c r="K73">
        <v>0.13</v>
      </c>
      <c r="L73" t="s">
        <v>17</v>
      </c>
      <c r="M73" t="s">
        <v>18</v>
      </c>
    </row>
    <row r="74" spans="1:13" x14ac:dyDescent="0.25">
      <c r="A74">
        <v>1002</v>
      </c>
      <c r="B74" s="1">
        <v>45259</v>
      </c>
      <c r="C74" t="s">
        <v>21</v>
      </c>
      <c r="D74" t="s">
        <v>14</v>
      </c>
      <c r="E74">
        <v>333.59</v>
      </c>
      <c r="F74">
        <v>24</v>
      </c>
      <c r="G74" t="s">
        <v>15</v>
      </c>
      <c r="H74">
        <v>3305.94</v>
      </c>
      <c r="I74">
        <v>3599.27</v>
      </c>
      <c r="J74" t="s">
        <v>26</v>
      </c>
      <c r="K74">
        <v>0.09</v>
      </c>
      <c r="L74" t="s">
        <v>27</v>
      </c>
      <c r="M74" t="s">
        <v>20</v>
      </c>
    </row>
    <row r="75" spans="1:13" x14ac:dyDescent="0.25">
      <c r="A75">
        <v>1006</v>
      </c>
      <c r="B75" s="1">
        <v>45185</v>
      </c>
      <c r="C75" t="s">
        <v>13</v>
      </c>
      <c r="D75" t="s">
        <v>14</v>
      </c>
      <c r="E75">
        <v>8995.75</v>
      </c>
      <c r="F75">
        <v>49</v>
      </c>
      <c r="G75" t="s">
        <v>23</v>
      </c>
      <c r="H75">
        <v>2843.76</v>
      </c>
      <c r="I75">
        <v>3146.6</v>
      </c>
      <c r="J75" t="s">
        <v>26</v>
      </c>
      <c r="K75">
        <v>0.08</v>
      </c>
      <c r="L75" t="s">
        <v>17</v>
      </c>
      <c r="M75" t="s">
        <v>20</v>
      </c>
    </row>
    <row r="76" spans="1:13" x14ac:dyDescent="0.25">
      <c r="A76">
        <v>1054</v>
      </c>
      <c r="B76" s="1">
        <v>45087</v>
      </c>
      <c r="C76" t="s">
        <v>13</v>
      </c>
      <c r="D76" t="s">
        <v>22</v>
      </c>
      <c r="E76">
        <v>7853.66</v>
      </c>
      <c r="F76">
        <v>21</v>
      </c>
      <c r="G76" t="s">
        <v>15</v>
      </c>
      <c r="H76">
        <v>4668.1400000000003</v>
      </c>
      <c r="I76">
        <v>5040.22</v>
      </c>
      <c r="J76" t="s">
        <v>26</v>
      </c>
      <c r="K76">
        <v>0.05</v>
      </c>
      <c r="L76" t="s">
        <v>24</v>
      </c>
      <c r="M76" t="s">
        <v>18</v>
      </c>
    </row>
    <row r="77" spans="1:13" x14ac:dyDescent="0.25">
      <c r="A77">
        <v>1004</v>
      </c>
      <c r="B77" s="1">
        <v>45104</v>
      </c>
      <c r="C77" t="s">
        <v>32</v>
      </c>
      <c r="D77" t="s">
        <v>19</v>
      </c>
      <c r="E77">
        <v>7825.72</v>
      </c>
      <c r="F77">
        <v>2</v>
      </c>
      <c r="G77" t="s">
        <v>30</v>
      </c>
      <c r="H77">
        <v>2953.23</v>
      </c>
      <c r="I77">
        <v>2977.52</v>
      </c>
      <c r="J77" t="s">
        <v>16</v>
      </c>
      <c r="K77">
        <v>0.11</v>
      </c>
      <c r="L77" t="s">
        <v>27</v>
      </c>
      <c r="M77" t="s">
        <v>20</v>
      </c>
    </row>
    <row r="78" spans="1:13" x14ac:dyDescent="0.25">
      <c r="A78">
        <v>1054</v>
      </c>
      <c r="B78" s="1">
        <v>44936</v>
      </c>
      <c r="C78" t="s">
        <v>31</v>
      </c>
      <c r="D78" t="s">
        <v>22</v>
      </c>
      <c r="E78">
        <v>4634.16</v>
      </c>
      <c r="F78">
        <v>40</v>
      </c>
      <c r="G78" t="s">
        <v>15</v>
      </c>
      <c r="H78">
        <v>2654.11</v>
      </c>
      <c r="I78">
        <v>2929.32</v>
      </c>
      <c r="J78" t="s">
        <v>16</v>
      </c>
      <c r="K78">
        <v>0.08</v>
      </c>
      <c r="L78" t="s">
        <v>17</v>
      </c>
      <c r="M78" t="s">
        <v>18</v>
      </c>
    </row>
    <row r="79" spans="1:13" x14ac:dyDescent="0.25">
      <c r="A79">
        <v>1093</v>
      </c>
      <c r="B79" s="1">
        <v>45187</v>
      </c>
      <c r="C79" t="s">
        <v>21</v>
      </c>
      <c r="D79" t="s">
        <v>19</v>
      </c>
      <c r="E79">
        <v>4040.25</v>
      </c>
      <c r="F79">
        <v>19</v>
      </c>
      <c r="G79" t="s">
        <v>30</v>
      </c>
      <c r="H79">
        <v>3808.59</v>
      </c>
      <c r="I79">
        <v>3844.51</v>
      </c>
      <c r="J79" t="s">
        <v>26</v>
      </c>
      <c r="K79">
        <v>0.21</v>
      </c>
      <c r="L79" t="s">
        <v>27</v>
      </c>
      <c r="M79" t="s">
        <v>18</v>
      </c>
    </row>
    <row r="80" spans="1:13" x14ac:dyDescent="0.25">
      <c r="A80">
        <v>1063</v>
      </c>
      <c r="B80" s="1">
        <v>45064</v>
      </c>
      <c r="C80" t="s">
        <v>13</v>
      </c>
      <c r="D80" t="s">
        <v>19</v>
      </c>
      <c r="E80">
        <v>3098.87</v>
      </c>
      <c r="F80">
        <v>39</v>
      </c>
      <c r="G80" t="s">
        <v>23</v>
      </c>
      <c r="H80">
        <v>3577.69</v>
      </c>
      <c r="I80">
        <v>3931.25</v>
      </c>
      <c r="J80" t="s">
        <v>16</v>
      </c>
      <c r="K80">
        <v>0.21</v>
      </c>
      <c r="L80" t="s">
        <v>17</v>
      </c>
      <c r="M80" t="s">
        <v>20</v>
      </c>
    </row>
    <row r="81" spans="1:13" x14ac:dyDescent="0.25">
      <c r="A81">
        <v>1018</v>
      </c>
      <c r="B81" s="1">
        <v>45098</v>
      </c>
      <c r="C81" t="s">
        <v>31</v>
      </c>
      <c r="D81" t="s">
        <v>14</v>
      </c>
      <c r="E81">
        <v>750.38</v>
      </c>
      <c r="F81">
        <v>28</v>
      </c>
      <c r="G81" t="s">
        <v>25</v>
      </c>
      <c r="H81">
        <v>1006.14</v>
      </c>
      <c r="I81">
        <v>1043.45</v>
      </c>
      <c r="J81" t="s">
        <v>26</v>
      </c>
      <c r="K81">
        <v>0.15</v>
      </c>
      <c r="L81" t="s">
        <v>24</v>
      </c>
      <c r="M81" t="s">
        <v>20</v>
      </c>
    </row>
    <row r="82" spans="1:13" x14ac:dyDescent="0.25">
      <c r="A82">
        <v>1090</v>
      </c>
      <c r="B82" s="1">
        <v>44939</v>
      </c>
      <c r="C82" t="s">
        <v>32</v>
      </c>
      <c r="D82" t="s">
        <v>29</v>
      </c>
      <c r="E82">
        <v>2359.5300000000002</v>
      </c>
      <c r="F82">
        <v>17</v>
      </c>
      <c r="G82" t="s">
        <v>25</v>
      </c>
      <c r="H82">
        <v>2382.98</v>
      </c>
      <c r="I82">
        <v>2839.73</v>
      </c>
      <c r="J82" t="s">
        <v>16</v>
      </c>
      <c r="K82">
        <v>0.23</v>
      </c>
      <c r="L82" t="s">
        <v>24</v>
      </c>
      <c r="M82" t="s">
        <v>20</v>
      </c>
    </row>
    <row r="83" spans="1:13" x14ac:dyDescent="0.25">
      <c r="A83">
        <v>1044</v>
      </c>
      <c r="B83" s="1">
        <v>45094</v>
      </c>
      <c r="C83" t="s">
        <v>28</v>
      </c>
      <c r="D83" t="s">
        <v>14</v>
      </c>
      <c r="E83">
        <v>2541.38</v>
      </c>
      <c r="F83">
        <v>6</v>
      </c>
      <c r="G83" t="s">
        <v>15</v>
      </c>
      <c r="H83">
        <v>2388.9499999999998</v>
      </c>
      <c r="I83">
        <v>2742.97</v>
      </c>
      <c r="J83" t="s">
        <v>16</v>
      </c>
      <c r="K83">
        <v>0.25</v>
      </c>
      <c r="L83" t="s">
        <v>27</v>
      </c>
      <c r="M83" t="s">
        <v>20</v>
      </c>
    </row>
    <row r="84" spans="1:13" x14ac:dyDescent="0.25">
      <c r="A84">
        <v>1034</v>
      </c>
      <c r="B84" s="1">
        <v>45056</v>
      </c>
      <c r="C84" t="s">
        <v>31</v>
      </c>
      <c r="D84" t="s">
        <v>29</v>
      </c>
      <c r="E84">
        <v>4892.3599999999997</v>
      </c>
      <c r="F84">
        <v>19</v>
      </c>
      <c r="G84" t="s">
        <v>25</v>
      </c>
      <c r="H84">
        <v>1922.21</v>
      </c>
      <c r="I84">
        <v>2180.83</v>
      </c>
      <c r="J84" t="s">
        <v>16</v>
      </c>
      <c r="K84">
        <v>0.17</v>
      </c>
      <c r="L84" t="s">
        <v>27</v>
      </c>
      <c r="M84" t="s">
        <v>20</v>
      </c>
    </row>
    <row r="85" spans="1:13" x14ac:dyDescent="0.25">
      <c r="A85">
        <v>1074</v>
      </c>
      <c r="B85" s="1">
        <v>45010</v>
      </c>
      <c r="C85" t="s">
        <v>31</v>
      </c>
      <c r="D85" t="s">
        <v>19</v>
      </c>
      <c r="E85">
        <v>7499.7</v>
      </c>
      <c r="F85">
        <v>38</v>
      </c>
      <c r="G85" t="s">
        <v>23</v>
      </c>
      <c r="H85">
        <v>2610.6</v>
      </c>
      <c r="I85">
        <v>2836.94</v>
      </c>
      <c r="J85" t="s">
        <v>16</v>
      </c>
      <c r="K85">
        <v>0.19</v>
      </c>
      <c r="L85" t="s">
        <v>27</v>
      </c>
      <c r="M85" t="s">
        <v>18</v>
      </c>
    </row>
    <row r="86" spans="1:13" x14ac:dyDescent="0.25">
      <c r="A86">
        <v>1062</v>
      </c>
      <c r="B86" s="1">
        <v>45247</v>
      </c>
      <c r="C86" t="s">
        <v>28</v>
      </c>
      <c r="D86" t="s">
        <v>14</v>
      </c>
      <c r="E86">
        <v>4790.72</v>
      </c>
      <c r="F86">
        <v>28</v>
      </c>
      <c r="G86" t="s">
        <v>25</v>
      </c>
      <c r="H86">
        <v>2094.88</v>
      </c>
      <c r="I86">
        <v>2168.91</v>
      </c>
      <c r="J86" t="s">
        <v>16</v>
      </c>
      <c r="K86">
        <v>0.08</v>
      </c>
      <c r="L86" t="s">
        <v>17</v>
      </c>
      <c r="M86" t="s">
        <v>20</v>
      </c>
    </row>
    <row r="87" spans="1:13" x14ac:dyDescent="0.25">
      <c r="A87">
        <v>1100</v>
      </c>
      <c r="B87" s="1">
        <v>45245</v>
      </c>
      <c r="C87" t="s">
        <v>31</v>
      </c>
      <c r="D87" t="s">
        <v>29</v>
      </c>
      <c r="E87">
        <v>672.66</v>
      </c>
      <c r="F87">
        <v>2</v>
      </c>
      <c r="G87" t="s">
        <v>15</v>
      </c>
      <c r="H87">
        <v>1036.76</v>
      </c>
      <c r="I87">
        <v>1189.3499999999999</v>
      </c>
      <c r="J87" t="s">
        <v>26</v>
      </c>
      <c r="K87">
        <v>0.27</v>
      </c>
      <c r="L87" t="s">
        <v>24</v>
      </c>
      <c r="M87" t="s">
        <v>18</v>
      </c>
    </row>
    <row r="88" spans="1:13" x14ac:dyDescent="0.25">
      <c r="A88">
        <v>1014</v>
      </c>
      <c r="B88" s="1">
        <v>45027</v>
      </c>
      <c r="C88" t="s">
        <v>32</v>
      </c>
      <c r="D88" t="s">
        <v>22</v>
      </c>
      <c r="E88">
        <v>9582.1200000000008</v>
      </c>
      <c r="F88">
        <v>38</v>
      </c>
      <c r="G88" t="s">
        <v>23</v>
      </c>
      <c r="H88">
        <v>2091.21</v>
      </c>
      <c r="I88">
        <v>2527</v>
      </c>
      <c r="J88" t="s">
        <v>16</v>
      </c>
      <c r="K88">
        <v>0.01</v>
      </c>
      <c r="L88" t="s">
        <v>27</v>
      </c>
      <c r="M88" t="s">
        <v>18</v>
      </c>
    </row>
    <row r="89" spans="1:13" x14ac:dyDescent="0.25">
      <c r="A89">
        <v>1095</v>
      </c>
      <c r="B89" s="1">
        <v>45255</v>
      </c>
      <c r="C89" t="s">
        <v>32</v>
      </c>
      <c r="D89" t="s">
        <v>29</v>
      </c>
      <c r="E89">
        <v>9432.9699999999993</v>
      </c>
      <c r="F89">
        <v>37</v>
      </c>
      <c r="G89" t="s">
        <v>30</v>
      </c>
      <c r="H89">
        <v>407.77</v>
      </c>
      <c r="I89">
        <v>860.95</v>
      </c>
      <c r="J89" t="s">
        <v>26</v>
      </c>
      <c r="K89">
        <v>0.1</v>
      </c>
      <c r="L89" t="s">
        <v>27</v>
      </c>
      <c r="M89" t="s">
        <v>20</v>
      </c>
    </row>
    <row r="90" spans="1:13" x14ac:dyDescent="0.25">
      <c r="A90">
        <v>1048</v>
      </c>
      <c r="B90" s="1">
        <v>45199</v>
      </c>
      <c r="C90" t="s">
        <v>28</v>
      </c>
      <c r="D90" t="s">
        <v>14</v>
      </c>
      <c r="E90">
        <v>7873.38</v>
      </c>
      <c r="F90">
        <v>4</v>
      </c>
      <c r="G90" t="s">
        <v>15</v>
      </c>
      <c r="H90">
        <v>2900.14</v>
      </c>
      <c r="I90">
        <v>2910.5099999999902</v>
      </c>
      <c r="J90" t="s">
        <v>26</v>
      </c>
      <c r="K90">
        <v>0.22</v>
      </c>
      <c r="L90" t="s">
        <v>27</v>
      </c>
      <c r="M90" t="s">
        <v>20</v>
      </c>
    </row>
    <row r="91" spans="1:13" x14ac:dyDescent="0.25">
      <c r="A91">
        <v>1015</v>
      </c>
      <c r="B91" s="1">
        <v>45191</v>
      </c>
      <c r="C91" t="s">
        <v>21</v>
      </c>
      <c r="D91" t="s">
        <v>22</v>
      </c>
      <c r="E91">
        <v>9914.15</v>
      </c>
      <c r="F91">
        <v>22</v>
      </c>
      <c r="G91" t="s">
        <v>30</v>
      </c>
      <c r="H91">
        <v>4275.59</v>
      </c>
      <c r="I91">
        <v>4576.72</v>
      </c>
      <c r="J91" t="s">
        <v>16</v>
      </c>
      <c r="K91">
        <v>0.02</v>
      </c>
      <c r="L91" t="s">
        <v>17</v>
      </c>
      <c r="M91" t="s">
        <v>20</v>
      </c>
    </row>
    <row r="92" spans="1:13" x14ac:dyDescent="0.25">
      <c r="A92">
        <v>1072</v>
      </c>
      <c r="B92" s="1">
        <v>44964</v>
      </c>
      <c r="C92" t="s">
        <v>13</v>
      </c>
      <c r="D92" t="s">
        <v>29</v>
      </c>
      <c r="E92">
        <v>5490.38</v>
      </c>
      <c r="F92">
        <v>26</v>
      </c>
      <c r="G92" t="s">
        <v>23</v>
      </c>
      <c r="H92">
        <v>3640.17</v>
      </c>
      <c r="I92">
        <v>4002.63</v>
      </c>
      <c r="J92" t="s">
        <v>26</v>
      </c>
      <c r="K92">
        <v>0.05</v>
      </c>
      <c r="L92" t="s">
        <v>27</v>
      </c>
      <c r="M92" t="s">
        <v>20</v>
      </c>
    </row>
    <row r="93" spans="1:13" x14ac:dyDescent="0.25">
      <c r="A93">
        <v>1078</v>
      </c>
      <c r="B93" s="1">
        <v>45020</v>
      </c>
      <c r="C93" t="s">
        <v>21</v>
      </c>
      <c r="D93" t="s">
        <v>29</v>
      </c>
      <c r="E93">
        <v>9631.41</v>
      </c>
      <c r="F93">
        <v>49</v>
      </c>
      <c r="G93" t="s">
        <v>15</v>
      </c>
      <c r="H93">
        <v>1833.95</v>
      </c>
      <c r="I93">
        <v>2147.14</v>
      </c>
      <c r="J93" t="s">
        <v>16</v>
      </c>
      <c r="K93">
        <v>0.18</v>
      </c>
      <c r="L93" t="s">
        <v>27</v>
      </c>
      <c r="M93" t="s">
        <v>20</v>
      </c>
    </row>
    <row r="94" spans="1:13" x14ac:dyDescent="0.25">
      <c r="A94">
        <v>1087</v>
      </c>
      <c r="B94" s="1">
        <v>45021</v>
      </c>
      <c r="C94" t="s">
        <v>31</v>
      </c>
      <c r="D94" t="s">
        <v>29</v>
      </c>
      <c r="E94">
        <v>848.49</v>
      </c>
      <c r="F94">
        <v>43</v>
      </c>
      <c r="G94" t="s">
        <v>15</v>
      </c>
      <c r="H94">
        <v>481</v>
      </c>
      <c r="I94">
        <v>531.02</v>
      </c>
      <c r="J94" t="s">
        <v>26</v>
      </c>
      <c r="K94">
        <v>0.17</v>
      </c>
      <c r="L94" t="s">
        <v>17</v>
      </c>
      <c r="M94" t="s">
        <v>18</v>
      </c>
    </row>
    <row r="95" spans="1:13" x14ac:dyDescent="0.25">
      <c r="A95">
        <v>1062</v>
      </c>
      <c r="B95" s="1">
        <v>45231</v>
      </c>
      <c r="C95" t="s">
        <v>13</v>
      </c>
      <c r="D95" t="s">
        <v>29</v>
      </c>
      <c r="E95">
        <v>3720.24</v>
      </c>
      <c r="F95">
        <v>36</v>
      </c>
      <c r="G95" t="s">
        <v>23</v>
      </c>
      <c r="H95">
        <v>1050.6400000000001</v>
      </c>
      <c r="I95">
        <v>1167.33</v>
      </c>
      <c r="J95" t="s">
        <v>26</v>
      </c>
      <c r="K95">
        <v>0.22</v>
      </c>
      <c r="L95" t="s">
        <v>17</v>
      </c>
      <c r="M95" t="s">
        <v>18</v>
      </c>
    </row>
    <row r="96" spans="1:13" x14ac:dyDescent="0.25">
      <c r="A96">
        <v>1040</v>
      </c>
      <c r="B96" s="1">
        <v>44995</v>
      </c>
      <c r="C96" t="s">
        <v>28</v>
      </c>
      <c r="D96" t="s">
        <v>29</v>
      </c>
      <c r="E96">
        <v>2331.27</v>
      </c>
      <c r="F96">
        <v>13</v>
      </c>
      <c r="G96" t="s">
        <v>25</v>
      </c>
      <c r="H96">
        <v>2750.18</v>
      </c>
      <c r="I96">
        <v>2882.85</v>
      </c>
      <c r="J96" t="s">
        <v>16</v>
      </c>
      <c r="K96">
        <v>0.24</v>
      </c>
      <c r="L96" t="s">
        <v>27</v>
      </c>
      <c r="M96" t="s">
        <v>18</v>
      </c>
    </row>
    <row r="97" spans="1:13" x14ac:dyDescent="0.25">
      <c r="A97">
        <v>1085</v>
      </c>
      <c r="B97" s="1">
        <v>45244</v>
      </c>
      <c r="C97" t="s">
        <v>28</v>
      </c>
      <c r="D97" t="s">
        <v>22</v>
      </c>
      <c r="E97">
        <v>2038.75</v>
      </c>
      <c r="F97">
        <v>32</v>
      </c>
      <c r="G97" t="s">
        <v>15</v>
      </c>
      <c r="H97">
        <v>1074.93</v>
      </c>
      <c r="I97">
        <v>1492.48</v>
      </c>
      <c r="J97" t="s">
        <v>16</v>
      </c>
      <c r="K97">
        <v>0.04</v>
      </c>
      <c r="L97" t="s">
        <v>27</v>
      </c>
      <c r="M97" t="s">
        <v>20</v>
      </c>
    </row>
    <row r="98" spans="1:13" x14ac:dyDescent="0.25">
      <c r="A98">
        <v>1080</v>
      </c>
      <c r="B98" s="1">
        <v>45162</v>
      </c>
      <c r="C98" t="s">
        <v>13</v>
      </c>
      <c r="D98" t="s">
        <v>19</v>
      </c>
      <c r="E98">
        <v>1493.95</v>
      </c>
      <c r="F98">
        <v>17</v>
      </c>
      <c r="G98" t="s">
        <v>15</v>
      </c>
      <c r="H98">
        <v>2742.67</v>
      </c>
      <c r="I98">
        <v>2979.64</v>
      </c>
      <c r="J98" t="s">
        <v>16</v>
      </c>
      <c r="K98">
        <v>0.01</v>
      </c>
      <c r="L98" t="s">
        <v>17</v>
      </c>
      <c r="M98" t="s">
        <v>20</v>
      </c>
    </row>
    <row r="99" spans="1:13" x14ac:dyDescent="0.25">
      <c r="A99">
        <v>1082</v>
      </c>
      <c r="B99" s="1">
        <v>45260</v>
      </c>
      <c r="C99" t="s">
        <v>32</v>
      </c>
      <c r="D99" t="s">
        <v>22</v>
      </c>
      <c r="E99">
        <v>6261.9</v>
      </c>
      <c r="F99">
        <v>41</v>
      </c>
      <c r="G99" t="s">
        <v>30</v>
      </c>
      <c r="H99">
        <v>1196.42</v>
      </c>
      <c r="I99">
        <v>1444.97</v>
      </c>
      <c r="J99" t="s">
        <v>16</v>
      </c>
      <c r="K99">
        <v>0.21</v>
      </c>
      <c r="L99" t="s">
        <v>24</v>
      </c>
      <c r="M99" t="s">
        <v>18</v>
      </c>
    </row>
    <row r="100" spans="1:13" x14ac:dyDescent="0.25">
      <c r="A100">
        <v>1053</v>
      </c>
      <c r="B100" s="1">
        <v>45063</v>
      </c>
      <c r="C100" t="s">
        <v>13</v>
      </c>
      <c r="D100" t="s">
        <v>22</v>
      </c>
      <c r="E100">
        <v>7835.09</v>
      </c>
      <c r="F100">
        <v>36</v>
      </c>
      <c r="G100" t="s">
        <v>25</v>
      </c>
      <c r="H100">
        <v>4252.17</v>
      </c>
      <c r="I100">
        <v>4720.2700000000004</v>
      </c>
      <c r="J100" t="s">
        <v>26</v>
      </c>
      <c r="K100">
        <v>0.09</v>
      </c>
      <c r="L100" t="s">
        <v>17</v>
      </c>
      <c r="M100" t="s">
        <v>20</v>
      </c>
    </row>
    <row r="101" spans="1:13" x14ac:dyDescent="0.25">
      <c r="A101">
        <v>1024</v>
      </c>
      <c r="B101" s="1">
        <v>45002</v>
      </c>
      <c r="C101" t="s">
        <v>31</v>
      </c>
      <c r="D101" t="s">
        <v>22</v>
      </c>
      <c r="E101">
        <v>5825.15</v>
      </c>
      <c r="F101">
        <v>46</v>
      </c>
      <c r="G101" t="s">
        <v>30</v>
      </c>
      <c r="H101">
        <v>2016.49</v>
      </c>
      <c r="I101">
        <v>2338.66</v>
      </c>
      <c r="J101" t="s">
        <v>16</v>
      </c>
      <c r="K101">
        <v>0.19</v>
      </c>
      <c r="L101" t="s">
        <v>24</v>
      </c>
      <c r="M101" t="s">
        <v>20</v>
      </c>
    </row>
    <row r="102" spans="1:13" x14ac:dyDescent="0.25">
      <c r="A102">
        <v>1026</v>
      </c>
      <c r="B102" s="1">
        <v>44961</v>
      </c>
      <c r="C102" t="s">
        <v>32</v>
      </c>
      <c r="D102" t="s">
        <v>19</v>
      </c>
      <c r="E102">
        <v>1554.93</v>
      </c>
      <c r="F102">
        <v>19</v>
      </c>
      <c r="G102" t="s">
        <v>30</v>
      </c>
      <c r="H102">
        <v>1265.48</v>
      </c>
      <c r="I102">
        <v>1715.83</v>
      </c>
      <c r="J102" t="s">
        <v>26</v>
      </c>
      <c r="K102">
        <v>0.05</v>
      </c>
      <c r="L102" t="s">
        <v>27</v>
      </c>
      <c r="M102" t="s">
        <v>20</v>
      </c>
    </row>
    <row r="103" spans="1:13" x14ac:dyDescent="0.25">
      <c r="A103">
        <v>1089</v>
      </c>
      <c r="B103" s="1">
        <v>44927</v>
      </c>
      <c r="C103" t="s">
        <v>28</v>
      </c>
      <c r="D103" t="s">
        <v>14</v>
      </c>
      <c r="E103">
        <v>8130.13</v>
      </c>
      <c r="F103">
        <v>35</v>
      </c>
      <c r="G103" t="s">
        <v>25</v>
      </c>
      <c r="H103">
        <v>4071.01</v>
      </c>
      <c r="I103">
        <v>4304.7</v>
      </c>
      <c r="J103" t="s">
        <v>26</v>
      </c>
      <c r="K103">
        <v>0.14000000000000001</v>
      </c>
      <c r="L103" t="s">
        <v>27</v>
      </c>
      <c r="M103" t="s">
        <v>18</v>
      </c>
    </row>
    <row r="104" spans="1:13" x14ac:dyDescent="0.25">
      <c r="A104">
        <v>1060</v>
      </c>
      <c r="B104" s="1">
        <v>45222</v>
      </c>
      <c r="C104" t="s">
        <v>13</v>
      </c>
      <c r="D104" t="s">
        <v>19</v>
      </c>
      <c r="E104">
        <v>6395.95</v>
      </c>
      <c r="F104">
        <v>46</v>
      </c>
      <c r="G104" t="s">
        <v>25</v>
      </c>
      <c r="H104">
        <v>1747.05</v>
      </c>
      <c r="I104">
        <v>1830.27</v>
      </c>
      <c r="J104" t="s">
        <v>26</v>
      </c>
      <c r="K104">
        <v>0.15</v>
      </c>
      <c r="L104" t="s">
        <v>24</v>
      </c>
      <c r="M104" t="s">
        <v>20</v>
      </c>
    </row>
    <row r="105" spans="1:13" x14ac:dyDescent="0.25">
      <c r="A105">
        <v>1041</v>
      </c>
      <c r="B105" s="1">
        <v>45246</v>
      </c>
      <c r="C105" t="s">
        <v>21</v>
      </c>
      <c r="D105" t="s">
        <v>22</v>
      </c>
      <c r="E105">
        <v>3942.84</v>
      </c>
      <c r="F105">
        <v>40</v>
      </c>
      <c r="G105" t="s">
        <v>23</v>
      </c>
      <c r="H105">
        <v>601.86</v>
      </c>
      <c r="I105">
        <v>1067.53</v>
      </c>
      <c r="J105" t="s">
        <v>26</v>
      </c>
      <c r="K105">
        <v>0.18</v>
      </c>
      <c r="L105" t="s">
        <v>17</v>
      </c>
      <c r="M105" t="s">
        <v>18</v>
      </c>
    </row>
    <row r="106" spans="1:13" x14ac:dyDescent="0.25">
      <c r="A106">
        <v>1029</v>
      </c>
      <c r="B106" s="1">
        <v>44986</v>
      </c>
      <c r="C106" t="s">
        <v>21</v>
      </c>
      <c r="D106" t="s">
        <v>29</v>
      </c>
      <c r="E106">
        <v>6773.89</v>
      </c>
      <c r="F106">
        <v>28</v>
      </c>
      <c r="G106" t="s">
        <v>25</v>
      </c>
      <c r="H106">
        <v>2873.53</v>
      </c>
      <c r="I106">
        <v>3108.3</v>
      </c>
      <c r="J106" t="s">
        <v>26</v>
      </c>
      <c r="K106">
        <v>0.15</v>
      </c>
      <c r="L106" t="s">
        <v>27</v>
      </c>
      <c r="M106" t="s">
        <v>20</v>
      </c>
    </row>
    <row r="107" spans="1:13" x14ac:dyDescent="0.25">
      <c r="A107">
        <v>1015</v>
      </c>
      <c r="B107" s="1">
        <v>45246</v>
      </c>
      <c r="C107" t="s">
        <v>31</v>
      </c>
      <c r="D107" t="s">
        <v>29</v>
      </c>
      <c r="E107">
        <v>2673.06</v>
      </c>
      <c r="F107">
        <v>1</v>
      </c>
      <c r="G107" t="s">
        <v>15</v>
      </c>
      <c r="H107">
        <v>2928.74</v>
      </c>
      <c r="I107">
        <v>3027.74</v>
      </c>
      <c r="J107" t="s">
        <v>26</v>
      </c>
      <c r="K107">
        <v>0.15</v>
      </c>
      <c r="L107" t="s">
        <v>24</v>
      </c>
      <c r="M107" t="s">
        <v>20</v>
      </c>
    </row>
    <row r="108" spans="1:13" x14ac:dyDescent="0.25">
      <c r="A108">
        <v>1045</v>
      </c>
      <c r="B108" s="1">
        <v>45275</v>
      </c>
      <c r="C108" t="s">
        <v>21</v>
      </c>
      <c r="D108" t="s">
        <v>22</v>
      </c>
      <c r="E108">
        <v>3517.4</v>
      </c>
      <c r="F108">
        <v>42</v>
      </c>
      <c r="G108" t="s">
        <v>25</v>
      </c>
      <c r="H108">
        <v>3587.74</v>
      </c>
      <c r="I108">
        <v>3745.91</v>
      </c>
      <c r="J108" t="s">
        <v>16</v>
      </c>
      <c r="K108">
        <v>0.1</v>
      </c>
      <c r="L108" t="s">
        <v>17</v>
      </c>
      <c r="M108" t="s">
        <v>18</v>
      </c>
    </row>
    <row r="109" spans="1:13" x14ac:dyDescent="0.25">
      <c r="A109">
        <v>1065</v>
      </c>
      <c r="B109" s="1">
        <v>45254</v>
      </c>
      <c r="C109" t="s">
        <v>13</v>
      </c>
      <c r="D109" t="s">
        <v>29</v>
      </c>
      <c r="E109">
        <v>9183.11</v>
      </c>
      <c r="F109">
        <v>18</v>
      </c>
      <c r="G109" t="s">
        <v>23</v>
      </c>
      <c r="H109">
        <v>1239.0899999999999</v>
      </c>
      <c r="I109">
        <v>1273.98</v>
      </c>
      <c r="J109" t="s">
        <v>26</v>
      </c>
      <c r="K109">
        <v>0.02</v>
      </c>
      <c r="L109" t="s">
        <v>24</v>
      </c>
      <c r="M109" t="s">
        <v>20</v>
      </c>
    </row>
    <row r="110" spans="1:13" x14ac:dyDescent="0.25">
      <c r="A110">
        <v>1089</v>
      </c>
      <c r="B110" s="1">
        <v>45193</v>
      </c>
      <c r="C110" t="s">
        <v>13</v>
      </c>
      <c r="D110" t="s">
        <v>22</v>
      </c>
      <c r="E110">
        <v>2975.99</v>
      </c>
      <c r="F110">
        <v>48</v>
      </c>
      <c r="G110" t="s">
        <v>23</v>
      </c>
      <c r="H110">
        <v>2246.67</v>
      </c>
      <c r="I110">
        <v>2486.14</v>
      </c>
      <c r="J110" t="s">
        <v>26</v>
      </c>
      <c r="K110">
        <v>0.03</v>
      </c>
      <c r="L110" t="s">
        <v>17</v>
      </c>
      <c r="M110" t="s">
        <v>20</v>
      </c>
    </row>
    <row r="111" spans="1:13" x14ac:dyDescent="0.25">
      <c r="A111">
        <v>1071</v>
      </c>
      <c r="B111" s="1">
        <v>45287</v>
      </c>
      <c r="C111" t="s">
        <v>21</v>
      </c>
      <c r="D111" t="s">
        <v>29</v>
      </c>
      <c r="E111">
        <v>4752.88</v>
      </c>
      <c r="F111">
        <v>40</v>
      </c>
      <c r="G111" t="s">
        <v>23</v>
      </c>
      <c r="H111">
        <v>1447.72</v>
      </c>
      <c r="I111">
        <v>1875.75</v>
      </c>
      <c r="J111" t="s">
        <v>26</v>
      </c>
      <c r="K111">
        <v>0.13</v>
      </c>
      <c r="L111" t="s">
        <v>17</v>
      </c>
      <c r="M111" t="s">
        <v>20</v>
      </c>
    </row>
    <row r="112" spans="1:13" x14ac:dyDescent="0.25">
      <c r="A112">
        <v>1009</v>
      </c>
      <c r="B112" s="1">
        <v>45155</v>
      </c>
      <c r="C112" t="s">
        <v>13</v>
      </c>
      <c r="D112" t="s">
        <v>19</v>
      </c>
      <c r="E112">
        <v>8912.4</v>
      </c>
      <c r="F112">
        <v>33</v>
      </c>
      <c r="G112" t="s">
        <v>25</v>
      </c>
      <c r="H112">
        <v>450.72</v>
      </c>
      <c r="I112">
        <v>918.17</v>
      </c>
      <c r="J112" t="s">
        <v>16</v>
      </c>
      <c r="K112">
        <v>0.11</v>
      </c>
      <c r="L112" t="s">
        <v>17</v>
      </c>
      <c r="M112" t="s">
        <v>18</v>
      </c>
    </row>
    <row r="113" spans="1:13" x14ac:dyDescent="0.25">
      <c r="A113">
        <v>1088</v>
      </c>
      <c r="B113" s="1">
        <v>45196</v>
      </c>
      <c r="C113" t="s">
        <v>31</v>
      </c>
      <c r="D113" t="s">
        <v>14</v>
      </c>
      <c r="E113">
        <v>7106.44</v>
      </c>
      <c r="F113">
        <v>12</v>
      </c>
      <c r="G113" t="s">
        <v>25</v>
      </c>
      <c r="H113">
        <v>4389.24</v>
      </c>
      <c r="I113">
        <v>4856.2199999999903</v>
      </c>
      <c r="J113" t="s">
        <v>16</v>
      </c>
      <c r="K113">
        <v>0.15</v>
      </c>
      <c r="L113" t="s">
        <v>17</v>
      </c>
      <c r="M113" t="s">
        <v>20</v>
      </c>
    </row>
    <row r="114" spans="1:13" x14ac:dyDescent="0.25">
      <c r="A114">
        <v>1001</v>
      </c>
      <c r="B114" s="1">
        <v>45242</v>
      </c>
      <c r="C114" t="s">
        <v>32</v>
      </c>
      <c r="D114" t="s">
        <v>14</v>
      </c>
      <c r="E114">
        <v>715.81</v>
      </c>
      <c r="F114">
        <v>8</v>
      </c>
      <c r="G114" t="s">
        <v>30</v>
      </c>
      <c r="H114">
        <v>3657.91</v>
      </c>
      <c r="I114">
        <v>3729.27</v>
      </c>
      <c r="J114" t="s">
        <v>26</v>
      </c>
      <c r="K114">
        <v>0.09</v>
      </c>
      <c r="L114" t="s">
        <v>24</v>
      </c>
      <c r="M114" t="s">
        <v>20</v>
      </c>
    </row>
    <row r="115" spans="1:13" x14ac:dyDescent="0.25">
      <c r="A115">
        <v>1008</v>
      </c>
      <c r="B115" s="1">
        <v>45212</v>
      </c>
      <c r="C115" t="s">
        <v>31</v>
      </c>
      <c r="D115" t="s">
        <v>19</v>
      </c>
      <c r="E115">
        <v>1558.3</v>
      </c>
      <c r="F115">
        <v>24</v>
      </c>
      <c r="G115" t="s">
        <v>30</v>
      </c>
      <c r="H115">
        <v>1542.24</v>
      </c>
      <c r="I115">
        <v>1739.45</v>
      </c>
      <c r="J115" t="s">
        <v>16</v>
      </c>
      <c r="K115">
        <v>0.21</v>
      </c>
      <c r="L115" t="s">
        <v>24</v>
      </c>
      <c r="M115" t="s">
        <v>20</v>
      </c>
    </row>
    <row r="116" spans="1:13" x14ac:dyDescent="0.25">
      <c r="A116">
        <v>1088</v>
      </c>
      <c r="B116" s="1">
        <v>45217</v>
      </c>
      <c r="C116" t="s">
        <v>31</v>
      </c>
      <c r="D116" t="s">
        <v>19</v>
      </c>
      <c r="E116">
        <v>177.63</v>
      </c>
      <c r="F116">
        <v>16</v>
      </c>
      <c r="G116" t="s">
        <v>15</v>
      </c>
      <c r="H116">
        <v>3016.9</v>
      </c>
      <c r="I116">
        <v>3040.73</v>
      </c>
      <c r="J116" t="s">
        <v>26</v>
      </c>
      <c r="K116">
        <v>0.26</v>
      </c>
      <c r="L116" t="s">
        <v>24</v>
      </c>
      <c r="M116" t="s">
        <v>20</v>
      </c>
    </row>
    <row r="117" spans="1:13" x14ac:dyDescent="0.25">
      <c r="A117">
        <v>1063</v>
      </c>
      <c r="B117" s="1">
        <v>45139</v>
      </c>
      <c r="C117" t="s">
        <v>13</v>
      </c>
      <c r="D117" t="s">
        <v>22</v>
      </c>
      <c r="E117">
        <v>6346.13</v>
      </c>
      <c r="F117">
        <v>4</v>
      </c>
      <c r="G117" t="s">
        <v>30</v>
      </c>
      <c r="H117">
        <v>1046.26</v>
      </c>
      <c r="I117">
        <v>1475.29</v>
      </c>
      <c r="J117" t="s">
        <v>16</v>
      </c>
      <c r="K117">
        <v>0.09</v>
      </c>
      <c r="L117" t="s">
        <v>24</v>
      </c>
      <c r="M117" t="s">
        <v>20</v>
      </c>
    </row>
    <row r="118" spans="1:13" x14ac:dyDescent="0.25">
      <c r="A118">
        <v>1011</v>
      </c>
      <c r="B118" s="1">
        <v>45091</v>
      </c>
      <c r="C118" t="s">
        <v>32</v>
      </c>
      <c r="D118" t="s">
        <v>22</v>
      </c>
      <c r="E118">
        <v>4531.97</v>
      </c>
      <c r="F118">
        <v>38</v>
      </c>
      <c r="G118" t="s">
        <v>15</v>
      </c>
      <c r="H118">
        <v>4456.67</v>
      </c>
      <c r="I118">
        <v>4642.46</v>
      </c>
      <c r="J118" t="s">
        <v>26</v>
      </c>
      <c r="K118">
        <v>0.06</v>
      </c>
      <c r="L118" t="s">
        <v>24</v>
      </c>
      <c r="M118" t="s">
        <v>18</v>
      </c>
    </row>
    <row r="119" spans="1:13" x14ac:dyDescent="0.25">
      <c r="A119">
        <v>1081</v>
      </c>
      <c r="B119" s="1">
        <v>44931</v>
      </c>
      <c r="C119" t="s">
        <v>13</v>
      </c>
      <c r="D119" t="s">
        <v>22</v>
      </c>
      <c r="E119">
        <v>1429.32</v>
      </c>
      <c r="F119">
        <v>44</v>
      </c>
      <c r="G119" t="s">
        <v>23</v>
      </c>
      <c r="H119">
        <v>618.79</v>
      </c>
      <c r="I119">
        <v>938.04</v>
      </c>
      <c r="J119" t="s">
        <v>16</v>
      </c>
      <c r="K119">
        <v>0.03</v>
      </c>
      <c r="L119" t="s">
        <v>17</v>
      </c>
      <c r="M119" t="s">
        <v>18</v>
      </c>
    </row>
    <row r="120" spans="1:13" x14ac:dyDescent="0.25">
      <c r="A120">
        <v>1008</v>
      </c>
      <c r="B120" s="1">
        <v>45265</v>
      </c>
      <c r="C120" t="s">
        <v>28</v>
      </c>
      <c r="D120" t="s">
        <v>29</v>
      </c>
      <c r="E120">
        <v>9583.5499999999993</v>
      </c>
      <c r="F120">
        <v>27</v>
      </c>
      <c r="G120" t="s">
        <v>30</v>
      </c>
      <c r="H120">
        <v>68.989999999999995</v>
      </c>
      <c r="I120">
        <v>429.29</v>
      </c>
      <c r="J120" t="s">
        <v>16</v>
      </c>
      <c r="K120">
        <v>0.18</v>
      </c>
      <c r="L120" t="s">
        <v>27</v>
      </c>
      <c r="M120" t="s">
        <v>20</v>
      </c>
    </row>
    <row r="121" spans="1:13" x14ac:dyDescent="0.25">
      <c r="A121">
        <v>1035</v>
      </c>
      <c r="B121" s="1">
        <v>45004</v>
      </c>
      <c r="C121" t="s">
        <v>13</v>
      </c>
      <c r="D121" t="s">
        <v>22</v>
      </c>
      <c r="E121">
        <v>5343.63</v>
      </c>
      <c r="F121">
        <v>9</v>
      </c>
      <c r="G121" t="s">
        <v>25</v>
      </c>
      <c r="H121">
        <v>2534.94</v>
      </c>
      <c r="I121">
        <v>2755.56</v>
      </c>
      <c r="J121" t="s">
        <v>16</v>
      </c>
      <c r="K121">
        <v>0.13</v>
      </c>
      <c r="L121" t="s">
        <v>27</v>
      </c>
      <c r="M121" t="s">
        <v>20</v>
      </c>
    </row>
    <row r="122" spans="1:13" x14ac:dyDescent="0.25">
      <c r="A122">
        <v>1035</v>
      </c>
      <c r="B122" s="1">
        <v>44988</v>
      </c>
      <c r="C122" t="s">
        <v>13</v>
      </c>
      <c r="D122" t="s">
        <v>19</v>
      </c>
      <c r="E122">
        <v>2494.7399999999998</v>
      </c>
      <c r="F122">
        <v>47</v>
      </c>
      <c r="G122" t="s">
        <v>30</v>
      </c>
      <c r="H122">
        <v>2936.48</v>
      </c>
      <c r="I122">
        <v>3096.64</v>
      </c>
      <c r="J122" t="s">
        <v>26</v>
      </c>
      <c r="K122">
        <v>0.06</v>
      </c>
      <c r="L122" t="s">
        <v>24</v>
      </c>
      <c r="M122" t="s">
        <v>18</v>
      </c>
    </row>
    <row r="123" spans="1:13" x14ac:dyDescent="0.25">
      <c r="A123">
        <v>1033</v>
      </c>
      <c r="B123" s="1">
        <v>45058</v>
      </c>
      <c r="C123" t="s">
        <v>13</v>
      </c>
      <c r="D123" t="s">
        <v>14</v>
      </c>
      <c r="E123">
        <v>5055.9799999999996</v>
      </c>
      <c r="F123">
        <v>16</v>
      </c>
      <c r="G123" t="s">
        <v>15</v>
      </c>
      <c r="H123">
        <v>2915.88</v>
      </c>
      <c r="I123">
        <v>3397.36</v>
      </c>
      <c r="J123" t="s">
        <v>26</v>
      </c>
      <c r="K123">
        <v>0.2</v>
      </c>
      <c r="L123" t="s">
        <v>24</v>
      </c>
      <c r="M123" t="s">
        <v>20</v>
      </c>
    </row>
    <row r="124" spans="1:13" x14ac:dyDescent="0.25">
      <c r="A124">
        <v>1005</v>
      </c>
      <c r="B124" s="1">
        <v>45015</v>
      </c>
      <c r="C124" t="s">
        <v>32</v>
      </c>
      <c r="D124" t="s">
        <v>29</v>
      </c>
      <c r="E124">
        <v>6828.24</v>
      </c>
      <c r="F124">
        <v>12</v>
      </c>
      <c r="G124" t="s">
        <v>30</v>
      </c>
      <c r="H124">
        <v>319.83</v>
      </c>
      <c r="I124">
        <v>802.43</v>
      </c>
      <c r="J124" t="s">
        <v>26</v>
      </c>
      <c r="K124">
        <v>0.04</v>
      </c>
      <c r="L124" t="s">
        <v>27</v>
      </c>
      <c r="M124" t="s">
        <v>20</v>
      </c>
    </row>
    <row r="125" spans="1:13" x14ac:dyDescent="0.25">
      <c r="A125">
        <v>1041</v>
      </c>
      <c r="B125" s="1">
        <v>45163</v>
      </c>
      <c r="C125" t="s">
        <v>13</v>
      </c>
      <c r="D125" t="s">
        <v>22</v>
      </c>
      <c r="E125">
        <v>854.77</v>
      </c>
      <c r="F125">
        <v>31</v>
      </c>
      <c r="G125" t="s">
        <v>23</v>
      </c>
      <c r="H125">
        <v>1604.52</v>
      </c>
      <c r="I125">
        <v>1756.34</v>
      </c>
      <c r="J125" t="s">
        <v>16</v>
      </c>
      <c r="K125">
        <v>0.17</v>
      </c>
      <c r="L125" t="s">
        <v>17</v>
      </c>
      <c r="M125" t="s">
        <v>20</v>
      </c>
    </row>
    <row r="126" spans="1:13" x14ac:dyDescent="0.25">
      <c r="A126">
        <v>1028</v>
      </c>
      <c r="B126" s="1">
        <v>44968</v>
      </c>
      <c r="C126" t="s">
        <v>32</v>
      </c>
      <c r="D126" t="s">
        <v>29</v>
      </c>
      <c r="E126">
        <v>2819.57</v>
      </c>
      <c r="F126">
        <v>24</v>
      </c>
      <c r="G126" t="s">
        <v>25</v>
      </c>
      <c r="H126">
        <v>2521.0300000000002</v>
      </c>
      <c r="I126">
        <v>2766.05</v>
      </c>
      <c r="J126" t="s">
        <v>16</v>
      </c>
      <c r="K126">
        <v>0.16</v>
      </c>
      <c r="L126" t="s">
        <v>24</v>
      </c>
      <c r="M126" t="s">
        <v>20</v>
      </c>
    </row>
    <row r="127" spans="1:13" x14ac:dyDescent="0.25">
      <c r="A127">
        <v>1007</v>
      </c>
      <c r="B127" s="1">
        <v>45015</v>
      </c>
      <c r="C127" t="s">
        <v>21</v>
      </c>
      <c r="D127" t="s">
        <v>29</v>
      </c>
      <c r="E127">
        <v>8088.96</v>
      </c>
      <c r="F127">
        <v>14</v>
      </c>
      <c r="G127" t="s">
        <v>15</v>
      </c>
      <c r="H127">
        <v>1122.07</v>
      </c>
      <c r="I127">
        <v>1608.76</v>
      </c>
      <c r="J127" t="s">
        <v>26</v>
      </c>
      <c r="K127">
        <v>0.22</v>
      </c>
      <c r="L127" t="s">
        <v>17</v>
      </c>
      <c r="M127" t="s">
        <v>20</v>
      </c>
    </row>
    <row r="128" spans="1:13" x14ac:dyDescent="0.25">
      <c r="A128">
        <v>1073</v>
      </c>
      <c r="B128" s="1">
        <v>45222</v>
      </c>
      <c r="C128" t="s">
        <v>28</v>
      </c>
      <c r="D128" t="s">
        <v>22</v>
      </c>
      <c r="E128">
        <v>4650.68</v>
      </c>
      <c r="F128">
        <v>45</v>
      </c>
      <c r="G128" t="s">
        <v>25</v>
      </c>
      <c r="H128">
        <v>4369.5</v>
      </c>
      <c r="I128">
        <v>4381.8900000000003</v>
      </c>
      <c r="J128" t="s">
        <v>16</v>
      </c>
      <c r="K128">
        <v>0.02</v>
      </c>
      <c r="L128" t="s">
        <v>27</v>
      </c>
      <c r="M128" t="s">
        <v>20</v>
      </c>
    </row>
    <row r="129" spans="1:13" x14ac:dyDescent="0.25">
      <c r="A129">
        <v>1072</v>
      </c>
      <c r="B129" s="1">
        <v>45254</v>
      </c>
      <c r="C129" t="s">
        <v>32</v>
      </c>
      <c r="D129" t="s">
        <v>29</v>
      </c>
      <c r="E129">
        <v>5511.11</v>
      </c>
      <c r="F129">
        <v>25</v>
      </c>
      <c r="G129" t="s">
        <v>25</v>
      </c>
      <c r="H129">
        <v>481.19</v>
      </c>
      <c r="I129">
        <v>693.4</v>
      </c>
      <c r="J129" t="s">
        <v>26</v>
      </c>
      <c r="K129">
        <v>0.27</v>
      </c>
      <c r="L129" t="s">
        <v>27</v>
      </c>
      <c r="M129" t="s">
        <v>20</v>
      </c>
    </row>
    <row r="130" spans="1:13" x14ac:dyDescent="0.25">
      <c r="A130">
        <v>1012</v>
      </c>
      <c r="B130" s="1">
        <v>45221</v>
      </c>
      <c r="C130" t="s">
        <v>21</v>
      </c>
      <c r="D130" t="s">
        <v>14</v>
      </c>
      <c r="E130">
        <v>4384.88</v>
      </c>
      <c r="F130">
        <v>34</v>
      </c>
      <c r="G130" t="s">
        <v>15</v>
      </c>
      <c r="H130">
        <v>2462.5500000000002</v>
      </c>
      <c r="I130">
        <v>2521.77</v>
      </c>
      <c r="J130" t="s">
        <v>26</v>
      </c>
      <c r="K130">
        <v>0.21</v>
      </c>
      <c r="L130" t="s">
        <v>24</v>
      </c>
      <c r="M130" t="s">
        <v>20</v>
      </c>
    </row>
    <row r="131" spans="1:13" x14ac:dyDescent="0.25">
      <c r="A131">
        <v>1034</v>
      </c>
      <c r="B131" s="1">
        <v>45030</v>
      </c>
      <c r="C131" t="s">
        <v>32</v>
      </c>
      <c r="D131" t="s">
        <v>19</v>
      </c>
      <c r="E131">
        <v>534.61</v>
      </c>
      <c r="F131">
        <v>3</v>
      </c>
      <c r="G131" t="s">
        <v>25</v>
      </c>
      <c r="H131">
        <v>3472.51</v>
      </c>
      <c r="I131">
        <v>3732</v>
      </c>
      <c r="J131" t="s">
        <v>26</v>
      </c>
      <c r="K131">
        <v>0.06</v>
      </c>
      <c r="L131" t="s">
        <v>17</v>
      </c>
      <c r="M131" t="s">
        <v>18</v>
      </c>
    </row>
    <row r="132" spans="1:13" x14ac:dyDescent="0.25">
      <c r="A132">
        <v>1033</v>
      </c>
      <c r="B132" s="1">
        <v>44940</v>
      </c>
      <c r="C132" t="s">
        <v>32</v>
      </c>
      <c r="D132" t="s">
        <v>19</v>
      </c>
      <c r="E132">
        <v>1740.92</v>
      </c>
      <c r="F132">
        <v>24</v>
      </c>
      <c r="G132" t="s">
        <v>25</v>
      </c>
      <c r="H132">
        <v>1345.67</v>
      </c>
      <c r="I132">
        <v>1367.76</v>
      </c>
      <c r="J132" t="s">
        <v>26</v>
      </c>
      <c r="K132">
        <v>0.06</v>
      </c>
      <c r="L132" t="s">
        <v>24</v>
      </c>
      <c r="M132" t="s">
        <v>18</v>
      </c>
    </row>
    <row r="133" spans="1:13" x14ac:dyDescent="0.25">
      <c r="A133">
        <v>1048</v>
      </c>
      <c r="B133" s="1">
        <v>45214</v>
      </c>
      <c r="C133" t="s">
        <v>28</v>
      </c>
      <c r="D133" t="s">
        <v>14</v>
      </c>
      <c r="E133">
        <v>4510.8599999999997</v>
      </c>
      <c r="F133">
        <v>42</v>
      </c>
      <c r="G133" t="s">
        <v>30</v>
      </c>
      <c r="H133">
        <v>3139.99</v>
      </c>
      <c r="I133">
        <v>3349.37</v>
      </c>
      <c r="J133" t="s">
        <v>16</v>
      </c>
      <c r="K133">
        <v>0.13</v>
      </c>
      <c r="L133" t="s">
        <v>27</v>
      </c>
      <c r="M133" t="s">
        <v>20</v>
      </c>
    </row>
    <row r="134" spans="1:13" x14ac:dyDescent="0.25">
      <c r="A134">
        <v>1023</v>
      </c>
      <c r="B134" s="1">
        <v>45105</v>
      </c>
      <c r="C134" t="s">
        <v>31</v>
      </c>
      <c r="D134" t="s">
        <v>29</v>
      </c>
      <c r="E134">
        <v>2170.94</v>
      </c>
      <c r="F134">
        <v>9</v>
      </c>
      <c r="G134" t="s">
        <v>25</v>
      </c>
      <c r="H134">
        <v>4155.46</v>
      </c>
      <c r="I134">
        <v>4273.6000000000004</v>
      </c>
      <c r="J134" t="s">
        <v>16</v>
      </c>
      <c r="K134">
        <v>0.25</v>
      </c>
      <c r="L134" t="s">
        <v>17</v>
      </c>
      <c r="M134" t="s">
        <v>20</v>
      </c>
    </row>
    <row r="135" spans="1:13" x14ac:dyDescent="0.25">
      <c r="A135">
        <v>1062</v>
      </c>
      <c r="B135" s="1">
        <v>45051</v>
      </c>
      <c r="C135" t="s">
        <v>31</v>
      </c>
      <c r="D135" t="s">
        <v>22</v>
      </c>
      <c r="E135">
        <v>594.79</v>
      </c>
      <c r="F135">
        <v>26</v>
      </c>
      <c r="G135" t="s">
        <v>25</v>
      </c>
      <c r="H135">
        <v>992.17</v>
      </c>
      <c r="I135">
        <v>1263.49</v>
      </c>
      <c r="J135" t="s">
        <v>16</v>
      </c>
      <c r="K135">
        <v>0.25</v>
      </c>
      <c r="L135" t="s">
        <v>24</v>
      </c>
      <c r="M135" t="s">
        <v>20</v>
      </c>
    </row>
    <row r="136" spans="1:13" x14ac:dyDescent="0.25">
      <c r="A136">
        <v>1088</v>
      </c>
      <c r="B136" s="1">
        <v>45279</v>
      </c>
      <c r="C136" t="s">
        <v>32</v>
      </c>
      <c r="D136" t="s">
        <v>29</v>
      </c>
      <c r="E136">
        <v>8452.1299999999992</v>
      </c>
      <c r="F136">
        <v>20</v>
      </c>
      <c r="G136" t="s">
        <v>25</v>
      </c>
      <c r="H136">
        <v>4590.24</v>
      </c>
      <c r="I136">
        <v>5088.28</v>
      </c>
      <c r="J136" t="s">
        <v>26</v>
      </c>
      <c r="K136">
        <v>0.16</v>
      </c>
      <c r="L136" t="s">
        <v>24</v>
      </c>
      <c r="M136" t="s">
        <v>20</v>
      </c>
    </row>
    <row r="137" spans="1:13" x14ac:dyDescent="0.25">
      <c r="A137">
        <v>1037</v>
      </c>
      <c r="B137" s="1">
        <v>44949</v>
      </c>
      <c r="C137" t="s">
        <v>13</v>
      </c>
      <c r="D137" t="s">
        <v>14</v>
      </c>
      <c r="E137">
        <v>9813.81</v>
      </c>
      <c r="F137">
        <v>40</v>
      </c>
      <c r="G137" t="s">
        <v>25</v>
      </c>
      <c r="H137">
        <v>2790.11</v>
      </c>
      <c r="I137">
        <v>3192.37</v>
      </c>
      <c r="J137" t="s">
        <v>16</v>
      </c>
      <c r="K137">
        <v>0.26</v>
      </c>
      <c r="L137" t="s">
        <v>24</v>
      </c>
      <c r="M137" t="s">
        <v>18</v>
      </c>
    </row>
    <row r="138" spans="1:13" x14ac:dyDescent="0.25">
      <c r="A138">
        <v>1099</v>
      </c>
      <c r="B138" s="1">
        <v>44989</v>
      </c>
      <c r="C138" t="s">
        <v>21</v>
      </c>
      <c r="D138" t="s">
        <v>29</v>
      </c>
      <c r="E138">
        <v>7952.11</v>
      </c>
      <c r="F138">
        <v>10</v>
      </c>
      <c r="G138" t="s">
        <v>15</v>
      </c>
      <c r="H138">
        <v>1531.2</v>
      </c>
      <c r="I138">
        <v>1955.56</v>
      </c>
      <c r="J138" t="s">
        <v>26</v>
      </c>
      <c r="K138">
        <v>0</v>
      </c>
      <c r="L138" t="s">
        <v>27</v>
      </c>
      <c r="M138" t="s">
        <v>18</v>
      </c>
    </row>
    <row r="139" spans="1:13" x14ac:dyDescent="0.25">
      <c r="A139">
        <v>1044</v>
      </c>
      <c r="B139" s="1">
        <v>45069</v>
      </c>
      <c r="C139" t="s">
        <v>13</v>
      </c>
      <c r="D139" t="s">
        <v>19</v>
      </c>
      <c r="E139">
        <v>8552.4699999999993</v>
      </c>
      <c r="F139">
        <v>19</v>
      </c>
      <c r="G139" t="s">
        <v>23</v>
      </c>
      <c r="H139">
        <v>2182.75</v>
      </c>
      <c r="I139">
        <v>2504.0299999999902</v>
      </c>
      <c r="J139" t="s">
        <v>26</v>
      </c>
      <c r="K139">
        <v>0.01</v>
      </c>
      <c r="L139" t="s">
        <v>24</v>
      </c>
      <c r="M139" t="s">
        <v>18</v>
      </c>
    </row>
    <row r="140" spans="1:13" x14ac:dyDescent="0.25">
      <c r="A140">
        <v>1086</v>
      </c>
      <c r="B140" s="1">
        <v>45079</v>
      </c>
      <c r="C140" t="s">
        <v>13</v>
      </c>
      <c r="D140" t="s">
        <v>29</v>
      </c>
      <c r="E140">
        <v>2495.5700000000002</v>
      </c>
      <c r="F140">
        <v>3</v>
      </c>
      <c r="G140" t="s">
        <v>30</v>
      </c>
      <c r="H140">
        <v>1595.35</v>
      </c>
      <c r="I140">
        <v>1625.70999999999</v>
      </c>
      <c r="J140" t="s">
        <v>26</v>
      </c>
      <c r="K140">
        <v>0.27</v>
      </c>
      <c r="L140" t="s">
        <v>17</v>
      </c>
      <c r="M140" t="s">
        <v>18</v>
      </c>
    </row>
    <row r="141" spans="1:13" x14ac:dyDescent="0.25">
      <c r="A141">
        <v>1091</v>
      </c>
      <c r="B141" s="1">
        <v>45071</v>
      </c>
      <c r="C141" t="s">
        <v>32</v>
      </c>
      <c r="D141" t="s">
        <v>14</v>
      </c>
      <c r="E141">
        <v>9610.2099999999991</v>
      </c>
      <c r="F141">
        <v>24</v>
      </c>
      <c r="G141" t="s">
        <v>25</v>
      </c>
      <c r="H141">
        <v>3639.3</v>
      </c>
      <c r="I141">
        <v>3750.63</v>
      </c>
      <c r="J141" t="s">
        <v>26</v>
      </c>
      <c r="K141">
        <v>0.23</v>
      </c>
      <c r="L141" t="s">
        <v>24</v>
      </c>
      <c r="M141" t="s">
        <v>20</v>
      </c>
    </row>
    <row r="142" spans="1:13" x14ac:dyDescent="0.25">
      <c r="A142">
        <v>1035</v>
      </c>
      <c r="B142" s="1">
        <v>45151</v>
      </c>
      <c r="C142" t="s">
        <v>32</v>
      </c>
      <c r="D142" t="s">
        <v>19</v>
      </c>
      <c r="E142">
        <v>2049.56</v>
      </c>
      <c r="F142">
        <v>5</v>
      </c>
      <c r="G142" t="s">
        <v>25</v>
      </c>
      <c r="H142">
        <v>3991.69</v>
      </c>
      <c r="I142">
        <v>4454.97</v>
      </c>
      <c r="J142" t="s">
        <v>26</v>
      </c>
      <c r="K142">
        <v>0.14000000000000001</v>
      </c>
      <c r="L142" t="s">
        <v>27</v>
      </c>
      <c r="M142" t="s">
        <v>20</v>
      </c>
    </row>
    <row r="143" spans="1:13" x14ac:dyDescent="0.25">
      <c r="A143">
        <v>1065</v>
      </c>
      <c r="B143" s="1">
        <v>45235</v>
      </c>
      <c r="C143" t="s">
        <v>32</v>
      </c>
      <c r="D143" t="s">
        <v>29</v>
      </c>
      <c r="E143">
        <v>9519.16</v>
      </c>
      <c r="F143">
        <v>3</v>
      </c>
      <c r="G143" t="s">
        <v>15</v>
      </c>
      <c r="H143">
        <v>4173.04</v>
      </c>
      <c r="I143">
        <v>4362.4399999999996</v>
      </c>
      <c r="J143" t="s">
        <v>26</v>
      </c>
      <c r="K143">
        <v>0.23</v>
      </c>
      <c r="L143" t="s">
        <v>24</v>
      </c>
      <c r="M143" t="s">
        <v>20</v>
      </c>
    </row>
    <row r="144" spans="1:13" x14ac:dyDescent="0.25">
      <c r="A144">
        <v>1099</v>
      </c>
      <c r="B144" s="1">
        <v>45030</v>
      </c>
      <c r="C144" t="s">
        <v>32</v>
      </c>
      <c r="D144" t="s">
        <v>29</v>
      </c>
      <c r="E144">
        <v>9948.7099999999991</v>
      </c>
      <c r="F144">
        <v>27</v>
      </c>
      <c r="G144" t="s">
        <v>23</v>
      </c>
      <c r="H144">
        <v>4929.55</v>
      </c>
      <c r="I144">
        <v>4990.33</v>
      </c>
      <c r="J144" t="s">
        <v>16</v>
      </c>
      <c r="K144">
        <v>0.28999999999999998</v>
      </c>
      <c r="L144" t="s">
        <v>27</v>
      </c>
      <c r="M144" t="s">
        <v>18</v>
      </c>
    </row>
    <row r="145" spans="1:13" x14ac:dyDescent="0.25">
      <c r="A145">
        <v>1047</v>
      </c>
      <c r="B145" s="1">
        <v>45030</v>
      </c>
      <c r="C145" t="s">
        <v>31</v>
      </c>
      <c r="D145" t="s">
        <v>19</v>
      </c>
      <c r="E145">
        <v>7146.06</v>
      </c>
      <c r="F145">
        <v>16</v>
      </c>
      <c r="G145" t="s">
        <v>25</v>
      </c>
      <c r="H145">
        <v>3966.86</v>
      </c>
      <c r="I145">
        <v>4321.04</v>
      </c>
      <c r="J145" t="s">
        <v>16</v>
      </c>
      <c r="K145">
        <v>0.23</v>
      </c>
      <c r="L145" t="s">
        <v>27</v>
      </c>
      <c r="M145" t="s">
        <v>20</v>
      </c>
    </row>
    <row r="146" spans="1:13" x14ac:dyDescent="0.25">
      <c r="A146">
        <v>1078</v>
      </c>
      <c r="B146" s="1">
        <v>44965</v>
      </c>
      <c r="C146" t="s">
        <v>32</v>
      </c>
      <c r="D146" t="s">
        <v>22</v>
      </c>
      <c r="E146">
        <v>9813.32</v>
      </c>
      <c r="F146">
        <v>49</v>
      </c>
      <c r="G146" t="s">
        <v>15</v>
      </c>
      <c r="H146">
        <v>3026.85</v>
      </c>
      <c r="I146">
        <v>3183.58</v>
      </c>
      <c r="J146" t="s">
        <v>16</v>
      </c>
      <c r="K146">
        <v>0.25</v>
      </c>
      <c r="L146" t="s">
        <v>17</v>
      </c>
      <c r="M146" t="s">
        <v>20</v>
      </c>
    </row>
    <row r="147" spans="1:13" x14ac:dyDescent="0.25">
      <c r="A147">
        <v>1003</v>
      </c>
      <c r="B147" s="1">
        <v>45124</v>
      </c>
      <c r="C147" t="s">
        <v>31</v>
      </c>
      <c r="D147" t="s">
        <v>19</v>
      </c>
      <c r="E147">
        <v>5738.44</v>
      </c>
      <c r="F147">
        <v>15</v>
      </c>
      <c r="G147" t="s">
        <v>30</v>
      </c>
      <c r="H147">
        <v>1729.14</v>
      </c>
      <c r="I147">
        <v>1870.88</v>
      </c>
      <c r="J147" t="s">
        <v>16</v>
      </c>
      <c r="K147">
        <v>0.23</v>
      </c>
      <c r="L147" t="s">
        <v>17</v>
      </c>
      <c r="M147" t="s">
        <v>18</v>
      </c>
    </row>
    <row r="148" spans="1:13" x14ac:dyDescent="0.25">
      <c r="A148">
        <v>1001</v>
      </c>
      <c r="B148" s="1">
        <v>45060</v>
      </c>
      <c r="C148" t="s">
        <v>31</v>
      </c>
      <c r="D148" t="s">
        <v>22</v>
      </c>
      <c r="E148">
        <v>2669.46</v>
      </c>
      <c r="F148">
        <v>35</v>
      </c>
      <c r="G148" t="s">
        <v>30</v>
      </c>
      <c r="H148">
        <v>2745.75</v>
      </c>
      <c r="I148">
        <v>3244.76</v>
      </c>
      <c r="J148" t="s">
        <v>26</v>
      </c>
      <c r="K148">
        <v>0.05</v>
      </c>
      <c r="L148" t="s">
        <v>24</v>
      </c>
      <c r="M148" t="s">
        <v>18</v>
      </c>
    </row>
    <row r="149" spans="1:13" x14ac:dyDescent="0.25">
      <c r="A149">
        <v>1005</v>
      </c>
      <c r="B149" s="1">
        <v>44993</v>
      </c>
      <c r="C149" t="s">
        <v>32</v>
      </c>
      <c r="D149" t="s">
        <v>14</v>
      </c>
      <c r="E149">
        <v>4426.26</v>
      </c>
      <c r="F149">
        <v>12</v>
      </c>
      <c r="G149" t="s">
        <v>25</v>
      </c>
      <c r="H149">
        <v>253.29</v>
      </c>
      <c r="I149">
        <v>683.78</v>
      </c>
      <c r="J149" t="s">
        <v>26</v>
      </c>
      <c r="K149">
        <v>0.25</v>
      </c>
      <c r="L149" t="s">
        <v>27</v>
      </c>
      <c r="M149" t="s">
        <v>18</v>
      </c>
    </row>
    <row r="150" spans="1:13" x14ac:dyDescent="0.25">
      <c r="A150">
        <v>1090</v>
      </c>
      <c r="B150" s="1">
        <v>45105</v>
      </c>
      <c r="C150" t="s">
        <v>28</v>
      </c>
      <c r="D150" t="s">
        <v>14</v>
      </c>
      <c r="E150">
        <v>5976.25</v>
      </c>
      <c r="F150">
        <v>41</v>
      </c>
      <c r="G150" t="s">
        <v>25</v>
      </c>
      <c r="H150">
        <v>3736.88</v>
      </c>
      <c r="I150">
        <v>3946.77</v>
      </c>
      <c r="J150" t="s">
        <v>16</v>
      </c>
      <c r="K150">
        <v>0.06</v>
      </c>
      <c r="L150" t="s">
        <v>27</v>
      </c>
      <c r="M150" t="s">
        <v>18</v>
      </c>
    </row>
    <row r="151" spans="1:13" x14ac:dyDescent="0.25">
      <c r="A151">
        <v>1014</v>
      </c>
      <c r="B151" s="1">
        <v>44968</v>
      </c>
      <c r="C151" t="s">
        <v>21</v>
      </c>
      <c r="D151" t="s">
        <v>19</v>
      </c>
      <c r="E151">
        <v>823.51</v>
      </c>
      <c r="F151">
        <v>44</v>
      </c>
      <c r="G151" t="s">
        <v>23</v>
      </c>
      <c r="H151">
        <v>2257.48</v>
      </c>
      <c r="I151">
        <v>2747.81</v>
      </c>
      <c r="J151" t="s">
        <v>16</v>
      </c>
      <c r="K151">
        <v>0.27</v>
      </c>
      <c r="L151" t="s">
        <v>17</v>
      </c>
      <c r="M151" t="s">
        <v>18</v>
      </c>
    </row>
    <row r="152" spans="1:13" x14ac:dyDescent="0.25">
      <c r="A152">
        <v>1027</v>
      </c>
      <c r="B152" s="1">
        <v>44941</v>
      </c>
      <c r="C152" t="s">
        <v>13</v>
      </c>
      <c r="D152" t="s">
        <v>19</v>
      </c>
      <c r="E152">
        <v>6261.2</v>
      </c>
      <c r="F152">
        <v>26</v>
      </c>
      <c r="G152" t="s">
        <v>23</v>
      </c>
      <c r="H152">
        <v>149.11000000000001</v>
      </c>
      <c r="I152">
        <v>477.67</v>
      </c>
      <c r="J152" t="s">
        <v>16</v>
      </c>
      <c r="K152">
        <v>0.14000000000000001</v>
      </c>
      <c r="L152" t="s">
        <v>17</v>
      </c>
      <c r="M152" t="s">
        <v>20</v>
      </c>
    </row>
    <row r="153" spans="1:13" x14ac:dyDescent="0.25">
      <c r="A153">
        <v>1009</v>
      </c>
      <c r="B153" s="1">
        <v>45037</v>
      </c>
      <c r="C153" t="s">
        <v>31</v>
      </c>
      <c r="D153" t="s">
        <v>14</v>
      </c>
      <c r="E153">
        <v>9813.66</v>
      </c>
      <c r="F153">
        <v>47</v>
      </c>
      <c r="G153" t="s">
        <v>25</v>
      </c>
      <c r="H153">
        <v>359.41</v>
      </c>
      <c r="I153">
        <v>733</v>
      </c>
      <c r="J153" t="s">
        <v>16</v>
      </c>
      <c r="K153">
        <v>0.2</v>
      </c>
      <c r="L153" t="s">
        <v>24</v>
      </c>
      <c r="M153" t="s">
        <v>20</v>
      </c>
    </row>
    <row r="154" spans="1:13" x14ac:dyDescent="0.25">
      <c r="A154">
        <v>1079</v>
      </c>
      <c r="B154" s="1">
        <v>45083</v>
      </c>
      <c r="C154" t="s">
        <v>21</v>
      </c>
      <c r="D154" t="s">
        <v>22</v>
      </c>
      <c r="E154">
        <v>1982.07</v>
      </c>
      <c r="F154">
        <v>34</v>
      </c>
      <c r="G154" t="s">
        <v>15</v>
      </c>
      <c r="H154">
        <v>1967.96</v>
      </c>
      <c r="I154">
        <v>1993.4</v>
      </c>
      <c r="J154" t="s">
        <v>16</v>
      </c>
      <c r="K154">
        <v>0.15</v>
      </c>
      <c r="L154" t="s">
        <v>27</v>
      </c>
      <c r="M154" t="s">
        <v>18</v>
      </c>
    </row>
    <row r="155" spans="1:13" x14ac:dyDescent="0.25">
      <c r="A155">
        <v>1015</v>
      </c>
      <c r="B155" s="1">
        <v>45215</v>
      </c>
      <c r="C155" t="s">
        <v>28</v>
      </c>
      <c r="D155" t="s">
        <v>14</v>
      </c>
      <c r="E155">
        <v>7946.69</v>
      </c>
      <c r="F155">
        <v>23</v>
      </c>
      <c r="G155" t="s">
        <v>23</v>
      </c>
      <c r="H155">
        <v>2937.94</v>
      </c>
      <c r="I155">
        <v>3007.53</v>
      </c>
      <c r="J155" t="s">
        <v>16</v>
      </c>
      <c r="K155">
        <v>0.03</v>
      </c>
      <c r="L155" t="s">
        <v>17</v>
      </c>
      <c r="M155" t="s">
        <v>20</v>
      </c>
    </row>
    <row r="156" spans="1:13" x14ac:dyDescent="0.25">
      <c r="A156">
        <v>1090</v>
      </c>
      <c r="B156" s="1">
        <v>45157</v>
      </c>
      <c r="C156" t="s">
        <v>13</v>
      </c>
      <c r="D156" t="s">
        <v>19</v>
      </c>
      <c r="E156">
        <v>9088.2000000000007</v>
      </c>
      <c r="F156">
        <v>31</v>
      </c>
      <c r="G156" t="s">
        <v>25</v>
      </c>
      <c r="H156">
        <v>2347.81</v>
      </c>
      <c r="I156">
        <v>2668.02</v>
      </c>
      <c r="J156" t="s">
        <v>16</v>
      </c>
      <c r="K156">
        <v>0.09</v>
      </c>
      <c r="L156" t="s">
        <v>24</v>
      </c>
      <c r="M156" t="s">
        <v>20</v>
      </c>
    </row>
    <row r="157" spans="1:13" x14ac:dyDescent="0.25">
      <c r="A157">
        <v>1042</v>
      </c>
      <c r="B157" s="1">
        <v>45083</v>
      </c>
      <c r="C157" t="s">
        <v>13</v>
      </c>
      <c r="D157" t="s">
        <v>14</v>
      </c>
      <c r="E157">
        <v>9442.65</v>
      </c>
      <c r="F157">
        <v>20</v>
      </c>
      <c r="G157" t="s">
        <v>23</v>
      </c>
      <c r="H157">
        <v>3115.06</v>
      </c>
      <c r="I157">
        <v>3565.58</v>
      </c>
      <c r="J157" t="s">
        <v>16</v>
      </c>
      <c r="K157">
        <v>0.3</v>
      </c>
      <c r="L157" t="s">
        <v>27</v>
      </c>
      <c r="M157" t="s">
        <v>20</v>
      </c>
    </row>
    <row r="158" spans="1:13" x14ac:dyDescent="0.25">
      <c r="A158">
        <v>1077</v>
      </c>
      <c r="B158" s="1">
        <v>44964</v>
      </c>
      <c r="C158" t="s">
        <v>31</v>
      </c>
      <c r="D158" t="s">
        <v>19</v>
      </c>
      <c r="E158">
        <v>9605.34</v>
      </c>
      <c r="F158">
        <v>12</v>
      </c>
      <c r="G158" t="s">
        <v>25</v>
      </c>
      <c r="H158">
        <v>2427.46</v>
      </c>
      <c r="I158">
        <v>2743.09</v>
      </c>
      <c r="J158" t="s">
        <v>26</v>
      </c>
      <c r="K158">
        <v>0.28999999999999998</v>
      </c>
      <c r="L158" t="s">
        <v>27</v>
      </c>
      <c r="M158" t="s">
        <v>20</v>
      </c>
    </row>
    <row r="159" spans="1:13" x14ac:dyDescent="0.25">
      <c r="A159">
        <v>1051</v>
      </c>
      <c r="B159" s="1">
        <v>45023</v>
      </c>
      <c r="C159" t="s">
        <v>32</v>
      </c>
      <c r="D159" t="s">
        <v>19</v>
      </c>
      <c r="E159">
        <v>5262.45</v>
      </c>
      <c r="F159">
        <v>23</v>
      </c>
      <c r="G159" t="s">
        <v>30</v>
      </c>
      <c r="H159">
        <v>3325.43</v>
      </c>
      <c r="I159">
        <v>3401.1</v>
      </c>
      <c r="J159" t="s">
        <v>26</v>
      </c>
      <c r="K159">
        <v>0.1</v>
      </c>
      <c r="L159" t="s">
        <v>17</v>
      </c>
      <c r="M159" t="s">
        <v>18</v>
      </c>
    </row>
    <row r="160" spans="1:13" x14ac:dyDescent="0.25">
      <c r="A160">
        <v>1063</v>
      </c>
      <c r="B160" s="1">
        <v>45215</v>
      </c>
      <c r="C160" t="s">
        <v>28</v>
      </c>
      <c r="D160" t="s">
        <v>14</v>
      </c>
      <c r="E160">
        <v>9775.35</v>
      </c>
      <c r="F160">
        <v>4</v>
      </c>
      <c r="G160" t="s">
        <v>25</v>
      </c>
      <c r="H160">
        <v>1134.67</v>
      </c>
      <c r="I160">
        <v>1201.3900000000001</v>
      </c>
      <c r="J160" t="s">
        <v>26</v>
      </c>
      <c r="K160">
        <v>0.3</v>
      </c>
      <c r="L160" t="s">
        <v>24</v>
      </c>
      <c r="M160" t="s">
        <v>20</v>
      </c>
    </row>
    <row r="161" spans="1:13" x14ac:dyDescent="0.25">
      <c r="A161">
        <v>1096</v>
      </c>
      <c r="B161" s="1">
        <v>45180</v>
      </c>
      <c r="C161" t="s">
        <v>31</v>
      </c>
      <c r="D161" t="s">
        <v>22</v>
      </c>
      <c r="E161">
        <v>7597.37</v>
      </c>
      <c r="F161">
        <v>23</v>
      </c>
      <c r="G161" t="s">
        <v>30</v>
      </c>
      <c r="H161">
        <v>608.57000000000005</v>
      </c>
      <c r="I161">
        <v>1032.22</v>
      </c>
      <c r="J161" t="s">
        <v>26</v>
      </c>
      <c r="K161">
        <v>0.25</v>
      </c>
      <c r="L161" t="s">
        <v>17</v>
      </c>
      <c r="M161" t="s">
        <v>20</v>
      </c>
    </row>
    <row r="162" spans="1:13" x14ac:dyDescent="0.25">
      <c r="A162">
        <v>1052</v>
      </c>
      <c r="B162" s="1">
        <v>45122</v>
      </c>
      <c r="C162" t="s">
        <v>28</v>
      </c>
      <c r="D162" t="s">
        <v>29</v>
      </c>
      <c r="E162">
        <v>1700.55</v>
      </c>
      <c r="F162">
        <v>48</v>
      </c>
      <c r="G162" t="s">
        <v>23</v>
      </c>
      <c r="H162">
        <v>3002.35</v>
      </c>
      <c r="I162">
        <v>3080.61</v>
      </c>
      <c r="J162" t="s">
        <v>16</v>
      </c>
      <c r="K162">
        <v>0.18</v>
      </c>
      <c r="L162" t="s">
        <v>24</v>
      </c>
      <c r="M162" t="s">
        <v>20</v>
      </c>
    </row>
    <row r="163" spans="1:13" x14ac:dyDescent="0.25">
      <c r="A163">
        <v>1096</v>
      </c>
      <c r="B163" s="1">
        <v>45012</v>
      </c>
      <c r="C163" t="s">
        <v>32</v>
      </c>
      <c r="D163" t="s">
        <v>14</v>
      </c>
      <c r="E163">
        <v>4821.3100000000004</v>
      </c>
      <c r="F163">
        <v>48</v>
      </c>
      <c r="G163" t="s">
        <v>25</v>
      </c>
      <c r="H163">
        <v>2449.21</v>
      </c>
      <c r="I163">
        <v>2714.12</v>
      </c>
      <c r="J163" t="s">
        <v>26</v>
      </c>
      <c r="K163">
        <v>0.01</v>
      </c>
      <c r="L163" t="s">
        <v>27</v>
      </c>
      <c r="M163" t="s">
        <v>18</v>
      </c>
    </row>
    <row r="164" spans="1:13" x14ac:dyDescent="0.25">
      <c r="A164">
        <v>1004</v>
      </c>
      <c r="B164" s="1">
        <v>45248</v>
      </c>
      <c r="C164" t="s">
        <v>32</v>
      </c>
      <c r="D164" t="s">
        <v>29</v>
      </c>
      <c r="E164">
        <v>7211.48</v>
      </c>
      <c r="F164">
        <v>1</v>
      </c>
      <c r="G164" t="s">
        <v>23</v>
      </c>
      <c r="H164">
        <v>182.99</v>
      </c>
      <c r="I164">
        <v>211.18</v>
      </c>
      <c r="J164" t="s">
        <v>16</v>
      </c>
      <c r="K164">
        <v>0.27</v>
      </c>
      <c r="L164" t="s">
        <v>24</v>
      </c>
      <c r="M164" t="s">
        <v>20</v>
      </c>
    </row>
    <row r="165" spans="1:13" x14ac:dyDescent="0.25">
      <c r="A165">
        <v>1094</v>
      </c>
      <c r="B165" s="1">
        <v>44936</v>
      </c>
      <c r="C165" t="s">
        <v>31</v>
      </c>
      <c r="D165" t="s">
        <v>14</v>
      </c>
      <c r="E165">
        <v>2548.67</v>
      </c>
      <c r="F165">
        <v>25</v>
      </c>
      <c r="G165" t="s">
        <v>30</v>
      </c>
      <c r="H165">
        <v>1933.39</v>
      </c>
      <c r="I165">
        <v>1982.92</v>
      </c>
      <c r="J165" t="s">
        <v>26</v>
      </c>
      <c r="K165">
        <v>0.17</v>
      </c>
      <c r="L165" t="s">
        <v>24</v>
      </c>
      <c r="M165" t="s">
        <v>18</v>
      </c>
    </row>
    <row r="166" spans="1:13" x14ac:dyDescent="0.25">
      <c r="A166">
        <v>1023</v>
      </c>
      <c r="B166" s="1">
        <v>44931</v>
      </c>
      <c r="C166" t="s">
        <v>32</v>
      </c>
      <c r="D166" t="s">
        <v>29</v>
      </c>
      <c r="E166">
        <v>6442.09</v>
      </c>
      <c r="F166">
        <v>2</v>
      </c>
      <c r="G166" t="s">
        <v>25</v>
      </c>
      <c r="H166">
        <v>575.32000000000005</v>
      </c>
      <c r="I166">
        <v>914.77</v>
      </c>
      <c r="J166" t="s">
        <v>16</v>
      </c>
      <c r="K166">
        <v>0.26</v>
      </c>
      <c r="L166" t="s">
        <v>24</v>
      </c>
      <c r="M166" t="s">
        <v>18</v>
      </c>
    </row>
    <row r="167" spans="1:13" x14ac:dyDescent="0.25">
      <c r="A167">
        <v>1015</v>
      </c>
      <c r="B167" s="1">
        <v>45049</v>
      </c>
      <c r="C167" t="s">
        <v>21</v>
      </c>
      <c r="D167" t="s">
        <v>22</v>
      </c>
      <c r="E167">
        <v>6699.34</v>
      </c>
      <c r="F167">
        <v>30</v>
      </c>
      <c r="G167" t="s">
        <v>23</v>
      </c>
      <c r="H167">
        <v>2680.22</v>
      </c>
      <c r="I167">
        <v>3027.9199999999901</v>
      </c>
      <c r="J167" t="s">
        <v>16</v>
      </c>
      <c r="K167">
        <v>0.25</v>
      </c>
      <c r="L167" t="s">
        <v>24</v>
      </c>
      <c r="M167" t="s">
        <v>18</v>
      </c>
    </row>
    <row r="168" spans="1:13" x14ac:dyDescent="0.25">
      <c r="A168">
        <v>1043</v>
      </c>
      <c r="B168" s="1">
        <v>45256</v>
      </c>
      <c r="C168" t="s">
        <v>13</v>
      </c>
      <c r="D168" t="s">
        <v>22</v>
      </c>
      <c r="E168">
        <v>1710.73</v>
      </c>
      <c r="F168">
        <v>3</v>
      </c>
      <c r="G168" t="s">
        <v>30</v>
      </c>
      <c r="H168">
        <v>2009.1</v>
      </c>
      <c r="I168">
        <v>2186.42</v>
      </c>
      <c r="J168" t="s">
        <v>26</v>
      </c>
      <c r="K168">
        <v>0.25</v>
      </c>
      <c r="L168" t="s">
        <v>24</v>
      </c>
      <c r="M168" t="s">
        <v>18</v>
      </c>
    </row>
    <row r="169" spans="1:13" x14ac:dyDescent="0.25">
      <c r="A169">
        <v>1029</v>
      </c>
      <c r="B169" s="1">
        <v>45279</v>
      </c>
      <c r="C169" t="s">
        <v>31</v>
      </c>
      <c r="D169" t="s">
        <v>14</v>
      </c>
      <c r="E169">
        <v>5694.34</v>
      </c>
      <c r="F169">
        <v>21</v>
      </c>
      <c r="G169" t="s">
        <v>23</v>
      </c>
      <c r="H169">
        <v>3085.1</v>
      </c>
      <c r="I169">
        <v>3200.75</v>
      </c>
      <c r="J169" t="s">
        <v>26</v>
      </c>
      <c r="K169">
        <v>0.21</v>
      </c>
      <c r="L169" t="s">
        <v>17</v>
      </c>
      <c r="M169" t="s">
        <v>20</v>
      </c>
    </row>
    <row r="170" spans="1:13" x14ac:dyDescent="0.25">
      <c r="A170">
        <v>1036</v>
      </c>
      <c r="B170" s="1">
        <v>45044</v>
      </c>
      <c r="C170" t="s">
        <v>28</v>
      </c>
      <c r="D170" t="s">
        <v>19</v>
      </c>
      <c r="E170">
        <v>7739.11</v>
      </c>
      <c r="F170">
        <v>25</v>
      </c>
      <c r="G170" t="s">
        <v>15</v>
      </c>
      <c r="H170">
        <v>4037.73</v>
      </c>
      <c r="I170">
        <v>4446.45</v>
      </c>
      <c r="J170" t="s">
        <v>16</v>
      </c>
      <c r="K170">
        <v>0.09</v>
      </c>
      <c r="L170" t="s">
        <v>24</v>
      </c>
      <c r="M170" t="s">
        <v>18</v>
      </c>
    </row>
    <row r="171" spans="1:13" x14ac:dyDescent="0.25">
      <c r="A171">
        <v>1013</v>
      </c>
      <c r="B171" s="1">
        <v>45220</v>
      </c>
      <c r="C171" t="s">
        <v>21</v>
      </c>
      <c r="D171" t="s">
        <v>29</v>
      </c>
      <c r="E171">
        <v>5039.07</v>
      </c>
      <c r="F171">
        <v>20</v>
      </c>
      <c r="G171" t="s">
        <v>30</v>
      </c>
      <c r="H171">
        <v>1533.36</v>
      </c>
      <c r="I171">
        <v>1649.73999999999</v>
      </c>
      <c r="J171" t="s">
        <v>16</v>
      </c>
      <c r="K171">
        <v>0.1</v>
      </c>
      <c r="L171" t="s">
        <v>24</v>
      </c>
      <c r="M171" t="s">
        <v>18</v>
      </c>
    </row>
    <row r="172" spans="1:13" x14ac:dyDescent="0.25">
      <c r="A172">
        <v>1032</v>
      </c>
      <c r="B172" s="1">
        <v>45085</v>
      </c>
      <c r="C172" t="s">
        <v>31</v>
      </c>
      <c r="D172" t="s">
        <v>19</v>
      </c>
      <c r="E172">
        <v>219.82</v>
      </c>
      <c r="F172">
        <v>49</v>
      </c>
      <c r="G172" t="s">
        <v>30</v>
      </c>
      <c r="H172">
        <v>4812.41</v>
      </c>
      <c r="I172">
        <v>5088</v>
      </c>
      <c r="J172" t="s">
        <v>16</v>
      </c>
      <c r="K172">
        <v>0.09</v>
      </c>
      <c r="L172" t="s">
        <v>27</v>
      </c>
      <c r="M172" t="s">
        <v>18</v>
      </c>
    </row>
    <row r="173" spans="1:13" x14ac:dyDescent="0.25">
      <c r="A173">
        <v>1071</v>
      </c>
      <c r="B173" s="1">
        <v>45229</v>
      </c>
      <c r="C173" t="s">
        <v>32</v>
      </c>
      <c r="D173" t="s">
        <v>19</v>
      </c>
      <c r="E173">
        <v>189.48</v>
      </c>
      <c r="F173">
        <v>22</v>
      </c>
      <c r="G173" t="s">
        <v>30</v>
      </c>
      <c r="H173">
        <v>2701.39</v>
      </c>
      <c r="I173">
        <v>3185.81</v>
      </c>
      <c r="J173" t="s">
        <v>26</v>
      </c>
      <c r="K173">
        <v>0.01</v>
      </c>
      <c r="L173" t="s">
        <v>24</v>
      </c>
      <c r="M173" t="s">
        <v>18</v>
      </c>
    </row>
    <row r="174" spans="1:13" x14ac:dyDescent="0.25">
      <c r="A174">
        <v>1059</v>
      </c>
      <c r="B174" s="1">
        <v>45154</v>
      </c>
      <c r="C174" t="s">
        <v>32</v>
      </c>
      <c r="D174" t="s">
        <v>19</v>
      </c>
      <c r="E174">
        <v>3634.59</v>
      </c>
      <c r="F174">
        <v>21</v>
      </c>
      <c r="G174" t="s">
        <v>25</v>
      </c>
      <c r="H174">
        <v>3110.54</v>
      </c>
      <c r="I174">
        <v>3192.99</v>
      </c>
      <c r="J174" t="s">
        <v>26</v>
      </c>
      <c r="K174">
        <v>0.17</v>
      </c>
      <c r="L174" t="s">
        <v>27</v>
      </c>
      <c r="M174" t="s">
        <v>18</v>
      </c>
    </row>
    <row r="175" spans="1:13" x14ac:dyDescent="0.25">
      <c r="A175">
        <v>1086</v>
      </c>
      <c r="B175" s="1">
        <v>45291</v>
      </c>
      <c r="C175" t="s">
        <v>32</v>
      </c>
      <c r="D175" t="s">
        <v>22</v>
      </c>
      <c r="E175">
        <v>9269.32</v>
      </c>
      <c r="F175">
        <v>33</v>
      </c>
      <c r="G175" t="s">
        <v>25</v>
      </c>
      <c r="H175">
        <v>3419.33</v>
      </c>
      <c r="I175">
        <v>3890.3599999999901</v>
      </c>
      <c r="J175" t="s">
        <v>16</v>
      </c>
      <c r="K175">
        <v>0.21</v>
      </c>
      <c r="L175" t="s">
        <v>17</v>
      </c>
      <c r="M175" t="s">
        <v>20</v>
      </c>
    </row>
    <row r="176" spans="1:13" x14ac:dyDescent="0.25">
      <c r="A176">
        <v>1028</v>
      </c>
      <c r="B176" s="1">
        <v>45142</v>
      </c>
      <c r="C176" t="s">
        <v>32</v>
      </c>
      <c r="D176" t="s">
        <v>14</v>
      </c>
      <c r="E176">
        <v>2363.9</v>
      </c>
      <c r="F176">
        <v>38</v>
      </c>
      <c r="G176" t="s">
        <v>25</v>
      </c>
      <c r="H176">
        <v>3350.32</v>
      </c>
      <c r="I176">
        <v>3449.94</v>
      </c>
      <c r="J176" t="s">
        <v>26</v>
      </c>
      <c r="K176">
        <v>0.26</v>
      </c>
      <c r="L176" t="s">
        <v>17</v>
      </c>
      <c r="M176" t="s">
        <v>18</v>
      </c>
    </row>
    <row r="177" spans="1:13" x14ac:dyDescent="0.25">
      <c r="A177">
        <v>1066</v>
      </c>
      <c r="B177" s="1">
        <v>45110</v>
      </c>
      <c r="C177" t="s">
        <v>28</v>
      </c>
      <c r="D177" t="s">
        <v>14</v>
      </c>
      <c r="E177">
        <v>6380.2</v>
      </c>
      <c r="F177">
        <v>15</v>
      </c>
      <c r="G177" t="s">
        <v>15</v>
      </c>
      <c r="H177">
        <v>2579.31</v>
      </c>
      <c r="I177">
        <v>2867.36</v>
      </c>
      <c r="J177" t="s">
        <v>16</v>
      </c>
      <c r="K177">
        <v>0.04</v>
      </c>
      <c r="L177" t="s">
        <v>24</v>
      </c>
      <c r="M177" t="s">
        <v>20</v>
      </c>
    </row>
    <row r="178" spans="1:13" x14ac:dyDescent="0.25">
      <c r="A178">
        <v>1042</v>
      </c>
      <c r="B178" s="1">
        <v>44941</v>
      </c>
      <c r="C178" t="s">
        <v>21</v>
      </c>
      <c r="D178" t="s">
        <v>22</v>
      </c>
      <c r="E178">
        <v>2298.5500000000002</v>
      </c>
      <c r="F178">
        <v>46</v>
      </c>
      <c r="G178" t="s">
        <v>15</v>
      </c>
      <c r="H178">
        <v>2172.38</v>
      </c>
      <c r="I178">
        <v>2367.11</v>
      </c>
      <c r="J178" t="s">
        <v>26</v>
      </c>
      <c r="K178">
        <v>0.16</v>
      </c>
      <c r="L178" t="s">
        <v>17</v>
      </c>
      <c r="M178" t="s">
        <v>20</v>
      </c>
    </row>
    <row r="179" spans="1:13" x14ac:dyDescent="0.25">
      <c r="A179">
        <v>1045</v>
      </c>
      <c r="B179" s="1">
        <v>45083</v>
      </c>
      <c r="C179" t="s">
        <v>13</v>
      </c>
      <c r="D179" t="s">
        <v>22</v>
      </c>
      <c r="E179">
        <v>3284.53</v>
      </c>
      <c r="F179">
        <v>15</v>
      </c>
      <c r="G179" t="s">
        <v>30</v>
      </c>
      <c r="H179">
        <v>316.22000000000003</v>
      </c>
      <c r="I179">
        <v>799.04</v>
      </c>
      <c r="J179" t="s">
        <v>26</v>
      </c>
      <c r="K179">
        <v>0</v>
      </c>
      <c r="L179" t="s">
        <v>24</v>
      </c>
      <c r="M179" t="s">
        <v>18</v>
      </c>
    </row>
    <row r="180" spans="1:13" x14ac:dyDescent="0.25">
      <c r="A180">
        <v>1062</v>
      </c>
      <c r="B180" s="1">
        <v>45062</v>
      </c>
      <c r="C180" t="s">
        <v>28</v>
      </c>
      <c r="D180" t="s">
        <v>14</v>
      </c>
      <c r="E180">
        <v>8495.6200000000008</v>
      </c>
      <c r="F180">
        <v>46</v>
      </c>
      <c r="G180" t="s">
        <v>15</v>
      </c>
      <c r="H180">
        <v>159.32</v>
      </c>
      <c r="I180">
        <v>303.36</v>
      </c>
      <c r="J180" t="s">
        <v>26</v>
      </c>
      <c r="K180">
        <v>0.03</v>
      </c>
      <c r="L180" t="s">
        <v>17</v>
      </c>
      <c r="M180" t="s">
        <v>20</v>
      </c>
    </row>
    <row r="181" spans="1:13" x14ac:dyDescent="0.25">
      <c r="A181">
        <v>1057</v>
      </c>
      <c r="B181" s="1">
        <v>45187</v>
      </c>
      <c r="C181" t="s">
        <v>28</v>
      </c>
      <c r="D181" t="s">
        <v>19</v>
      </c>
      <c r="E181">
        <v>7315.73</v>
      </c>
      <c r="F181">
        <v>25</v>
      </c>
      <c r="G181" t="s">
        <v>23</v>
      </c>
      <c r="H181">
        <v>1821.91</v>
      </c>
      <c r="I181">
        <v>2027.74</v>
      </c>
      <c r="J181" t="s">
        <v>26</v>
      </c>
      <c r="K181">
        <v>0.02</v>
      </c>
      <c r="L181" t="s">
        <v>24</v>
      </c>
      <c r="M181" t="s">
        <v>20</v>
      </c>
    </row>
    <row r="182" spans="1:13" x14ac:dyDescent="0.25">
      <c r="A182">
        <v>1006</v>
      </c>
      <c r="B182" s="1">
        <v>45083</v>
      </c>
      <c r="C182" t="s">
        <v>13</v>
      </c>
      <c r="D182" t="s">
        <v>29</v>
      </c>
      <c r="E182">
        <v>1044.45</v>
      </c>
      <c r="F182">
        <v>21</v>
      </c>
      <c r="G182" t="s">
        <v>30</v>
      </c>
      <c r="H182">
        <v>1701.62</v>
      </c>
      <c r="I182">
        <v>2193.2199999999998</v>
      </c>
      <c r="J182" t="s">
        <v>26</v>
      </c>
      <c r="K182">
        <v>0.22</v>
      </c>
      <c r="L182" t="s">
        <v>24</v>
      </c>
      <c r="M182" t="s">
        <v>20</v>
      </c>
    </row>
    <row r="183" spans="1:13" x14ac:dyDescent="0.25">
      <c r="A183">
        <v>1028</v>
      </c>
      <c r="B183" s="1">
        <v>44973</v>
      </c>
      <c r="C183" t="s">
        <v>13</v>
      </c>
      <c r="D183" t="s">
        <v>29</v>
      </c>
      <c r="E183">
        <v>4344.1499999999996</v>
      </c>
      <c r="F183">
        <v>24</v>
      </c>
      <c r="G183" t="s">
        <v>30</v>
      </c>
      <c r="H183">
        <v>1969.09</v>
      </c>
      <c r="I183">
        <v>2241.96</v>
      </c>
      <c r="J183" t="s">
        <v>16</v>
      </c>
      <c r="K183">
        <v>0.02</v>
      </c>
      <c r="L183" t="s">
        <v>27</v>
      </c>
      <c r="M183" t="s">
        <v>18</v>
      </c>
    </row>
    <row r="184" spans="1:13" x14ac:dyDescent="0.25">
      <c r="A184">
        <v>1028</v>
      </c>
      <c r="B184" s="1">
        <v>45250</v>
      </c>
      <c r="C184" t="s">
        <v>32</v>
      </c>
      <c r="D184" t="s">
        <v>29</v>
      </c>
      <c r="E184">
        <v>388.78</v>
      </c>
      <c r="F184">
        <v>5</v>
      </c>
      <c r="G184" t="s">
        <v>23</v>
      </c>
      <c r="H184">
        <v>734.92</v>
      </c>
      <c r="I184">
        <v>991.21</v>
      </c>
      <c r="J184" t="s">
        <v>16</v>
      </c>
      <c r="K184">
        <v>0.21</v>
      </c>
      <c r="L184" t="s">
        <v>27</v>
      </c>
      <c r="M184" t="s">
        <v>18</v>
      </c>
    </row>
    <row r="185" spans="1:13" x14ac:dyDescent="0.25">
      <c r="A185">
        <v>1044</v>
      </c>
      <c r="B185" s="1">
        <v>45258</v>
      </c>
      <c r="C185" t="s">
        <v>28</v>
      </c>
      <c r="D185" t="s">
        <v>19</v>
      </c>
      <c r="E185">
        <v>4860.8100000000004</v>
      </c>
      <c r="F185">
        <v>6</v>
      </c>
      <c r="G185" t="s">
        <v>30</v>
      </c>
      <c r="H185">
        <v>3703.93</v>
      </c>
      <c r="I185">
        <v>3840.24</v>
      </c>
      <c r="J185" t="s">
        <v>26</v>
      </c>
      <c r="K185">
        <v>7.0000000000000007E-2</v>
      </c>
      <c r="L185" t="s">
        <v>27</v>
      </c>
      <c r="M185" t="s">
        <v>18</v>
      </c>
    </row>
    <row r="186" spans="1:13" x14ac:dyDescent="0.25">
      <c r="A186">
        <v>1084</v>
      </c>
      <c r="B186" s="1">
        <v>45099</v>
      </c>
      <c r="C186" t="s">
        <v>31</v>
      </c>
      <c r="D186" t="s">
        <v>14</v>
      </c>
      <c r="E186">
        <v>6658.1</v>
      </c>
      <c r="F186">
        <v>49</v>
      </c>
      <c r="G186" t="s">
        <v>15</v>
      </c>
      <c r="H186">
        <v>4291.97</v>
      </c>
      <c r="I186">
        <v>4645.6400000000003</v>
      </c>
      <c r="J186" t="s">
        <v>16</v>
      </c>
      <c r="K186">
        <v>0.26</v>
      </c>
      <c r="L186" t="s">
        <v>27</v>
      </c>
      <c r="M186" t="s">
        <v>18</v>
      </c>
    </row>
    <row r="187" spans="1:13" x14ac:dyDescent="0.25">
      <c r="A187">
        <v>1030</v>
      </c>
      <c r="B187" s="1">
        <v>45056</v>
      </c>
      <c r="C187" t="s">
        <v>13</v>
      </c>
      <c r="D187" t="s">
        <v>22</v>
      </c>
      <c r="E187">
        <v>1273.18</v>
      </c>
      <c r="F187">
        <v>43</v>
      </c>
      <c r="G187" t="s">
        <v>25</v>
      </c>
      <c r="H187">
        <v>4696.6400000000003</v>
      </c>
      <c r="I187">
        <v>4713.68</v>
      </c>
      <c r="J187" t="s">
        <v>16</v>
      </c>
      <c r="K187">
        <v>0.24</v>
      </c>
      <c r="L187" t="s">
        <v>24</v>
      </c>
      <c r="M187" t="s">
        <v>18</v>
      </c>
    </row>
    <row r="188" spans="1:13" x14ac:dyDescent="0.25">
      <c r="A188">
        <v>1062</v>
      </c>
      <c r="B188" s="1">
        <v>45021</v>
      </c>
      <c r="C188" t="s">
        <v>13</v>
      </c>
      <c r="D188" t="s">
        <v>14</v>
      </c>
      <c r="E188">
        <v>2959.96</v>
      </c>
      <c r="F188">
        <v>48</v>
      </c>
      <c r="G188" t="s">
        <v>23</v>
      </c>
      <c r="H188">
        <v>2487.19</v>
      </c>
      <c r="I188">
        <v>2521.4499999999998</v>
      </c>
      <c r="J188" t="s">
        <v>26</v>
      </c>
      <c r="K188">
        <v>0.28999999999999998</v>
      </c>
      <c r="L188" t="s">
        <v>17</v>
      </c>
      <c r="M188" t="s">
        <v>18</v>
      </c>
    </row>
    <row r="189" spans="1:13" x14ac:dyDescent="0.25">
      <c r="A189">
        <v>1075</v>
      </c>
      <c r="B189" s="1">
        <v>45041</v>
      </c>
      <c r="C189" t="s">
        <v>21</v>
      </c>
      <c r="D189" t="s">
        <v>19</v>
      </c>
      <c r="E189">
        <v>4038.58</v>
      </c>
      <c r="F189">
        <v>44</v>
      </c>
      <c r="G189" t="s">
        <v>15</v>
      </c>
      <c r="H189">
        <v>3519.29</v>
      </c>
      <c r="I189">
        <v>3822.98</v>
      </c>
      <c r="J189" t="s">
        <v>16</v>
      </c>
      <c r="K189">
        <v>0.27</v>
      </c>
      <c r="L189" t="s">
        <v>24</v>
      </c>
      <c r="M189" t="s">
        <v>18</v>
      </c>
    </row>
    <row r="190" spans="1:13" x14ac:dyDescent="0.25">
      <c r="A190">
        <v>1092</v>
      </c>
      <c r="B190" s="1">
        <v>45169</v>
      </c>
      <c r="C190" t="s">
        <v>31</v>
      </c>
      <c r="D190" t="s">
        <v>22</v>
      </c>
      <c r="E190">
        <v>9203.36</v>
      </c>
      <c r="F190">
        <v>47</v>
      </c>
      <c r="G190" t="s">
        <v>23</v>
      </c>
      <c r="H190">
        <v>4284.9799999999996</v>
      </c>
      <c r="I190">
        <v>4462.3999999999996</v>
      </c>
      <c r="J190" t="s">
        <v>26</v>
      </c>
      <c r="K190">
        <v>0.28000000000000003</v>
      </c>
      <c r="L190" t="s">
        <v>27</v>
      </c>
      <c r="M190" t="s">
        <v>20</v>
      </c>
    </row>
    <row r="191" spans="1:13" x14ac:dyDescent="0.25">
      <c r="A191">
        <v>1089</v>
      </c>
      <c r="B191" s="1">
        <v>45218</v>
      </c>
      <c r="C191" t="s">
        <v>31</v>
      </c>
      <c r="D191" t="s">
        <v>19</v>
      </c>
      <c r="E191">
        <v>9933.2199999999993</v>
      </c>
      <c r="F191">
        <v>23</v>
      </c>
      <c r="G191" t="s">
        <v>23</v>
      </c>
      <c r="H191">
        <v>2120.54</v>
      </c>
      <c r="I191">
        <v>2597.67</v>
      </c>
      <c r="J191" t="s">
        <v>16</v>
      </c>
      <c r="K191">
        <v>0.26</v>
      </c>
      <c r="L191" t="s">
        <v>27</v>
      </c>
      <c r="M191" t="s">
        <v>20</v>
      </c>
    </row>
    <row r="192" spans="1:13" x14ac:dyDescent="0.25">
      <c r="A192">
        <v>1062</v>
      </c>
      <c r="B192" s="1">
        <v>45208</v>
      </c>
      <c r="C192" t="s">
        <v>13</v>
      </c>
      <c r="D192" t="s">
        <v>29</v>
      </c>
      <c r="E192">
        <v>544.62</v>
      </c>
      <c r="F192">
        <v>4</v>
      </c>
      <c r="G192" t="s">
        <v>30</v>
      </c>
      <c r="H192">
        <v>1581.59</v>
      </c>
      <c r="I192">
        <v>2034.1499999999901</v>
      </c>
      <c r="J192" t="s">
        <v>16</v>
      </c>
      <c r="K192">
        <v>0.21</v>
      </c>
      <c r="L192" t="s">
        <v>17</v>
      </c>
      <c r="M192" t="s">
        <v>18</v>
      </c>
    </row>
    <row r="193" spans="1:13" x14ac:dyDescent="0.25">
      <c r="A193">
        <v>1097</v>
      </c>
      <c r="B193" s="1">
        <v>45225</v>
      </c>
      <c r="C193" t="s">
        <v>32</v>
      </c>
      <c r="D193" t="s">
        <v>29</v>
      </c>
      <c r="E193">
        <v>7633.98</v>
      </c>
      <c r="F193">
        <v>27</v>
      </c>
      <c r="G193" t="s">
        <v>30</v>
      </c>
      <c r="H193">
        <v>4686.79</v>
      </c>
      <c r="I193">
        <v>5046.51</v>
      </c>
      <c r="J193" t="s">
        <v>16</v>
      </c>
      <c r="K193">
        <v>0.05</v>
      </c>
      <c r="L193" t="s">
        <v>27</v>
      </c>
      <c r="M193" t="s">
        <v>20</v>
      </c>
    </row>
    <row r="194" spans="1:13" x14ac:dyDescent="0.25">
      <c r="A194">
        <v>1001</v>
      </c>
      <c r="B194" s="1">
        <v>45209</v>
      </c>
      <c r="C194" t="s">
        <v>21</v>
      </c>
      <c r="D194" t="s">
        <v>19</v>
      </c>
      <c r="E194">
        <v>3780.07</v>
      </c>
      <c r="F194">
        <v>18</v>
      </c>
      <c r="G194" t="s">
        <v>15</v>
      </c>
      <c r="H194">
        <v>2602.6</v>
      </c>
      <c r="I194">
        <v>3013.49</v>
      </c>
      <c r="J194" t="s">
        <v>16</v>
      </c>
      <c r="K194">
        <v>0.08</v>
      </c>
      <c r="L194" t="s">
        <v>24</v>
      </c>
      <c r="M194" t="s">
        <v>18</v>
      </c>
    </row>
    <row r="195" spans="1:13" x14ac:dyDescent="0.25">
      <c r="A195">
        <v>1027</v>
      </c>
      <c r="B195" s="1">
        <v>44995</v>
      </c>
      <c r="C195" t="s">
        <v>31</v>
      </c>
      <c r="D195" t="s">
        <v>22</v>
      </c>
      <c r="E195">
        <v>3985.34</v>
      </c>
      <c r="F195">
        <v>21</v>
      </c>
      <c r="G195" t="s">
        <v>23</v>
      </c>
      <c r="H195">
        <v>2511.41</v>
      </c>
      <c r="I195">
        <v>2848.3999999999901</v>
      </c>
      <c r="J195" t="s">
        <v>16</v>
      </c>
      <c r="K195">
        <v>0.06</v>
      </c>
      <c r="L195" t="s">
        <v>24</v>
      </c>
      <c r="M195" t="s">
        <v>18</v>
      </c>
    </row>
    <row r="196" spans="1:13" x14ac:dyDescent="0.25">
      <c r="A196">
        <v>1062</v>
      </c>
      <c r="B196" s="1">
        <v>45074</v>
      </c>
      <c r="C196" t="s">
        <v>13</v>
      </c>
      <c r="D196" t="s">
        <v>22</v>
      </c>
      <c r="E196">
        <v>7567.22</v>
      </c>
      <c r="F196">
        <v>28</v>
      </c>
      <c r="G196" t="s">
        <v>30</v>
      </c>
      <c r="H196">
        <v>933.16</v>
      </c>
      <c r="I196">
        <v>1004.69999999999</v>
      </c>
      <c r="J196" t="s">
        <v>16</v>
      </c>
      <c r="K196">
        <v>0.18</v>
      </c>
      <c r="L196" t="s">
        <v>24</v>
      </c>
      <c r="M196" t="s">
        <v>18</v>
      </c>
    </row>
    <row r="197" spans="1:13" x14ac:dyDescent="0.25">
      <c r="A197">
        <v>1077</v>
      </c>
      <c r="B197" s="1">
        <v>44937</v>
      </c>
      <c r="C197" t="s">
        <v>31</v>
      </c>
      <c r="D197" t="s">
        <v>14</v>
      </c>
      <c r="E197">
        <v>9192.42</v>
      </c>
      <c r="F197">
        <v>35</v>
      </c>
      <c r="G197" t="s">
        <v>30</v>
      </c>
      <c r="H197">
        <v>585.37</v>
      </c>
      <c r="I197">
        <v>970.49</v>
      </c>
      <c r="J197" t="s">
        <v>16</v>
      </c>
      <c r="K197">
        <v>0.15</v>
      </c>
      <c r="L197" t="s">
        <v>24</v>
      </c>
      <c r="M197" t="s">
        <v>20</v>
      </c>
    </row>
    <row r="198" spans="1:13" x14ac:dyDescent="0.25">
      <c r="A198">
        <v>1003</v>
      </c>
      <c r="B198" s="1">
        <v>45180</v>
      </c>
      <c r="C198" t="s">
        <v>21</v>
      </c>
      <c r="D198" t="s">
        <v>29</v>
      </c>
      <c r="E198">
        <v>9514.19</v>
      </c>
      <c r="F198">
        <v>22</v>
      </c>
      <c r="G198" t="s">
        <v>23</v>
      </c>
      <c r="H198">
        <v>4218.43</v>
      </c>
      <c r="I198">
        <v>4331.42</v>
      </c>
      <c r="J198" t="s">
        <v>26</v>
      </c>
      <c r="K198">
        <v>0.26</v>
      </c>
      <c r="L198" t="s">
        <v>24</v>
      </c>
      <c r="M198" t="s">
        <v>18</v>
      </c>
    </row>
    <row r="199" spans="1:13" x14ac:dyDescent="0.25">
      <c r="A199">
        <v>1070</v>
      </c>
      <c r="B199" s="1">
        <v>45256</v>
      </c>
      <c r="C199" t="s">
        <v>21</v>
      </c>
      <c r="D199" t="s">
        <v>14</v>
      </c>
      <c r="E199">
        <v>5813.51</v>
      </c>
      <c r="F199">
        <v>40</v>
      </c>
      <c r="G199" t="s">
        <v>15</v>
      </c>
      <c r="H199">
        <v>3089.96</v>
      </c>
      <c r="I199">
        <v>3258.45</v>
      </c>
      <c r="J199" t="s">
        <v>26</v>
      </c>
      <c r="K199">
        <v>0.28999999999999998</v>
      </c>
      <c r="L199" t="s">
        <v>17</v>
      </c>
      <c r="M199" t="s">
        <v>18</v>
      </c>
    </row>
    <row r="200" spans="1:13" x14ac:dyDescent="0.25">
      <c r="A200">
        <v>1072</v>
      </c>
      <c r="B200" s="1">
        <v>45286</v>
      </c>
      <c r="C200" t="s">
        <v>28</v>
      </c>
      <c r="D200" t="s">
        <v>14</v>
      </c>
      <c r="E200">
        <v>3635.5</v>
      </c>
      <c r="F200">
        <v>23</v>
      </c>
      <c r="G200" t="s">
        <v>15</v>
      </c>
      <c r="H200">
        <v>1662.83</v>
      </c>
      <c r="I200">
        <v>2074.25</v>
      </c>
      <c r="J200" t="s">
        <v>26</v>
      </c>
      <c r="K200">
        <v>0.12</v>
      </c>
      <c r="L200" t="s">
        <v>24</v>
      </c>
      <c r="M200" t="s">
        <v>18</v>
      </c>
    </row>
    <row r="201" spans="1:13" x14ac:dyDescent="0.25">
      <c r="A201">
        <v>1027</v>
      </c>
      <c r="B201" s="1">
        <v>44964</v>
      </c>
      <c r="C201" t="s">
        <v>13</v>
      </c>
      <c r="D201" t="s">
        <v>19</v>
      </c>
      <c r="E201">
        <v>7896.74</v>
      </c>
      <c r="F201">
        <v>3</v>
      </c>
      <c r="G201" t="s">
        <v>23</v>
      </c>
      <c r="H201">
        <v>999.09</v>
      </c>
      <c r="I201">
        <v>1271.99</v>
      </c>
      <c r="J201" t="s">
        <v>26</v>
      </c>
      <c r="K201">
        <v>0.15</v>
      </c>
      <c r="L201" t="s">
        <v>27</v>
      </c>
      <c r="M201" t="s">
        <v>18</v>
      </c>
    </row>
    <row r="202" spans="1:13" x14ac:dyDescent="0.25">
      <c r="A202">
        <v>1009</v>
      </c>
      <c r="B202" s="1">
        <v>45060</v>
      </c>
      <c r="C202" t="s">
        <v>21</v>
      </c>
      <c r="D202" t="s">
        <v>19</v>
      </c>
      <c r="E202">
        <v>2584.91</v>
      </c>
      <c r="F202">
        <v>40</v>
      </c>
      <c r="G202" t="s">
        <v>15</v>
      </c>
      <c r="H202">
        <v>2799.71</v>
      </c>
      <c r="I202">
        <v>3231.08</v>
      </c>
      <c r="J202" t="s">
        <v>16</v>
      </c>
      <c r="K202">
        <v>0.28999999999999998</v>
      </c>
      <c r="L202" t="s">
        <v>27</v>
      </c>
      <c r="M202" t="s">
        <v>20</v>
      </c>
    </row>
    <row r="203" spans="1:13" x14ac:dyDescent="0.25">
      <c r="A203">
        <v>1062</v>
      </c>
      <c r="B203" s="1">
        <v>45126</v>
      </c>
      <c r="C203" t="s">
        <v>28</v>
      </c>
      <c r="D203" t="s">
        <v>14</v>
      </c>
      <c r="E203">
        <v>5684.33</v>
      </c>
      <c r="F203">
        <v>10</v>
      </c>
      <c r="G203" t="s">
        <v>30</v>
      </c>
      <c r="H203">
        <v>2940.4</v>
      </c>
      <c r="I203">
        <v>3054.79</v>
      </c>
      <c r="J203" t="s">
        <v>16</v>
      </c>
      <c r="K203">
        <v>0.08</v>
      </c>
      <c r="L203" t="s">
        <v>27</v>
      </c>
      <c r="M203" t="s">
        <v>18</v>
      </c>
    </row>
    <row r="204" spans="1:13" x14ac:dyDescent="0.25">
      <c r="A204">
        <v>1037</v>
      </c>
      <c r="B204" s="1">
        <v>44949</v>
      </c>
      <c r="C204" t="s">
        <v>28</v>
      </c>
      <c r="D204" t="s">
        <v>29</v>
      </c>
      <c r="E204">
        <v>3649.93</v>
      </c>
      <c r="F204">
        <v>25</v>
      </c>
      <c r="G204" t="s">
        <v>23</v>
      </c>
      <c r="H204">
        <v>1074.6199999999999</v>
      </c>
      <c r="I204">
        <v>1382.4299999999901</v>
      </c>
      <c r="J204" t="s">
        <v>16</v>
      </c>
      <c r="K204">
        <v>0.24</v>
      </c>
      <c r="L204" t="s">
        <v>27</v>
      </c>
      <c r="M204" t="s">
        <v>20</v>
      </c>
    </row>
    <row r="205" spans="1:13" x14ac:dyDescent="0.25">
      <c r="A205">
        <v>1097</v>
      </c>
      <c r="B205" s="1">
        <v>45229</v>
      </c>
      <c r="C205" t="s">
        <v>31</v>
      </c>
      <c r="D205" t="s">
        <v>19</v>
      </c>
      <c r="E205">
        <v>6600.65</v>
      </c>
      <c r="F205">
        <v>49</v>
      </c>
      <c r="G205" t="s">
        <v>30</v>
      </c>
      <c r="H205">
        <v>4264.46</v>
      </c>
      <c r="I205">
        <v>4315.5200000000004</v>
      </c>
      <c r="J205" t="s">
        <v>26</v>
      </c>
      <c r="K205">
        <v>7.0000000000000007E-2</v>
      </c>
      <c r="L205" t="s">
        <v>17</v>
      </c>
      <c r="M205" t="s">
        <v>20</v>
      </c>
    </row>
    <row r="206" spans="1:13" x14ac:dyDescent="0.25">
      <c r="A206">
        <v>1051</v>
      </c>
      <c r="B206" s="1">
        <v>45272</v>
      </c>
      <c r="C206" t="s">
        <v>31</v>
      </c>
      <c r="D206" t="s">
        <v>14</v>
      </c>
      <c r="E206">
        <v>2479.9499999999998</v>
      </c>
      <c r="F206">
        <v>8</v>
      </c>
      <c r="G206" t="s">
        <v>25</v>
      </c>
      <c r="H206">
        <v>467.11</v>
      </c>
      <c r="I206">
        <v>792.21</v>
      </c>
      <c r="J206" t="s">
        <v>26</v>
      </c>
      <c r="K206">
        <v>0.2</v>
      </c>
      <c r="L206" t="s">
        <v>27</v>
      </c>
      <c r="M206" t="s">
        <v>18</v>
      </c>
    </row>
    <row r="207" spans="1:13" x14ac:dyDescent="0.25">
      <c r="A207">
        <v>1044</v>
      </c>
      <c r="B207" s="1">
        <v>45228</v>
      </c>
      <c r="C207" t="s">
        <v>28</v>
      </c>
      <c r="D207" t="s">
        <v>14</v>
      </c>
      <c r="E207">
        <v>1996.77</v>
      </c>
      <c r="F207">
        <v>11</v>
      </c>
      <c r="G207" t="s">
        <v>25</v>
      </c>
      <c r="H207">
        <v>1812.66</v>
      </c>
      <c r="I207">
        <v>2196.3000000000002</v>
      </c>
      <c r="J207" t="s">
        <v>26</v>
      </c>
      <c r="K207">
        <v>0.08</v>
      </c>
      <c r="L207" t="s">
        <v>17</v>
      </c>
      <c r="M207" t="s">
        <v>18</v>
      </c>
    </row>
    <row r="208" spans="1:13" x14ac:dyDescent="0.25">
      <c r="A208">
        <v>1024</v>
      </c>
      <c r="B208" s="1">
        <v>45289</v>
      </c>
      <c r="C208" t="s">
        <v>31</v>
      </c>
      <c r="D208" t="s">
        <v>14</v>
      </c>
      <c r="E208">
        <v>9190.57</v>
      </c>
      <c r="F208">
        <v>5</v>
      </c>
      <c r="G208" t="s">
        <v>15</v>
      </c>
      <c r="H208">
        <v>3417.9</v>
      </c>
      <c r="I208">
        <v>3714.52</v>
      </c>
      <c r="J208" t="s">
        <v>16</v>
      </c>
      <c r="K208">
        <v>0.27</v>
      </c>
      <c r="L208" t="s">
        <v>27</v>
      </c>
      <c r="M208" t="s">
        <v>20</v>
      </c>
    </row>
    <row r="209" spans="1:13" x14ac:dyDescent="0.25">
      <c r="A209">
        <v>1079</v>
      </c>
      <c r="B209" s="1">
        <v>45144</v>
      </c>
      <c r="C209" t="s">
        <v>21</v>
      </c>
      <c r="D209" t="s">
        <v>14</v>
      </c>
      <c r="E209">
        <v>1107.8599999999999</v>
      </c>
      <c r="F209">
        <v>45</v>
      </c>
      <c r="G209" t="s">
        <v>25</v>
      </c>
      <c r="H209">
        <v>1406.9</v>
      </c>
      <c r="I209">
        <v>1547.35</v>
      </c>
      <c r="J209" t="s">
        <v>26</v>
      </c>
      <c r="K209">
        <v>0.17</v>
      </c>
      <c r="L209" t="s">
        <v>17</v>
      </c>
      <c r="M209" t="s">
        <v>20</v>
      </c>
    </row>
    <row r="210" spans="1:13" x14ac:dyDescent="0.25">
      <c r="A210">
        <v>1059</v>
      </c>
      <c r="B210" s="1">
        <v>45067</v>
      </c>
      <c r="C210" t="s">
        <v>32</v>
      </c>
      <c r="D210" t="s">
        <v>14</v>
      </c>
      <c r="E210">
        <v>5108.9799999999996</v>
      </c>
      <c r="F210">
        <v>37</v>
      </c>
      <c r="G210" t="s">
        <v>30</v>
      </c>
      <c r="H210">
        <v>4146.99</v>
      </c>
      <c r="I210">
        <v>4172.3499999999904</v>
      </c>
      <c r="J210" t="s">
        <v>16</v>
      </c>
      <c r="K210">
        <v>0.06</v>
      </c>
      <c r="L210" t="s">
        <v>17</v>
      </c>
      <c r="M210" t="s">
        <v>20</v>
      </c>
    </row>
    <row r="211" spans="1:13" x14ac:dyDescent="0.25">
      <c r="A211">
        <v>1032</v>
      </c>
      <c r="B211" s="1">
        <v>45030</v>
      </c>
      <c r="C211" t="s">
        <v>21</v>
      </c>
      <c r="D211" t="s">
        <v>14</v>
      </c>
      <c r="E211">
        <v>2286.44</v>
      </c>
      <c r="F211">
        <v>45</v>
      </c>
      <c r="G211" t="s">
        <v>25</v>
      </c>
      <c r="H211">
        <v>3712.35</v>
      </c>
      <c r="I211">
        <v>3780.88</v>
      </c>
      <c r="J211" t="s">
        <v>26</v>
      </c>
      <c r="K211">
        <v>7.0000000000000007E-2</v>
      </c>
      <c r="L211" t="s">
        <v>17</v>
      </c>
      <c r="M211" t="s">
        <v>20</v>
      </c>
    </row>
    <row r="212" spans="1:13" x14ac:dyDescent="0.25">
      <c r="A212">
        <v>1096</v>
      </c>
      <c r="B212" s="1">
        <v>45136</v>
      </c>
      <c r="C212" t="s">
        <v>28</v>
      </c>
      <c r="D212" t="s">
        <v>19</v>
      </c>
      <c r="E212">
        <v>485.41</v>
      </c>
      <c r="F212">
        <v>38</v>
      </c>
      <c r="G212" t="s">
        <v>30</v>
      </c>
      <c r="H212">
        <v>3955.66</v>
      </c>
      <c r="I212">
        <v>4270.59</v>
      </c>
      <c r="J212" t="s">
        <v>16</v>
      </c>
      <c r="K212">
        <v>0.15</v>
      </c>
      <c r="L212" t="s">
        <v>27</v>
      </c>
      <c r="M212" t="s">
        <v>18</v>
      </c>
    </row>
    <row r="213" spans="1:13" x14ac:dyDescent="0.25">
      <c r="A213">
        <v>1088</v>
      </c>
      <c r="B213" s="1">
        <v>45037</v>
      </c>
      <c r="C213" t="s">
        <v>28</v>
      </c>
      <c r="D213" t="s">
        <v>29</v>
      </c>
      <c r="E213">
        <v>456.59</v>
      </c>
      <c r="F213">
        <v>29</v>
      </c>
      <c r="G213" t="s">
        <v>15</v>
      </c>
      <c r="H213">
        <v>639.58000000000004</v>
      </c>
      <c r="I213">
        <v>1107.45</v>
      </c>
      <c r="J213" t="s">
        <v>26</v>
      </c>
      <c r="K213">
        <v>0.28999999999999998</v>
      </c>
      <c r="L213" t="s">
        <v>17</v>
      </c>
      <c r="M213" t="s">
        <v>20</v>
      </c>
    </row>
    <row r="214" spans="1:13" x14ac:dyDescent="0.25">
      <c r="A214">
        <v>1052</v>
      </c>
      <c r="B214" s="1">
        <v>45030</v>
      </c>
      <c r="C214" t="s">
        <v>21</v>
      </c>
      <c r="D214" t="s">
        <v>14</v>
      </c>
      <c r="E214">
        <v>1834.7</v>
      </c>
      <c r="F214">
        <v>5</v>
      </c>
      <c r="G214" t="s">
        <v>15</v>
      </c>
      <c r="H214">
        <v>745.71</v>
      </c>
      <c r="I214">
        <v>856.91</v>
      </c>
      <c r="J214" t="s">
        <v>16</v>
      </c>
      <c r="K214">
        <v>0.23</v>
      </c>
      <c r="L214" t="s">
        <v>24</v>
      </c>
      <c r="M214" t="s">
        <v>20</v>
      </c>
    </row>
    <row r="215" spans="1:13" x14ac:dyDescent="0.25">
      <c r="A215">
        <v>1062</v>
      </c>
      <c r="B215" s="1">
        <v>45242</v>
      </c>
      <c r="C215" t="s">
        <v>31</v>
      </c>
      <c r="D215" t="s">
        <v>22</v>
      </c>
      <c r="E215">
        <v>8681.0300000000007</v>
      </c>
      <c r="F215">
        <v>9</v>
      </c>
      <c r="G215" t="s">
        <v>30</v>
      </c>
      <c r="H215">
        <v>1468.05</v>
      </c>
      <c r="I215">
        <v>1838.21</v>
      </c>
      <c r="J215" t="s">
        <v>26</v>
      </c>
      <c r="K215">
        <v>0.15</v>
      </c>
      <c r="L215" t="s">
        <v>24</v>
      </c>
      <c r="M215" t="s">
        <v>20</v>
      </c>
    </row>
    <row r="216" spans="1:13" x14ac:dyDescent="0.25">
      <c r="A216">
        <v>1058</v>
      </c>
      <c r="B216" s="1">
        <v>45097</v>
      </c>
      <c r="C216" t="s">
        <v>31</v>
      </c>
      <c r="D216" t="s">
        <v>19</v>
      </c>
      <c r="E216">
        <v>2896.54</v>
      </c>
      <c r="F216">
        <v>48</v>
      </c>
      <c r="G216" t="s">
        <v>25</v>
      </c>
      <c r="H216">
        <v>2614.48</v>
      </c>
      <c r="I216">
        <v>3049.04</v>
      </c>
      <c r="J216" t="s">
        <v>26</v>
      </c>
      <c r="K216">
        <v>0.1</v>
      </c>
      <c r="L216" t="s">
        <v>27</v>
      </c>
      <c r="M216" t="s">
        <v>20</v>
      </c>
    </row>
    <row r="217" spans="1:13" x14ac:dyDescent="0.25">
      <c r="A217">
        <v>1052</v>
      </c>
      <c r="B217" s="1">
        <v>45282</v>
      </c>
      <c r="C217" t="s">
        <v>28</v>
      </c>
      <c r="D217" t="s">
        <v>19</v>
      </c>
      <c r="E217">
        <v>9509.5499999999993</v>
      </c>
      <c r="F217">
        <v>2</v>
      </c>
      <c r="G217" t="s">
        <v>15</v>
      </c>
      <c r="H217">
        <v>3752.68</v>
      </c>
      <c r="I217">
        <v>4017.91</v>
      </c>
      <c r="J217" t="s">
        <v>16</v>
      </c>
      <c r="K217">
        <v>0.16</v>
      </c>
      <c r="L217" t="s">
        <v>24</v>
      </c>
      <c r="M217" t="s">
        <v>18</v>
      </c>
    </row>
    <row r="218" spans="1:13" x14ac:dyDescent="0.25">
      <c r="A218">
        <v>1012</v>
      </c>
      <c r="B218" s="1">
        <v>45250</v>
      </c>
      <c r="C218" t="s">
        <v>13</v>
      </c>
      <c r="D218" t="s">
        <v>14</v>
      </c>
      <c r="E218">
        <v>5858.06</v>
      </c>
      <c r="F218">
        <v>1</v>
      </c>
      <c r="G218" t="s">
        <v>23</v>
      </c>
      <c r="H218">
        <v>4190.83</v>
      </c>
      <c r="I218">
        <v>4528.7699999999904</v>
      </c>
      <c r="J218" t="s">
        <v>16</v>
      </c>
      <c r="K218">
        <v>0.22</v>
      </c>
      <c r="L218" t="s">
        <v>24</v>
      </c>
      <c r="M218" t="s">
        <v>18</v>
      </c>
    </row>
    <row r="219" spans="1:13" x14ac:dyDescent="0.25">
      <c r="A219">
        <v>1039</v>
      </c>
      <c r="B219" s="1">
        <v>45059</v>
      </c>
      <c r="C219" t="s">
        <v>31</v>
      </c>
      <c r="D219" t="s">
        <v>19</v>
      </c>
      <c r="E219">
        <v>4422.4799999999996</v>
      </c>
      <c r="F219">
        <v>40</v>
      </c>
      <c r="G219" t="s">
        <v>15</v>
      </c>
      <c r="H219">
        <v>3536.46</v>
      </c>
      <c r="I219">
        <v>3945.82</v>
      </c>
      <c r="J219" t="s">
        <v>26</v>
      </c>
      <c r="K219">
        <v>0.24</v>
      </c>
      <c r="L219" t="s">
        <v>24</v>
      </c>
      <c r="M219" t="s">
        <v>18</v>
      </c>
    </row>
    <row r="220" spans="1:13" x14ac:dyDescent="0.25">
      <c r="A220">
        <v>1002</v>
      </c>
      <c r="B220" s="1">
        <v>45219</v>
      </c>
      <c r="C220" t="s">
        <v>21</v>
      </c>
      <c r="D220" t="s">
        <v>14</v>
      </c>
      <c r="E220">
        <v>5842.88</v>
      </c>
      <c r="F220">
        <v>30</v>
      </c>
      <c r="G220" t="s">
        <v>25</v>
      </c>
      <c r="H220">
        <v>4646.55</v>
      </c>
      <c r="I220">
        <v>4784.28</v>
      </c>
      <c r="J220" t="s">
        <v>16</v>
      </c>
      <c r="K220">
        <v>0.1</v>
      </c>
      <c r="L220" t="s">
        <v>27</v>
      </c>
      <c r="M220" t="s">
        <v>20</v>
      </c>
    </row>
    <row r="221" spans="1:13" x14ac:dyDescent="0.25">
      <c r="A221">
        <v>1003</v>
      </c>
      <c r="B221" s="1">
        <v>45254</v>
      </c>
      <c r="C221" t="s">
        <v>31</v>
      </c>
      <c r="D221" t="s">
        <v>29</v>
      </c>
      <c r="E221">
        <v>5215.3100000000004</v>
      </c>
      <c r="F221">
        <v>11</v>
      </c>
      <c r="G221" t="s">
        <v>23</v>
      </c>
      <c r="H221">
        <v>3706.78</v>
      </c>
      <c r="I221">
        <v>3862.26</v>
      </c>
      <c r="J221" t="s">
        <v>26</v>
      </c>
      <c r="K221">
        <v>0.22</v>
      </c>
      <c r="L221" t="s">
        <v>27</v>
      </c>
      <c r="M221" t="s">
        <v>20</v>
      </c>
    </row>
    <row r="222" spans="1:13" x14ac:dyDescent="0.25">
      <c r="A222">
        <v>1056</v>
      </c>
      <c r="B222" s="1">
        <v>45053</v>
      </c>
      <c r="C222" t="s">
        <v>21</v>
      </c>
      <c r="D222" t="s">
        <v>29</v>
      </c>
      <c r="E222">
        <v>7611.88</v>
      </c>
      <c r="F222">
        <v>28</v>
      </c>
      <c r="G222" t="s">
        <v>25</v>
      </c>
      <c r="H222">
        <v>1566.03</v>
      </c>
      <c r="I222">
        <v>1576.34</v>
      </c>
      <c r="J222" t="s">
        <v>16</v>
      </c>
      <c r="K222">
        <v>0.2</v>
      </c>
      <c r="L222" t="s">
        <v>24</v>
      </c>
      <c r="M222" t="s">
        <v>18</v>
      </c>
    </row>
    <row r="223" spans="1:13" x14ac:dyDescent="0.25">
      <c r="A223">
        <v>1081</v>
      </c>
      <c r="B223" s="1">
        <v>45032</v>
      </c>
      <c r="C223" t="s">
        <v>28</v>
      </c>
      <c r="D223" t="s">
        <v>19</v>
      </c>
      <c r="E223">
        <v>2896.71</v>
      </c>
      <c r="F223">
        <v>44</v>
      </c>
      <c r="G223" t="s">
        <v>30</v>
      </c>
      <c r="H223">
        <v>1362.15</v>
      </c>
      <c r="I223">
        <v>1844.07</v>
      </c>
      <c r="J223" t="s">
        <v>26</v>
      </c>
      <c r="K223">
        <v>0.28999999999999998</v>
      </c>
      <c r="L223" t="s">
        <v>27</v>
      </c>
      <c r="M223" t="s">
        <v>18</v>
      </c>
    </row>
    <row r="224" spans="1:13" x14ac:dyDescent="0.25">
      <c r="A224">
        <v>1059</v>
      </c>
      <c r="B224" s="1">
        <v>45018</v>
      </c>
      <c r="C224" t="s">
        <v>31</v>
      </c>
      <c r="D224" t="s">
        <v>19</v>
      </c>
      <c r="E224">
        <v>3595.2</v>
      </c>
      <c r="F224">
        <v>12</v>
      </c>
      <c r="G224" t="s">
        <v>23</v>
      </c>
      <c r="H224">
        <v>3496.15</v>
      </c>
      <c r="I224">
        <v>3955.75</v>
      </c>
      <c r="J224" t="s">
        <v>16</v>
      </c>
      <c r="K224">
        <v>0.28000000000000003</v>
      </c>
      <c r="L224" t="s">
        <v>17</v>
      </c>
      <c r="M224" t="s">
        <v>20</v>
      </c>
    </row>
    <row r="225" spans="1:13" x14ac:dyDescent="0.25">
      <c r="A225">
        <v>1002</v>
      </c>
      <c r="B225" s="1">
        <v>45213</v>
      </c>
      <c r="C225" t="s">
        <v>21</v>
      </c>
      <c r="D225" t="s">
        <v>22</v>
      </c>
      <c r="E225">
        <v>8951.5300000000007</v>
      </c>
      <c r="F225">
        <v>39</v>
      </c>
      <c r="G225" t="s">
        <v>25</v>
      </c>
      <c r="H225">
        <v>1004.71</v>
      </c>
      <c r="I225">
        <v>1389.35</v>
      </c>
      <c r="J225" t="s">
        <v>26</v>
      </c>
      <c r="K225">
        <v>0.24</v>
      </c>
      <c r="L225" t="s">
        <v>24</v>
      </c>
      <c r="M225" t="s">
        <v>18</v>
      </c>
    </row>
    <row r="226" spans="1:13" x14ac:dyDescent="0.25">
      <c r="A226">
        <v>1002</v>
      </c>
      <c r="B226" s="1">
        <v>44977</v>
      </c>
      <c r="C226" t="s">
        <v>28</v>
      </c>
      <c r="D226" t="s">
        <v>19</v>
      </c>
      <c r="E226">
        <v>9469.92</v>
      </c>
      <c r="F226">
        <v>26</v>
      </c>
      <c r="G226" t="s">
        <v>23</v>
      </c>
      <c r="H226">
        <v>508.94</v>
      </c>
      <c r="I226">
        <v>557.69000000000005</v>
      </c>
      <c r="J226" t="s">
        <v>26</v>
      </c>
      <c r="K226">
        <v>0.22</v>
      </c>
      <c r="L226" t="s">
        <v>27</v>
      </c>
      <c r="M226" t="s">
        <v>20</v>
      </c>
    </row>
    <row r="227" spans="1:13" x14ac:dyDescent="0.25">
      <c r="A227">
        <v>1092</v>
      </c>
      <c r="B227" s="1">
        <v>44955</v>
      </c>
      <c r="C227" t="s">
        <v>13</v>
      </c>
      <c r="D227" t="s">
        <v>22</v>
      </c>
      <c r="E227">
        <v>8936.33</v>
      </c>
      <c r="F227">
        <v>13</v>
      </c>
      <c r="G227" t="s">
        <v>25</v>
      </c>
      <c r="H227">
        <v>2684.5</v>
      </c>
      <c r="I227">
        <v>2913.78</v>
      </c>
      <c r="J227" t="s">
        <v>26</v>
      </c>
      <c r="K227">
        <v>0.08</v>
      </c>
      <c r="L227" t="s">
        <v>27</v>
      </c>
      <c r="M227" t="s">
        <v>20</v>
      </c>
    </row>
    <row r="228" spans="1:13" x14ac:dyDescent="0.25">
      <c r="A228">
        <v>1054</v>
      </c>
      <c r="B228" s="1">
        <v>45222</v>
      </c>
      <c r="C228" t="s">
        <v>21</v>
      </c>
      <c r="D228" t="s">
        <v>29</v>
      </c>
      <c r="E228">
        <v>4252.54</v>
      </c>
      <c r="F228">
        <v>8</v>
      </c>
      <c r="G228" t="s">
        <v>23</v>
      </c>
      <c r="H228">
        <v>4117.13</v>
      </c>
      <c r="I228">
        <v>4177.0600000000004</v>
      </c>
      <c r="J228" t="s">
        <v>16</v>
      </c>
      <c r="K228">
        <v>0.25</v>
      </c>
      <c r="L228" t="s">
        <v>24</v>
      </c>
      <c r="M228" t="s">
        <v>20</v>
      </c>
    </row>
    <row r="229" spans="1:13" x14ac:dyDescent="0.25">
      <c r="A229">
        <v>1087</v>
      </c>
      <c r="B229" s="1">
        <v>45223</v>
      </c>
      <c r="C229" t="s">
        <v>13</v>
      </c>
      <c r="D229" t="s">
        <v>29</v>
      </c>
      <c r="E229">
        <v>7825.62</v>
      </c>
      <c r="F229">
        <v>28</v>
      </c>
      <c r="G229" t="s">
        <v>25</v>
      </c>
      <c r="H229">
        <v>551.83000000000004</v>
      </c>
      <c r="I229">
        <v>569.63</v>
      </c>
      <c r="J229" t="s">
        <v>26</v>
      </c>
      <c r="K229">
        <v>0.13</v>
      </c>
      <c r="L229" t="s">
        <v>27</v>
      </c>
      <c r="M229" t="s">
        <v>20</v>
      </c>
    </row>
    <row r="230" spans="1:13" x14ac:dyDescent="0.25">
      <c r="A230">
        <v>1096</v>
      </c>
      <c r="B230" s="1">
        <v>45140</v>
      </c>
      <c r="C230" t="s">
        <v>13</v>
      </c>
      <c r="D230" t="s">
        <v>14</v>
      </c>
      <c r="E230">
        <v>4815.72</v>
      </c>
      <c r="F230">
        <v>30</v>
      </c>
      <c r="G230" t="s">
        <v>30</v>
      </c>
      <c r="H230">
        <v>3969.86</v>
      </c>
      <c r="I230">
        <v>4281.79</v>
      </c>
      <c r="J230" t="s">
        <v>16</v>
      </c>
      <c r="K230">
        <v>0.08</v>
      </c>
      <c r="L230" t="s">
        <v>24</v>
      </c>
      <c r="M230" t="s">
        <v>20</v>
      </c>
    </row>
    <row r="231" spans="1:13" x14ac:dyDescent="0.25">
      <c r="A231">
        <v>1097</v>
      </c>
      <c r="B231" s="1">
        <v>45193</v>
      </c>
      <c r="C231" t="s">
        <v>32</v>
      </c>
      <c r="D231" t="s">
        <v>29</v>
      </c>
      <c r="E231">
        <v>5025.6400000000003</v>
      </c>
      <c r="F231">
        <v>9</v>
      </c>
      <c r="G231" t="s">
        <v>23</v>
      </c>
      <c r="H231">
        <v>4067.28</v>
      </c>
      <c r="I231">
        <v>4548.09</v>
      </c>
      <c r="J231" t="s">
        <v>16</v>
      </c>
      <c r="K231">
        <v>0.12</v>
      </c>
      <c r="L231" t="s">
        <v>27</v>
      </c>
      <c r="M231" t="s">
        <v>20</v>
      </c>
    </row>
    <row r="232" spans="1:13" x14ac:dyDescent="0.25">
      <c r="A232">
        <v>1001</v>
      </c>
      <c r="B232" s="1">
        <v>45183</v>
      </c>
      <c r="C232" t="s">
        <v>31</v>
      </c>
      <c r="D232" t="s">
        <v>22</v>
      </c>
      <c r="E232">
        <v>2126.33</v>
      </c>
      <c r="F232">
        <v>39</v>
      </c>
      <c r="G232" t="s">
        <v>23</v>
      </c>
      <c r="H232">
        <v>2437.2600000000002</v>
      </c>
      <c r="I232">
        <v>2889.67</v>
      </c>
      <c r="J232" t="s">
        <v>16</v>
      </c>
      <c r="K232">
        <v>0.25</v>
      </c>
      <c r="L232" t="s">
        <v>17</v>
      </c>
      <c r="M232" t="s">
        <v>18</v>
      </c>
    </row>
    <row r="233" spans="1:13" x14ac:dyDescent="0.25">
      <c r="A233">
        <v>1019</v>
      </c>
      <c r="B233" s="1">
        <v>45228</v>
      </c>
      <c r="C233" t="s">
        <v>21</v>
      </c>
      <c r="D233" t="s">
        <v>19</v>
      </c>
      <c r="E233">
        <v>5952.19</v>
      </c>
      <c r="F233">
        <v>31</v>
      </c>
      <c r="G233" t="s">
        <v>23</v>
      </c>
      <c r="H233">
        <v>333.69</v>
      </c>
      <c r="I233">
        <v>685.1</v>
      </c>
      <c r="J233" t="s">
        <v>26</v>
      </c>
      <c r="K233">
        <v>0.04</v>
      </c>
      <c r="L233" t="s">
        <v>24</v>
      </c>
      <c r="M233" t="s">
        <v>18</v>
      </c>
    </row>
    <row r="234" spans="1:13" x14ac:dyDescent="0.25">
      <c r="A234">
        <v>1002</v>
      </c>
      <c r="B234" s="1">
        <v>45027</v>
      </c>
      <c r="C234" t="s">
        <v>13</v>
      </c>
      <c r="D234" t="s">
        <v>14</v>
      </c>
      <c r="E234">
        <v>1942.75</v>
      </c>
      <c r="F234">
        <v>21</v>
      </c>
      <c r="G234" t="s">
        <v>23</v>
      </c>
      <c r="H234">
        <v>914.22</v>
      </c>
      <c r="I234">
        <v>971.57</v>
      </c>
      <c r="J234" t="s">
        <v>16</v>
      </c>
      <c r="K234">
        <v>0.14000000000000001</v>
      </c>
      <c r="L234" t="s">
        <v>17</v>
      </c>
      <c r="M234" t="s">
        <v>18</v>
      </c>
    </row>
    <row r="235" spans="1:13" x14ac:dyDescent="0.25">
      <c r="A235">
        <v>1053</v>
      </c>
      <c r="B235" s="1">
        <v>45272</v>
      </c>
      <c r="C235" t="s">
        <v>32</v>
      </c>
      <c r="D235" t="s">
        <v>22</v>
      </c>
      <c r="E235">
        <v>3382.49</v>
      </c>
      <c r="F235">
        <v>47</v>
      </c>
      <c r="G235" t="s">
        <v>30</v>
      </c>
      <c r="H235">
        <v>3551.76</v>
      </c>
      <c r="I235">
        <v>3696.1</v>
      </c>
      <c r="J235" t="s">
        <v>16</v>
      </c>
      <c r="K235">
        <v>0.15</v>
      </c>
      <c r="L235" t="s">
        <v>24</v>
      </c>
      <c r="M235" t="s">
        <v>20</v>
      </c>
    </row>
    <row r="236" spans="1:13" x14ac:dyDescent="0.25">
      <c r="A236">
        <v>1044</v>
      </c>
      <c r="B236" s="1">
        <v>45036</v>
      </c>
      <c r="C236" t="s">
        <v>28</v>
      </c>
      <c r="D236" t="s">
        <v>19</v>
      </c>
      <c r="E236">
        <v>8564.7999999999993</v>
      </c>
      <c r="F236">
        <v>34</v>
      </c>
      <c r="G236" t="s">
        <v>23</v>
      </c>
      <c r="H236">
        <v>3573.3</v>
      </c>
      <c r="I236">
        <v>3740.13</v>
      </c>
      <c r="J236" t="s">
        <v>16</v>
      </c>
      <c r="K236">
        <v>0.01</v>
      </c>
      <c r="L236" t="s">
        <v>27</v>
      </c>
      <c r="M236" t="s">
        <v>18</v>
      </c>
    </row>
    <row r="237" spans="1:13" x14ac:dyDescent="0.25">
      <c r="A237">
        <v>1090</v>
      </c>
      <c r="B237" s="1">
        <v>45108</v>
      </c>
      <c r="C237" t="s">
        <v>21</v>
      </c>
      <c r="D237" t="s">
        <v>14</v>
      </c>
      <c r="E237">
        <v>2150.0500000000002</v>
      </c>
      <c r="F237">
        <v>31</v>
      </c>
      <c r="G237" t="s">
        <v>15</v>
      </c>
      <c r="H237">
        <v>4496.8599999999997</v>
      </c>
      <c r="I237">
        <v>4880.7999999999902</v>
      </c>
      <c r="J237" t="s">
        <v>26</v>
      </c>
      <c r="K237">
        <v>0.06</v>
      </c>
      <c r="L237" t="s">
        <v>17</v>
      </c>
      <c r="M237" t="s">
        <v>20</v>
      </c>
    </row>
    <row r="238" spans="1:13" x14ac:dyDescent="0.25">
      <c r="A238">
        <v>1032</v>
      </c>
      <c r="B238" s="1">
        <v>45239</v>
      </c>
      <c r="C238" t="s">
        <v>13</v>
      </c>
      <c r="D238" t="s">
        <v>29</v>
      </c>
      <c r="E238">
        <v>804.47</v>
      </c>
      <c r="F238">
        <v>25</v>
      </c>
      <c r="G238" t="s">
        <v>30</v>
      </c>
      <c r="H238">
        <v>2934.3</v>
      </c>
      <c r="I238">
        <v>3337.4</v>
      </c>
      <c r="J238" t="s">
        <v>16</v>
      </c>
      <c r="K238">
        <v>0.25</v>
      </c>
      <c r="L238" t="s">
        <v>27</v>
      </c>
      <c r="M238" t="s">
        <v>20</v>
      </c>
    </row>
    <row r="239" spans="1:13" x14ac:dyDescent="0.25">
      <c r="A239">
        <v>1070</v>
      </c>
      <c r="B239" s="1">
        <v>44927</v>
      </c>
      <c r="C239" t="s">
        <v>31</v>
      </c>
      <c r="D239" t="s">
        <v>22</v>
      </c>
      <c r="E239">
        <v>783.18</v>
      </c>
      <c r="F239">
        <v>12</v>
      </c>
      <c r="G239" t="s">
        <v>15</v>
      </c>
      <c r="H239">
        <v>664.33</v>
      </c>
      <c r="I239">
        <v>863.03</v>
      </c>
      <c r="J239" t="s">
        <v>16</v>
      </c>
      <c r="K239">
        <v>0.25</v>
      </c>
      <c r="L239" t="s">
        <v>24</v>
      </c>
      <c r="M239" t="s">
        <v>20</v>
      </c>
    </row>
    <row r="240" spans="1:13" x14ac:dyDescent="0.25">
      <c r="A240">
        <v>1032</v>
      </c>
      <c r="B240" s="1">
        <v>45245</v>
      </c>
      <c r="C240" t="s">
        <v>32</v>
      </c>
      <c r="D240" t="s">
        <v>19</v>
      </c>
      <c r="E240">
        <v>9413.77</v>
      </c>
      <c r="F240">
        <v>1</v>
      </c>
      <c r="G240" t="s">
        <v>23</v>
      </c>
      <c r="H240">
        <v>651</v>
      </c>
      <c r="I240">
        <v>865.76</v>
      </c>
      <c r="J240" t="s">
        <v>16</v>
      </c>
      <c r="K240">
        <v>0.09</v>
      </c>
      <c r="L240" t="s">
        <v>24</v>
      </c>
      <c r="M240" t="s">
        <v>20</v>
      </c>
    </row>
    <row r="241" spans="1:13" x14ac:dyDescent="0.25">
      <c r="A241">
        <v>1068</v>
      </c>
      <c r="B241" s="1">
        <v>44981</v>
      </c>
      <c r="C241" t="s">
        <v>13</v>
      </c>
      <c r="D241" t="s">
        <v>14</v>
      </c>
      <c r="E241">
        <v>5118.51</v>
      </c>
      <c r="F241">
        <v>22</v>
      </c>
      <c r="G241" t="s">
        <v>25</v>
      </c>
      <c r="H241">
        <v>3619.61</v>
      </c>
      <c r="I241">
        <v>3651.42</v>
      </c>
      <c r="J241" t="s">
        <v>16</v>
      </c>
      <c r="K241">
        <v>0.26</v>
      </c>
      <c r="L241" t="s">
        <v>24</v>
      </c>
      <c r="M241" t="s">
        <v>18</v>
      </c>
    </row>
    <row r="242" spans="1:13" x14ac:dyDescent="0.25">
      <c r="A242">
        <v>1055</v>
      </c>
      <c r="B242" s="1">
        <v>45075</v>
      </c>
      <c r="C242" t="s">
        <v>31</v>
      </c>
      <c r="D242" t="s">
        <v>14</v>
      </c>
      <c r="E242">
        <v>4153.18</v>
      </c>
      <c r="F242">
        <v>40</v>
      </c>
      <c r="G242" t="s">
        <v>15</v>
      </c>
      <c r="H242">
        <v>959.73</v>
      </c>
      <c r="I242">
        <v>1111.4100000000001</v>
      </c>
      <c r="J242" t="s">
        <v>26</v>
      </c>
      <c r="K242">
        <v>0.23</v>
      </c>
      <c r="L242" t="s">
        <v>24</v>
      </c>
      <c r="M242" t="s">
        <v>18</v>
      </c>
    </row>
    <row r="243" spans="1:13" x14ac:dyDescent="0.25">
      <c r="A243">
        <v>1075</v>
      </c>
      <c r="B243" s="1">
        <v>45235</v>
      </c>
      <c r="C243" t="s">
        <v>13</v>
      </c>
      <c r="D243" t="s">
        <v>29</v>
      </c>
      <c r="E243">
        <v>8127.7</v>
      </c>
      <c r="F243">
        <v>37</v>
      </c>
      <c r="G243" t="s">
        <v>23</v>
      </c>
      <c r="H243">
        <v>1675.51</v>
      </c>
      <c r="I243">
        <v>1906.6399999999901</v>
      </c>
      <c r="J243" t="s">
        <v>26</v>
      </c>
      <c r="K243">
        <v>0.13</v>
      </c>
      <c r="L243" t="s">
        <v>24</v>
      </c>
      <c r="M243" t="s">
        <v>18</v>
      </c>
    </row>
    <row r="244" spans="1:13" x14ac:dyDescent="0.25">
      <c r="A244">
        <v>1056</v>
      </c>
      <c r="B244" s="1">
        <v>45063</v>
      </c>
      <c r="C244" t="s">
        <v>21</v>
      </c>
      <c r="D244" t="s">
        <v>19</v>
      </c>
      <c r="E244">
        <v>8374.68</v>
      </c>
      <c r="F244">
        <v>47</v>
      </c>
      <c r="G244" t="s">
        <v>15</v>
      </c>
      <c r="H244">
        <v>2461.6999999999998</v>
      </c>
      <c r="I244">
        <v>2529.02</v>
      </c>
      <c r="J244" t="s">
        <v>16</v>
      </c>
      <c r="K244">
        <v>0.22</v>
      </c>
      <c r="L244" t="s">
        <v>17</v>
      </c>
      <c r="M244" t="s">
        <v>20</v>
      </c>
    </row>
    <row r="245" spans="1:13" x14ac:dyDescent="0.25">
      <c r="A245">
        <v>1017</v>
      </c>
      <c r="B245" s="1">
        <v>45128</v>
      </c>
      <c r="C245" t="s">
        <v>21</v>
      </c>
      <c r="D245" t="s">
        <v>29</v>
      </c>
      <c r="E245">
        <v>3388.69</v>
      </c>
      <c r="F245">
        <v>1</v>
      </c>
      <c r="G245" t="s">
        <v>23</v>
      </c>
      <c r="H245">
        <v>172.59</v>
      </c>
      <c r="I245">
        <v>404.69</v>
      </c>
      <c r="J245" t="s">
        <v>16</v>
      </c>
      <c r="K245">
        <v>0.28999999999999998</v>
      </c>
      <c r="L245" t="s">
        <v>24</v>
      </c>
      <c r="M245" t="s">
        <v>18</v>
      </c>
    </row>
    <row r="246" spans="1:13" x14ac:dyDescent="0.25">
      <c r="A246">
        <v>1038</v>
      </c>
      <c r="B246" s="1">
        <v>45239</v>
      </c>
      <c r="C246" t="s">
        <v>21</v>
      </c>
      <c r="D246" t="s">
        <v>29</v>
      </c>
      <c r="E246">
        <v>6966.82</v>
      </c>
      <c r="F246">
        <v>1</v>
      </c>
      <c r="G246" t="s">
        <v>23</v>
      </c>
      <c r="H246">
        <v>1281.6500000000001</v>
      </c>
      <c r="I246">
        <v>1709.71</v>
      </c>
      <c r="J246" t="s">
        <v>16</v>
      </c>
      <c r="K246">
        <v>0.14000000000000001</v>
      </c>
      <c r="L246" t="s">
        <v>27</v>
      </c>
      <c r="M246" t="s">
        <v>18</v>
      </c>
    </row>
    <row r="247" spans="1:13" x14ac:dyDescent="0.25">
      <c r="A247">
        <v>1024</v>
      </c>
      <c r="B247" s="1">
        <v>45043</v>
      </c>
      <c r="C247" t="s">
        <v>32</v>
      </c>
      <c r="D247" t="s">
        <v>19</v>
      </c>
      <c r="E247">
        <v>7734.12</v>
      </c>
      <c r="F247">
        <v>42</v>
      </c>
      <c r="G247" t="s">
        <v>23</v>
      </c>
      <c r="H247">
        <v>2069.0500000000002</v>
      </c>
      <c r="I247">
        <v>2363.9</v>
      </c>
      <c r="J247" t="s">
        <v>16</v>
      </c>
      <c r="K247">
        <v>7.0000000000000007E-2</v>
      </c>
      <c r="L247" t="s">
        <v>17</v>
      </c>
      <c r="M247" t="s">
        <v>18</v>
      </c>
    </row>
    <row r="248" spans="1:13" x14ac:dyDescent="0.25">
      <c r="A248">
        <v>1069</v>
      </c>
      <c r="B248" s="1">
        <v>45080</v>
      </c>
      <c r="C248" t="s">
        <v>21</v>
      </c>
      <c r="D248" t="s">
        <v>19</v>
      </c>
      <c r="E248">
        <v>6581.04</v>
      </c>
      <c r="F248">
        <v>42</v>
      </c>
      <c r="G248" t="s">
        <v>25</v>
      </c>
      <c r="H248">
        <v>1434.2</v>
      </c>
      <c r="I248">
        <v>1482.88</v>
      </c>
      <c r="J248" t="s">
        <v>26</v>
      </c>
      <c r="K248">
        <v>0.28000000000000003</v>
      </c>
      <c r="L248" t="s">
        <v>27</v>
      </c>
      <c r="M248" t="s">
        <v>20</v>
      </c>
    </row>
    <row r="249" spans="1:13" x14ac:dyDescent="0.25">
      <c r="A249">
        <v>1098</v>
      </c>
      <c r="B249" s="1">
        <v>45217</v>
      </c>
      <c r="C249" t="s">
        <v>31</v>
      </c>
      <c r="D249" t="s">
        <v>19</v>
      </c>
      <c r="E249">
        <v>1600.79</v>
      </c>
      <c r="F249">
        <v>21</v>
      </c>
      <c r="G249" t="s">
        <v>15</v>
      </c>
      <c r="H249">
        <v>725.03</v>
      </c>
      <c r="I249">
        <v>828.94999999999902</v>
      </c>
      <c r="J249" t="s">
        <v>26</v>
      </c>
      <c r="K249">
        <v>0.18</v>
      </c>
      <c r="L249" t="s">
        <v>24</v>
      </c>
      <c r="M249" t="s">
        <v>18</v>
      </c>
    </row>
    <row r="250" spans="1:13" x14ac:dyDescent="0.25">
      <c r="A250">
        <v>1070</v>
      </c>
      <c r="B250" s="1">
        <v>44989</v>
      </c>
      <c r="C250" t="s">
        <v>13</v>
      </c>
      <c r="D250" t="s">
        <v>22</v>
      </c>
      <c r="E250">
        <v>8771.24</v>
      </c>
      <c r="F250">
        <v>15</v>
      </c>
      <c r="G250" t="s">
        <v>30</v>
      </c>
      <c r="H250">
        <v>3653.66</v>
      </c>
      <c r="I250">
        <v>3896.19</v>
      </c>
      <c r="J250" t="s">
        <v>26</v>
      </c>
      <c r="K250">
        <v>0.03</v>
      </c>
      <c r="L250" t="s">
        <v>27</v>
      </c>
      <c r="M250" t="s">
        <v>20</v>
      </c>
    </row>
    <row r="251" spans="1:13" x14ac:dyDescent="0.25">
      <c r="A251">
        <v>1086</v>
      </c>
      <c r="B251" s="1">
        <v>45170</v>
      </c>
      <c r="C251" t="s">
        <v>28</v>
      </c>
      <c r="D251" t="s">
        <v>19</v>
      </c>
      <c r="E251">
        <v>5437.04</v>
      </c>
      <c r="F251">
        <v>17</v>
      </c>
      <c r="G251" t="s">
        <v>30</v>
      </c>
      <c r="H251">
        <v>4075.08</v>
      </c>
      <c r="I251">
        <v>4262.21</v>
      </c>
      <c r="J251" t="s">
        <v>26</v>
      </c>
      <c r="K251">
        <v>0.17</v>
      </c>
      <c r="L251" t="s">
        <v>17</v>
      </c>
      <c r="M251" t="s">
        <v>18</v>
      </c>
    </row>
    <row r="252" spans="1:13" x14ac:dyDescent="0.25">
      <c r="A252">
        <v>1011</v>
      </c>
      <c r="B252" s="1">
        <v>44951</v>
      </c>
      <c r="C252" t="s">
        <v>31</v>
      </c>
      <c r="D252" t="s">
        <v>14</v>
      </c>
      <c r="E252">
        <v>2896.48</v>
      </c>
      <c r="F252">
        <v>22</v>
      </c>
      <c r="G252" t="s">
        <v>30</v>
      </c>
      <c r="H252">
        <v>1324.52</v>
      </c>
      <c r="I252">
        <v>1510.3</v>
      </c>
      <c r="J252" t="s">
        <v>16</v>
      </c>
      <c r="K252">
        <v>0.15</v>
      </c>
      <c r="L252" t="s">
        <v>17</v>
      </c>
      <c r="M252" t="s">
        <v>20</v>
      </c>
    </row>
    <row r="253" spans="1:13" x14ac:dyDescent="0.25">
      <c r="A253">
        <v>1016</v>
      </c>
      <c r="B253" s="1">
        <v>45016</v>
      </c>
      <c r="C253" t="s">
        <v>31</v>
      </c>
      <c r="D253" t="s">
        <v>29</v>
      </c>
      <c r="E253">
        <v>4309.76</v>
      </c>
      <c r="F253">
        <v>38</v>
      </c>
      <c r="G253" t="s">
        <v>30</v>
      </c>
      <c r="H253">
        <v>3883.38</v>
      </c>
      <c r="I253">
        <v>4152.72</v>
      </c>
      <c r="J253" t="s">
        <v>16</v>
      </c>
      <c r="K253">
        <v>0.26</v>
      </c>
      <c r="L253" t="s">
        <v>17</v>
      </c>
      <c r="M253" t="s">
        <v>18</v>
      </c>
    </row>
    <row r="254" spans="1:13" x14ac:dyDescent="0.25">
      <c r="A254">
        <v>1097</v>
      </c>
      <c r="B254" s="1">
        <v>45001</v>
      </c>
      <c r="C254" t="s">
        <v>21</v>
      </c>
      <c r="D254" t="s">
        <v>22</v>
      </c>
      <c r="E254">
        <v>471.95</v>
      </c>
      <c r="F254">
        <v>35</v>
      </c>
      <c r="G254" t="s">
        <v>23</v>
      </c>
      <c r="H254">
        <v>1958.49</v>
      </c>
      <c r="I254">
        <v>2254.84</v>
      </c>
      <c r="J254" t="s">
        <v>26</v>
      </c>
      <c r="K254">
        <v>0.16</v>
      </c>
      <c r="L254" t="s">
        <v>27</v>
      </c>
      <c r="M254" t="s">
        <v>18</v>
      </c>
    </row>
    <row r="255" spans="1:13" x14ac:dyDescent="0.25">
      <c r="A255">
        <v>1073</v>
      </c>
      <c r="B255" s="1">
        <v>45220</v>
      </c>
      <c r="C255" t="s">
        <v>32</v>
      </c>
      <c r="D255" t="s">
        <v>19</v>
      </c>
      <c r="E255">
        <v>1365.88</v>
      </c>
      <c r="F255">
        <v>45</v>
      </c>
      <c r="G255" t="s">
        <v>15</v>
      </c>
      <c r="H255">
        <v>2558.09</v>
      </c>
      <c r="I255">
        <v>2958.55</v>
      </c>
      <c r="J255" t="s">
        <v>26</v>
      </c>
      <c r="K255">
        <v>0.08</v>
      </c>
      <c r="L255" t="s">
        <v>17</v>
      </c>
      <c r="M255" t="s">
        <v>18</v>
      </c>
    </row>
    <row r="256" spans="1:13" x14ac:dyDescent="0.25">
      <c r="A256">
        <v>1059</v>
      </c>
      <c r="B256" s="1">
        <v>45136</v>
      </c>
      <c r="C256" t="s">
        <v>13</v>
      </c>
      <c r="D256" t="s">
        <v>22</v>
      </c>
      <c r="E256">
        <v>7678.91</v>
      </c>
      <c r="F256">
        <v>16</v>
      </c>
      <c r="G256" t="s">
        <v>15</v>
      </c>
      <c r="H256">
        <v>4287.21</v>
      </c>
      <c r="I256">
        <v>4464.28</v>
      </c>
      <c r="J256" t="s">
        <v>16</v>
      </c>
      <c r="K256">
        <v>0.2</v>
      </c>
      <c r="L256" t="s">
        <v>27</v>
      </c>
      <c r="M256" t="s">
        <v>20</v>
      </c>
    </row>
    <row r="257" spans="1:13" x14ac:dyDescent="0.25">
      <c r="A257">
        <v>1070</v>
      </c>
      <c r="B257" s="1">
        <v>45273</v>
      </c>
      <c r="C257" t="s">
        <v>32</v>
      </c>
      <c r="D257" t="s">
        <v>19</v>
      </c>
      <c r="E257">
        <v>100.12</v>
      </c>
      <c r="F257">
        <v>8</v>
      </c>
      <c r="G257" t="s">
        <v>25</v>
      </c>
      <c r="H257">
        <v>3762.27</v>
      </c>
      <c r="I257">
        <v>4166.95</v>
      </c>
      <c r="J257" t="s">
        <v>16</v>
      </c>
      <c r="K257">
        <v>0.16</v>
      </c>
      <c r="L257" t="s">
        <v>24</v>
      </c>
      <c r="M257" t="s">
        <v>18</v>
      </c>
    </row>
    <row r="258" spans="1:13" x14ac:dyDescent="0.25">
      <c r="A258">
        <v>1080</v>
      </c>
      <c r="B258" s="1">
        <v>44943</v>
      </c>
      <c r="C258" t="s">
        <v>13</v>
      </c>
      <c r="D258" t="s">
        <v>22</v>
      </c>
      <c r="E258">
        <v>4224</v>
      </c>
      <c r="F258">
        <v>47</v>
      </c>
      <c r="G258" t="s">
        <v>15</v>
      </c>
      <c r="H258">
        <v>4035.33</v>
      </c>
      <c r="I258">
        <v>4211.25</v>
      </c>
      <c r="J258" t="s">
        <v>16</v>
      </c>
      <c r="K258">
        <v>7.0000000000000007E-2</v>
      </c>
      <c r="L258" t="s">
        <v>24</v>
      </c>
      <c r="M258" t="s">
        <v>18</v>
      </c>
    </row>
    <row r="259" spans="1:13" x14ac:dyDescent="0.25">
      <c r="A259">
        <v>1093</v>
      </c>
      <c r="B259" s="1">
        <v>45054</v>
      </c>
      <c r="C259" t="s">
        <v>13</v>
      </c>
      <c r="D259" t="s">
        <v>29</v>
      </c>
      <c r="E259">
        <v>5272.85</v>
      </c>
      <c r="F259">
        <v>17</v>
      </c>
      <c r="G259" t="s">
        <v>15</v>
      </c>
      <c r="H259">
        <v>727.38</v>
      </c>
      <c r="I259">
        <v>764.54</v>
      </c>
      <c r="J259" t="s">
        <v>16</v>
      </c>
      <c r="K259">
        <v>0.17</v>
      </c>
      <c r="L259" t="s">
        <v>27</v>
      </c>
      <c r="M259" t="s">
        <v>20</v>
      </c>
    </row>
    <row r="260" spans="1:13" x14ac:dyDescent="0.25">
      <c r="A260">
        <v>1003</v>
      </c>
      <c r="B260" s="1">
        <v>45290</v>
      </c>
      <c r="C260" t="s">
        <v>32</v>
      </c>
      <c r="D260" t="s">
        <v>29</v>
      </c>
      <c r="E260">
        <v>640.88</v>
      </c>
      <c r="F260">
        <v>17</v>
      </c>
      <c r="G260" t="s">
        <v>15</v>
      </c>
      <c r="H260">
        <v>395.11</v>
      </c>
      <c r="I260">
        <v>676.66</v>
      </c>
      <c r="J260" t="s">
        <v>16</v>
      </c>
      <c r="K260">
        <v>0.25</v>
      </c>
      <c r="L260" t="s">
        <v>17</v>
      </c>
      <c r="M260" t="s">
        <v>20</v>
      </c>
    </row>
    <row r="261" spans="1:13" x14ac:dyDescent="0.25">
      <c r="A261">
        <v>1020</v>
      </c>
      <c r="B261" s="1">
        <v>45177</v>
      </c>
      <c r="C261" t="s">
        <v>31</v>
      </c>
      <c r="D261" t="s">
        <v>14</v>
      </c>
      <c r="E261">
        <v>9733.4699999999993</v>
      </c>
      <c r="F261">
        <v>26</v>
      </c>
      <c r="G261" t="s">
        <v>25</v>
      </c>
      <c r="H261">
        <v>4472.3500000000004</v>
      </c>
      <c r="I261">
        <v>4770.42</v>
      </c>
      <c r="J261" t="s">
        <v>26</v>
      </c>
      <c r="K261">
        <v>0.01</v>
      </c>
      <c r="L261" t="s">
        <v>27</v>
      </c>
      <c r="M261" t="s">
        <v>20</v>
      </c>
    </row>
    <row r="262" spans="1:13" x14ac:dyDescent="0.25">
      <c r="A262">
        <v>1059</v>
      </c>
      <c r="B262" s="1">
        <v>45105</v>
      </c>
      <c r="C262" t="s">
        <v>13</v>
      </c>
      <c r="D262" t="s">
        <v>14</v>
      </c>
      <c r="E262">
        <v>2338.64</v>
      </c>
      <c r="F262">
        <v>13</v>
      </c>
      <c r="G262" t="s">
        <v>30</v>
      </c>
      <c r="H262">
        <v>1969.78</v>
      </c>
      <c r="I262">
        <v>2437.6999999999998</v>
      </c>
      <c r="J262" t="s">
        <v>26</v>
      </c>
      <c r="K262">
        <v>0.19</v>
      </c>
      <c r="L262" t="s">
        <v>27</v>
      </c>
      <c r="M262" t="s">
        <v>20</v>
      </c>
    </row>
    <row r="263" spans="1:13" x14ac:dyDescent="0.25">
      <c r="A263">
        <v>1036</v>
      </c>
      <c r="B263" s="1">
        <v>45108</v>
      </c>
      <c r="C263" t="s">
        <v>32</v>
      </c>
      <c r="D263" t="s">
        <v>19</v>
      </c>
      <c r="E263">
        <v>3111.57</v>
      </c>
      <c r="F263">
        <v>17</v>
      </c>
      <c r="G263" t="s">
        <v>15</v>
      </c>
      <c r="H263">
        <v>1475</v>
      </c>
      <c r="I263">
        <v>1840.77</v>
      </c>
      <c r="J263" t="s">
        <v>16</v>
      </c>
      <c r="K263">
        <v>0.1</v>
      </c>
      <c r="L263" t="s">
        <v>27</v>
      </c>
      <c r="M263" t="s">
        <v>18</v>
      </c>
    </row>
    <row r="264" spans="1:13" x14ac:dyDescent="0.25">
      <c r="A264">
        <v>1019</v>
      </c>
      <c r="B264" s="1">
        <v>45078</v>
      </c>
      <c r="C264" t="s">
        <v>13</v>
      </c>
      <c r="D264" t="s">
        <v>29</v>
      </c>
      <c r="E264">
        <v>3109.03</v>
      </c>
      <c r="F264">
        <v>38</v>
      </c>
      <c r="G264" t="s">
        <v>25</v>
      </c>
      <c r="H264">
        <v>3637.25</v>
      </c>
      <c r="I264">
        <v>4096.96</v>
      </c>
      <c r="J264" t="s">
        <v>16</v>
      </c>
      <c r="K264">
        <v>0.09</v>
      </c>
      <c r="L264" t="s">
        <v>24</v>
      </c>
      <c r="M264" t="s">
        <v>18</v>
      </c>
    </row>
    <row r="265" spans="1:13" x14ac:dyDescent="0.25">
      <c r="A265">
        <v>1090</v>
      </c>
      <c r="B265" s="1">
        <v>44951</v>
      </c>
      <c r="C265" t="s">
        <v>28</v>
      </c>
      <c r="D265" t="s">
        <v>22</v>
      </c>
      <c r="E265">
        <v>2381.12</v>
      </c>
      <c r="F265">
        <v>17</v>
      </c>
      <c r="G265" t="s">
        <v>25</v>
      </c>
      <c r="H265">
        <v>4190.26</v>
      </c>
      <c r="I265">
        <v>4645.3500000000004</v>
      </c>
      <c r="J265" t="s">
        <v>26</v>
      </c>
      <c r="K265">
        <v>0.12</v>
      </c>
      <c r="L265" t="s">
        <v>27</v>
      </c>
      <c r="M265" t="s">
        <v>20</v>
      </c>
    </row>
    <row r="266" spans="1:13" x14ac:dyDescent="0.25">
      <c r="A266">
        <v>1067</v>
      </c>
      <c r="B266" s="1">
        <v>45106</v>
      </c>
      <c r="C266" t="s">
        <v>31</v>
      </c>
      <c r="D266" t="s">
        <v>22</v>
      </c>
      <c r="E266">
        <v>114.59</v>
      </c>
      <c r="F266">
        <v>48</v>
      </c>
      <c r="G266" t="s">
        <v>23</v>
      </c>
      <c r="H266">
        <v>4319.32</v>
      </c>
      <c r="I266">
        <v>4625.5599999999904</v>
      </c>
      <c r="J266" t="s">
        <v>16</v>
      </c>
      <c r="K266">
        <v>0.1</v>
      </c>
      <c r="L266" t="s">
        <v>24</v>
      </c>
      <c r="M266" t="s">
        <v>18</v>
      </c>
    </row>
    <row r="267" spans="1:13" x14ac:dyDescent="0.25">
      <c r="A267">
        <v>1019</v>
      </c>
      <c r="B267" s="1">
        <v>45124</v>
      </c>
      <c r="C267" t="s">
        <v>21</v>
      </c>
      <c r="D267" t="s">
        <v>22</v>
      </c>
      <c r="E267">
        <v>7320.51</v>
      </c>
      <c r="F267">
        <v>14</v>
      </c>
      <c r="G267" t="s">
        <v>25</v>
      </c>
      <c r="H267">
        <v>1614.19</v>
      </c>
      <c r="I267">
        <v>1882.79</v>
      </c>
      <c r="J267" t="s">
        <v>26</v>
      </c>
      <c r="K267">
        <v>0.25</v>
      </c>
      <c r="L267" t="s">
        <v>27</v>
      </c>
      <c r="M267" t="s">
        <v>20</v>
      </c>
    </row>
    <row r="268" spans="1:13" x14ac:dyDescent="0.25">
      <c r="A268">
        <v>1020</v>
      </c>
      <c r="B268" s="1">
        <v>45270</v>
      </c>
      <c r="C268" t="s">
        <v>13</v>
      </c>
      <c r="D268" t="s">
        <v>14</v>
      </c>
      <c r="E268">
        <v>9671.77</v>
      </c>
      <c r="F268">
        <v>45</v>
      </c>
      <c r="G268" t="s">
        <v>30</v>
      </c>
      <c r="H268">
        <v>4268.45</v>
      </c>
      <c r="I268">
        <v>4551.5999999999904</v>
      </c>
      <c r="J268" t="s">
        <v>26</v>
      </c>
      <c r="K268">
        <v>0.08</v>
      </c>
      <c r="L268" t="s">
        <v>24</v>
      </c>
      <c r="M268" t="s">
        <v>18</v>
      </c>
    </row>
    <row r="269" spans="1:13" x14ac:dyDescent="0.25">
      <c r="A269">
        <v>1096</v>
      </c>
      <c r="B269" s="1">
        <v>45087</v>
      </c>
      <c r="C269" t="s">
        <v>28</v>
      </c>
      <c r="D269" t="s">
        <v>22</v>
      </c>
      <c r="E269">
        <v>2320.5100000000002</v>
      </c>
      <c r="F269">
        <v>6</v>
      </c>
      <c r="G269" t="s">
        <v>15</v>
      </c>
      <c r="H269">
        <v>252.62</v>
      </c>
      <c r="I269">
        <v>742</v>
      </c>
      <c r="J269" t="s">
        <v>26</v>
      </c>
      <c r="K269">
        <v>0.22</v>
      </c>
      <c r="L269" t="s">
        <v>27</v>
      </c>
      <c r="M269" t="s">
        <v>20</v>
      </c>
    </row>
    <row r="270" spans="1:13" x14ac:dyDescent="0.25">
      <c r="A270">
        <v>1071</v>
      </c>
      <c r="B270" s="1">
        <v>45103</v>
      </c>
      <c r="C270" t="s">
        <v>21</v>
      </c>
      <c r="D270" t="s">
        <v>14</v>
      </c>
      <c r="E270">
        <v>6664.17</v>
      </c>
      <c r="F270">
        <v>35</v>
      </c>
      <c r="G270" t="s">
        <v>25</v>
      </c>
      <c r="H270">
        <v>295.82</v>
      </c>
      <c r="I270">
        <v>684.67</v>
      </c>
      <c r="J270" t="s">
        <v>26</v>
      </c>
      <c r="K270">
        <v>0.03</v>
      </c>
      <c r="L270" t="s">
        <v>27</v>
      </c>
      <c r="M270" t="s">
        <v>18</v>
      </c>
    </row>
    <row r="271" spans="1:13" x14ac:dyDescent="0.25">
      <c r="A271">
        <v>1052</v>
      </c>
      <c r="B271" s="1">
        <v>45211</v>
      </c>
      <c r="C271" t="s">
        <v>21</v>
      </c>
      <c r="D271" t="s">
        <v>14</v>
      </c>
      <c r="E271">
        <v>7444.77</v>
      </c>
      <c r="F271">
        <v>46</v>
      </c>
      <c r="G271" t="s">
        <v>30</v>
      </c>
      <c r="H271">
        <v>3136.42</v>
      </c>
      <c r="I271">
        <v>3198.49</v>
      </c>
      <c r="J271" t="s">
        <v>16</v>
      </c>
      <c r="K271">
        <v>0.28999999999999998</v>
      </c>
      <c r="L271" t="s">
        <v>17</v>
      </c>
      <c r="M271" t="s">
        <v>20</v>
      </c>
    </row>
    <row r="272" spans="1:13" x14ac:dyDescent="0.25">
      <c r="A272">
        <v>1033</v>
      </c>
      <c r="B272" s="1">
        <v>44989</v>
      </c>
      <c r="C272" t="s">
        <v>13</v>
      </c>
      <c r="D272" t="s">
        <v>19</v>
      </c>
      <c r="E272">
        <v>8499.41</v>
      </c>
      <c r="F272">
        <v>14</v>
      </c>
      <c r="G272" t="s">
        <v>25</v>
      </c>
      <c r="H272">
        <v>362.38</v>
      </c>
      <c r="I272">
        <v>753.81</v>
      </c>
      <c r="J272" t="s">
        <v>16</v>
      </c>
      <c r="K272">
        <v>0.19</v>
      </c>
      <c r="L272" t="s">
        <v>17</v>
      </c>
      <c r="M272" t="s">
        <v>20</v>
      </c>
    </row>
    <row r="273" spans="1:13" x14ac:dyDescent="0.25">
      <c r="A273">
        <v>1040</v>
      </c>
      <c r="B273" s="1">
        <v>45076</v>
      </c>
      <c r="C273" t="s">
        <v>32</v>
      </c>
      <c r="D273" t="s">
        <v>22</v>
      </c>
      <c r="E273">
        <v>4284.03</v>
      </c>
      <c r="F273">
        <v>47</v>
      </c>
      <c r="G273" t="s">
        <v>25</v>
      </c>
      <c r="H273">
        <v>1656.82</v>
      </c>
      <c r="I273">
        <v>1750.3799999999901</v>
      </c>
      <c r="J273" t="s">
        <v>26</v>
      </c>
      <c r="K273">
        <v>0.21</v>
      </c>
      <c r="L273" t="s">
        <v>27</v>
      </c>
      <c r="M273" t="s">
        <v>18</v>
      </c>
    </row>
    <row r="274" spans="1:13" x14ac:dyDescent="0.25">
      <c r="A274">
        <v>1039</v>
      </c>
      <c r="B274" s="1">
        <v>45080</v>
      </c>
      <c r="C274" t="s">
        <v>13</v>
      </c>
      <c r="D274" t="s">
        <v>22</v>
      </c>
      <c r="E274">
        <v>3099.02</v>
      </c>
      <c r="F274">
        <v>8</v>
      </c>
      <c r="G274" t="s">
        <v>25</v>
      </c>
      <c r="H274">
        <v>3380.14</v>
      </c>
      <c r="I274">
        <v>3609.3399999999901</v>
      </c>
      <c r="J274" t="s">
        <v>16</v>
      </c>
      <c r="K274">
        <v>0.09</v>
      </c>
      <c r="L274" t="s">
        <v>27</v>
      </c>
      <c r="M274" t="s">
        <v>18</v>
      </c>
    </row>
    <row r="275" spans="1:13" x14ac:dyDescent="0.25">
      <c r="A275">
        <v>1082</v>
      </c>
      <c r="B275" s="1">
        <v>45082</v>
      </c>
      <c r="C275" t="s">
        <v>28</v>
      </c>
      <c r="D275" t="s">
        <v>29</v>
      </c>
      <c r="E275">
        <v>3320.42</v>
      </c>
      <c r="F275">
        <v>15</v>
      </c>
      <c r="G275" t="s">
        <v>25</v>
      </c>
      <c r="H275">
        <v>1719.47</v>
      </c>
      <c r="I275">
        <v>1832.6</v>
      </c>
      <c r="J275" t="s">
        <v>16</v>
      </c>
      <c r="K275">
        <v>0.12</v>
      </c>
      <c r="L275" t="s">
        <v>27</v>
      </c>
      <c r="M275" t="s">
        <v>18</v>
      </c>
    </row>
    <row r="276" spans="1:13" x14ac:dyDescent="0.25">
      <c r="A276">
        <v>1001</v>
      </c>
      <c r="B276" s="1">
        <v>44975</v>
      </c>
      <c r="C276" t="s">
        <v>21</v>
      </c>
      <c r="D276" t="s">
        <v>19</v>
      </c>
      <c r="E276">
        <v>7154.95</v>
      </c>
      <c r="F276">
        <v>27</v>
      </c>
      <c r="G276" t="s">
        <v>25</v>
      </c>
      <c r="H276">
        <v>939.02</v>
      </c>
      <c r="I276">
        <v>1286.92</v>
      </c>
      <c r="J276" t="s">
        <v>16</v>
      </c>
      <c r="K276">
        <v>7.0000000000000007E-2</v>
      </c>
      <c r="L276" t="s">
        <v>27</v>
      </c>
      <c r="M276" t="s">
        <v>20</v>
      </c>
    </row>
    <row r="277" spans="1:13" x14ac:dyDescent="0.25">
      <c r="A277">
        <v>1011</v>
      </c>
      <c r="B277" s="1">
        <v>45263</v>
      </c>
      <c r="C277" t="s">
        <v>13</v>
      </c>
      <c r="D277" t="s">
        <v>29</v>
      </c>
      <c r="E277">
        <v>8186.12</v>
      </c>
      <c r="F277">
        <v>13</v>
      </c>
      <c r="G277" t="s">
        <v>30</v>
      </c>
      <c r="H277">
        <v>1442.69</v>
      </c>
      <c r="I277">
        <v>1882.57</v>
      </c>
      <c r="J277" t="s">
        <v>16</v>
      </c>
      <c r="K277">
        <v>0.28000000000000003</v>
      </c>
      <c r="L277" t="s">
        <v>17</v>
      </c>
      <c r="M277" t="s">
        <v>18</v>
      </c>
    </row>
    <row r="278" spans="1:13" x14ac:dyDescent="0.25">
      <c r="A278">
        <v>1092</v>
      </c>
      <c r="B278" s="1">
        <v>45010</v>
      </c>
      <c r="C278" t="s">
        <v>32</v>
      </c>
      <c r="D278" t="s">
        <v>19</v>
      </c>
      <c r="E278">
        <v>1897.98</v>
      </c>
      <c r="F278">
        <v>49</v>
      </c>
      <c r="G278" t="s">
        <v>15</v>
      </c>
      <c r="H278">
        <v>2315</v>
      </c>
      <c r="I278">
        <v>2467.2800000000002</v>
      </c>
      <c r="J278" t="s">
        <v>26</v>
      </c>
      <c r="K278">
        <v>0.15</v>
      </c>
      <c r="L278" t="s">
        <v>24</v>
      </c>
      <c r="M278" t="s">
        <v>20</v>
      </c>
    </row>
    <row r="279" spans="1:13" x14ac:dyDescent="0.25">
      <c r="A279">
        <v>1057</v>
      </c>
      <c r="B279" s="1">
        <v>45287</v>
      </c>
      <c r="C279" t="s">
        <v>13</v>
      </c>
      <c r="D279" t="s">
        <v>22</v>
      </c>
      <c r="E279">
        <v>3772.32</v>
      </c>
      <c r="F279">
        <v>31</v>
      </c>
      <c r="G279" t="s">
        <v>15</v>
      </c>
      <c r="H279">
        <v>2403.16</v>
      </c>
      <c r="I279">
        <v>2453.35</v>
      </c>
      <c r="J279" t="s">
        <v>16</v>
      </c>
      <c r="K279">
        <v>0.19</v>
      </c>
      <c r="L279" t="s">
        <v>27</v>
      </c>
      <c r="M279" t="s">
        <v>18</v>
      </c>
    </row>
    <row r="280" spans="1:13" x14ac:dyDescent="0.25">
      <c r="A280">
        <v>1089</v>
      </c>
      <c r="B280" s="1">
        <v>45103</v>
      </c>
      <c r="C280" t="s">
        <v>31</v>
      </c>
      <c r="D280" t="s">
        <v>14</v>
      </c>
      <c r="E280">
        <v>9029.2099999999991</v>
      </c>
      <c r="F280">
        <v>35</v>
      </c>
      <c r="G280" t="s">
        <v>15</v>
      </c>
      <c r="H280">
        <v>3925.85</v>
      </c>
      <c r="I280">
        <v>4082.1099999999901</v>
      </c>
      <c r="J280" t="s">
        <v>26</v>
      </c>
      <c r="K280">
        <v>0.22</v>
      </c>
      <c r="L280" t="s">
        <v>17</v>
      </c>
      <c r="M280" t="s">
        <v>18</v>
      </c>
    </row>
    <row r="281" spans="1:13" x14ac:dyDescent="0.25">
      <c r="A281">
        <v>1050</v>
      </c>
      <c r="B281" s="1">
        <v>45074</v>
      </c>
      <c r="C281" t="s">
        <v>32</v>
      </c>
      <c r="D281" t="s">
        <v>14</v>
      </c>
      <c r="E281">
        <v>8086.27</v>
      </c>
      <c r="F281">
        <v>6</v>
      </c>
      <c r="G281" t="s">
        <v>15</v>
      </c>
      <c r="H281">
        <v>3763.26</v>
      </c>
      <c r="I281">
        <v>4102.72</v>
      </c>
      <c r="J281" t="s">
        <v>26</v>
      </c>
      <c r="K281">
        <v>0.11</v>
      </c>
      <c r="L281" t="s">
        <v>27</v>
      </c>
      <c r="M281" t="s">
        <v>20</v>
      </c>
    </row>
    <row r="282" spans="1:13" x14ac:dyDescent="0.25">
      <c r="A282">
        <v>1023</v>
      </c>
      <c r="B282" s="1">
        <v>45044</v>
      </c>
      <c r="C282" t="s">
        <v>28</v>
      </c>
      <c r="D282" t="s">
        <v>14</v>
      </c>
      <c r="E282">
        <v>9850.1</v>
      </c>
      <c r="F282">
        <v>5</v>
      </c>
      <c r="G282" t="s">
        <v>30</v>
      </c>
      <c r="H282">
        <v>2311.25</v>
      </c>
      <c r="I282">
        <v>2482.34</v>
      </c>
      <c r="J282" t="s">
        <v>16</v>
      </c>
      <c r="K282">
        <v>0.22</v>
      </c>
      <c r="L282" t="s">
        <v>27</v>
      </c>
      <c r="M282" t="s">
        <v>20</v>
      </c>
    </row>
    <row r="283" spans="1:13" x14ac:dyDescent="0.25">
      <c r="A283">
        <v>1031</v>
      </c>
      <c r="B283" s="1">
        <v>45268</v>
      </c>
      <c r="C283" t="s">
        <v>21</v>
      </c>
      <c r="D283" t="s">
        <v>14</v>
      </c>
      <c r="E283">
        <v>7567.06</v>
      </c>
      <c r="F283">
        <v>22</v>
      </c>
      <c r="G283" t="s">
        <v>23</v>
      </c>
      <c r="H283">
        <v>4236.05</v>
      </c>
      <c r="I283">
        <v>4382.32</v>
      </c>
      <c r="J283" t="s">
        <v>26</v>
      </c>
      <c r="K283">
        <v>0.2</v>
      </c>
      <c r="L283" t="s">
        <v>24</v>
      </c>
      <c r="M283" t="s">
        <v>18</v>
      </c>
    </row>
    <row r="284" spans="1:13" x14ac:dyDescent="0.25">
      <c r="A284">
        <v>1094</v>
      </c>
      <c r="B284" s="1">
        <v>44989</v>
      </c>
      <c r="C284" t="s">
        <v>13</v>
      </c>
      <c r="D284" t="s">
        <v>14</v>
      </c>
      <c r="E284">
        <v>3992.63</v>
      </c>
      <c r="F284">
        <v>49</v>
      </c>
      <c r="G284" t="s">
        <v>23</v>
      </c>
      <c r="H284">
        <v>615.47</v>
      </c>
      <c r="I284">
        <v>715.84</v>
      </c>
      <c r="J284" t="s">
        <v>16</v>
      </c>
      <c r="K284">
        <v>0.21</v>
      </c>
      <c r="L284" t="s">
        <v>27</v>
      </c>
      <c r="M284" t="s">
        <v>20</v>
      </c>
    </row>
    <row r="285" spans="1:13" x14ac:dyDescent="0.25">
      <c r="A285">
        <v>1042</v>
      </c>
      <c r="B285" s="1">
        <v>45115</v>
      </c>
      <c r="C285" t="s">
        <v>32</v>
      </c>
      <c r="D285" t="s">
        <v>29</v>
      </c>
      <c r="E285">
        <v>5947.31</v>
      </c>
      <c r="F285">
        <v>23</v>
      </c>
      <c r="G285" t="s">
        <v>30</v>
      </c>
      <c r="H285">
        <v>1314</v>
      </c>
      <c r="I285">
        <v>1567.78</v>
      </c>
      <c r="J285" t="s">
        <v>16</v>
      </c>
      <c r="K285">
        <v>0.15</v>
      </c>
      <c r="L285" t="s">
        <v>27</v>
      </c>
      <c r="M285" t="s">
        <v>20</v>
      </c>
    </row>
    <row r="286" spans="1:13" x14ac:dyDescent="0.25">
      <c r="A286">
        <v>1099</v>
      </c>
      <c r="B286" s="1">
        <v>45286</v>
      </c>
      <c r="C286" t="s">
        <v>31</v>
      </c>
      <c r="D286" t="s">
        <v>19</v>
      </c>
      <c r="E286">
        <v>6644.04</v>
      </c>
      <c r="F286">
        <v>25</v>
      </c>
      <c r="G286" t="s">
        <v>30</v>
      </c>
      <c r="H286">
        <v>4148.4799999999996</v>
      </c>
      <c r="I286">
        <v>4293.6899999999996</v>
      </c>
      <c r="J286" t="s">
        <v>26</v>
      </c>
      <c r="K286">
        <v>0.11</v>
      </c>
      <c r="L286" t="s">
        <v>24</v>
      </c>
      <c r="M286" t="s">
        <v>18</v>
      </c>
    </row>
    <row r="287" spans="1:13" x14ac:dyDescent="0.25">
      <c r="A287">
        <v>1007</v>
      </c>
      <c r="B287" s="1">
        <v>44975</v>
      </c>
      <c r="C287" t="s">
        <v>32</v>
      </c>
      <c r="D287" t="s">
        <v>22</v>
      </c>
      <c r="E287">
        <v>876.71</v>
      </c>
      <c r="F287">
        <v>34</v>
      </c>
      <c r="G287" t="s">
        <v>25</v>
      </c>
      <c r="H287">
        <v>1921.07</v>
      </c>
      <c r="I287">
        <v>2289.27</v>
      </c>
      <c r="J287" t="s">
        <v>16</v>
      </c>
      <c r="K287">
        <v>7.0000000000000007E-2</v>
      </c>
      <c r="L287" t="s">
        <v>24</v>
      </c>
      <c r="M287" t="s">
        <v>20</v>
      </c>
    </row>
    <row r="288" spans="1:13" x14ac:dyDescent="0.25">
      <c r="A288">
        <v>1016</v>
      </c>
      <c r="B288" s="1">
        <v>45253</v>
      </c>
      <c r="C288" t="s">
        <v>31</v>
      </c>
      <c r="D288" t="s">
        <v>29</v>
      </c>
      <c r="E288">
        <v>5490.52</v>
      </c>
      <c r="F288">
        <v>26</v>
      </c>
      <c r="G288" t="s">
        <v>25</v>
      </c>
      <c r="H288">
        <v>4906.8500000000004</v>
      </c>
      <c r="I288">
        <v>4954.3900000000003</v>
      </c>
      <c r="J288" t="s">
        <v>26</v>
      </c>
      <c r="K288">
        <v>0.25</v>
      </c>
      <c r="L288" t="s">
        <v>24</v>
      </c>
      <c r="M288" t="s">
        <v>18</v>
      </c>
    </row>
    <row r="289" spans="1:13" x14ac:dyDescent="0.25">
      <c r="A289">
        <v>1090</v>
      </c>
      <c r="B289" s="1">
        <v>45183</v>
      </c>
      <c r="C289" t="s">
        <v>28</v>
      </c>
      <c r="D289" t="s">
        <v>19</v>
      </c>
      <c r="E289">
        <v>7122.28</v>
      </c>
      <c r="F289">
        <v>47</v>
      </c>
      <c r="G289" t="s">
        <v>25</v>
      </c>
      <c r="H289">
        <v>2357.9499999999998</v>
      </c>
      <c r="I289">
        <v>2693.33</v>
      </c>
      <c r="J289" t="s">
        <v>26</v>
      </c>
      <c r="K289">
        <v>0.18</v>
      </c>
      <c r="L289" t="s">
        <v>24</v>
      </c>
      <c r="M289" t="s">
        <v>18</v>
      </c>
    </row>
    <row r="290" spans="1:13" x14ac:dyDescent="0.25">
      <c r="A290">
        <v>1060</v>
      </c>
      <c r="B290" s="1">
        <v>45150</v>
      </c>
      <c r="C290" t="s">
        <v>21</v>
      </c>
      <c r="D290" t="s">
        <v>14</v>
      </c>
      <c r="E290">
        <v>1756.48</v>
      </c>
      <c r="F290">
        <v>5</v>
      </c>
      <c r="G290" t="s">
        <v>15</v>
      </c>
      <c r="H290">
        <v>3970.08</v>
      </c>
      <c r="I290">
        <v>4096.4799999999996</v>
      </c>
      <c r="J290" t="s">
        <v>16</v>
      </c>
      <c r="K290">
        <v>0.13</v>
      </c>
      <c r="L290" t="s">
        <v>17</v>
      </c>
      <c r="M290" t="s">
        <v>20</v>
      </c>
    </row>
    <row r="291" spans="1:13" x14ac:dyDescent="0.25">
      <c r="A291">
        <v>1002</v>
      </c>
      <c r="B291" s="1">
        <v>45067</v>
      </c>
      <c r="C291" t="s">
        <v>28</v>
      </c>
      <c r="D291" t="s">
        <v>19</v>
      </c>
      <c r="E291">
        <v>7828.25</v>
      </c>
      <c r="F291">
        <v>26</v>
      </c>
      <c r="G291" t="s">
        <v>25</v>
      </c>
      <c r="H291">
        <v>2041.42</v>
      </c>
      <c r="I291">
        <v>2291.17</v>
      </c>
      <c r="J291" t="s">
        <v>16</v>
      </c>
      <c r="K291">
        <v>0.28000000000000003</v>
      </c>
      <c r="L291" t="s">
        <v>17</v>
      </c>
      <c r="M291" t="s">
        <v>18</v>
      </c>
    </row>
    <row r="292" spans="1:13" x14ac:dyDescent="0.25">
      <c r="A292">
        <v>1001</v>
      </c>
      <c r="B292" s="1">
        <v>45141</v>
      </c>
      <c r="C292" t="s">
        <v>13</v>
      </c>
      <c r="D292" t="s">
        <v>19</v>
      </c>
      <c r="E292">
        <v>5879.35</v>
      </c>
      <c r="F292">
        <v>20</v>
      </c>
      <c r="G292" t="s">
        <v>23</v>
      </c>
      <c r="H292">
        <v>2153.52</v>
      </c>
      <c r="I292">
        <v>2303.6999999999998</v>
      </c>
      <c r="J292" t="s">
        <v>16</v>
      </c>
      <c r="K292">
        <v>0.01</v>
      </c>
      <c r="L292" t="s">
        <v>17</v>
      </c>
      <c r="M292" t="s">
        <v>20</v>
      </c>
    </row>
    <row r="293" spans="1:13" x14ac:dyDescent="0.25">
      <c r="A293">
        <v>1048</v>
      </c>
      <c r="B293" s="1">
        <v>45137</v>
      </c>
      <c r="C293" t="s">
        <v>32</v>
      </c>
      <c r="D293" t="s">
        <v>14</v>
      </c>
      <c r="E293">
        <v>9527</v>
      </c>
      <c r="F293">
        <v>6</v>
      </c>
      <c r="G293" t="s">
        <v>15</v>
      </c>
      <c r="H293">
        <v>1945.27</v>
      </c>
      <c r="I293">
        <v>2309.4299999999998</v>
      </c>
      <c r="J293" t="s">
        <v>26</v>
      </c>
      <c r="K293">
        <v>0.26</v>
      </c>
      <c r="L293" t="s">
        <v>27</v>
      </c>
      <c r="M293" t="s">
        <v>18</v>
      </c>
    </row>
    <row r="294" spans="1:13" x14ac:dyDescent="0.25">
      <c r="A294">
        <v>1012</v>
      </c>
      <c r="B294" s="1">
        <v>45244</v>
      </c>
      <c r="C294" t="s">
        <v>31</v>
      </c>
      <c r="D294" t="s">
        <v>14</v>
      </c>
      <c r="E294">
        <v>519.98</v>
      </c>
      <c r="F294">
        <v>6</v>
      </c>
      <c r="G294" t="s">
        <v>25</v>
      </c>
      <c r="H294">
        <v>3609.42</v>
      </c>
      <c r="I294">
        <v>4082.62</v>
      </c>
      <c r="J294" t="s">
        <v>16</v>
      </c>
      <c r="K294">
        <v>0.3</v>
      </c>
      <c r="L294" t="s">
        <v>24</v>
      </c>
      <c r="M294" t="s">
        <v>20</v>
      </c>
    </row>
    <row r="295" spans="1:13" x14ac:dyDescent="0.25">
      <c r="A295">
        <v>1069</v>
      </c>
      <c r="B295" s="1">
        <v>44958</v>
      </c>
      <c r="C295" t="s">
        <v>31</v>
      </c>
      <c r="D295" t="s">
        <v>14</v>
      </c>
      <c r="E295">
        <v>2726.73</v>
      </c>
      <c r="F295">
        <v>18</v>
      </c>
      <c r="G295" t="s">
        <v>15</v>
      </c>
      <c r="H295">
        <v>2760.21</v>
      </c>
      <c r="I295">
        <v>3219.58</v>
      </c>
      <c r="J295" t="s">
        <v>26</v>
      </c>
      <c r="K295">
        <v>0.27</v>
      </c>
      <c r="L295" t="s">
        <v>24</v>
      </c>
      <c r="M295" t="s">
        <v>20</v>
      </c>
    </row>
    <row r="296" spans="1:13" x14ac:dyDescent="0.25">
      <c r="A296">
        <v>1037</v>
      </c>
      <c r="B296" s="1">
        <v>45084</v>
      </c>
      <c r="C296" t="s">
        <v>32</v>
      </c>
      <c r="D296" t="s">
        <v>22</v>
      </c>
      <c r="E296">
        <v>6055.38</v>
      </c>
      <c r="F296">
        <v>4</v>
      </c>
      <c r="G296" t="s">
        <v>23</v>
      </c>
      <c r="H296">
        <v>4721.7</v>
      </c>
      <c r="I296">
        <v>5017.58</v>
      </c>
      <c r="J296" t="s">
        <v>26</v>
      </c>
      <c r="K296">
        <v>0.24</v>
      </c>
      <c r="L296" t="s">
        <v>17</v>
      </c>
      <c r="M296" t="s">
        <v>20</v>
      </c>
    </row>
    <row r="297" spans="1:13" x14ac:dyDescent="0.25">
      <c r="A297">
        <v>1032</v>
      </c>
      <c r="B297" s="1">
        <v>45211</v>
      </c>
      <c r="C297" t="s">
        <v>32</v>
      </c>
      <c r="D297" t="s">
        <v>14</v>
      </c>
      <c r="E297">
        <v>3035.94</v>
      </c>
      <c r="F297">
        <v>17</v>
      </c>
      <c r="G297" t="s">
        <v>25</v>
      </c>
      <c r="H297">
        <v>1291.9100000000001</v>
      </c>
      <c r="I297">
        <v>1528.59</v>
      </c>
      <c r="J297" t="s">
        <v>16</v>
      </c>
      <c r="K297">
        <v>0.11</v>
      </c>
      <c r="L297" t="s">
        <v>27</v>
      </c>
      <c r="M297" t="s">
        <v>20</v>
      </c>
    </row>
    <row r="298" spans="1:13" x14ac:dyDescent="0.25">
      <c r="A298">
        <v>1009</v>
      </c>
      <c r="B298" s="1">
        <v>45231</v>
      </c>
      <c r="C298" t="s">
        <v>13</v>
      </c>
      <c r="D298" t="s">
        <v>22</v>
      </c>
      <c r="E298">
        <v>7172.8</v>
      </c>
      <c r="F298">
        <v>14</v>
      </c>
      <c r="G298" t="s">
        <v>23</v>
      </c>
      <c r="H298">
        <v>547.79</v>
      </c>
      <c r="I298">
        <v>958.76</v>
      </c>
      <c r="J298" t="s">
        <v>16</v>
      </c>
      <c r="K298">
        <v>7.0000000000000007E-2</v>
      </c>
      <c r="L298" t="s">
        <v>27</v>
      </c>
      <c r="M298" t="s">
        <v>20</v>
      </c>
    </row>
    <row r="299" spans="1:13" x14ac:dyDescent="0.25">
      <c r="A299">
        <v>1099</v>
      </c>
      <c r="B299" s="1">
        <v>45212</v>
      </c>
      <c r="C299" t="s">
        <v>28</v>
      </c>
      <c r="D299" t="s">
        <v>14</v>
      </c>
      <c r="E299">
        <v>7614.15</v>
      </c>
      <c r="F299">
        <v>14</v>
      </c>
      <c r="G299" t="s">
        <v>23</v>
      </c>
      <c r="H299">
        <v>1996.64</v>
      </c>
      <c r="I299">
        <v>2341.4699999999998</v>
      </c>
      <c r="J299" t="s">
        <v>16</v>
      </c>
      <c r="K299">
        <v>0.22</v>
      </c>
      <c r="L299" t="s">
        <v>27</v>
      </c>
      <c r="M299" t="s">
        <v>18</v>
      </c>
    </row>
    <row r="300" spans="1:13" x14ac:dyDescent="0.25">
      <c r="A300">
        <v>1019</v>
      </c>
      <c r="B300" s="1">
        <v>45070</v>
      </c>
      <c r="C300" t="s">
        <v>31</v>
      </c>
      <c r="D300" t="s">
        <v>22</v>
      </c>
      <c r="E300">
        <v>1114.9100000000001</v>
      </c>
      <c r="F300">
        <v>13</v>
      </c>
      <c r="G300" t="s">
        <v>23</v>
      </c>
      <c r="H300">
        <v>3102.73</v>
      </c>
      <c r="I300">
        <v>3202.68</v>
      </c>
      <c r="J300" t="s">
        <v>26</v>
      </c>
      <c r="K300">
        <v>0.09</v>
      </c>
      <c r="L300" t="s">
        <v>17</v>
      </c>
      <c r="M300" t="s">
        <v>18</v>
      </c>
    </row>
    <row r="301" spans="1:13" x14ac:dyDescent="0.25">
      <c r="A301">
        <v>1048</v>
      </c>
      <c r="B301" s="1">
        <v>44945</v>
      </c>
      <c r="C301" t="s">
        <v>13</v>
      </c>
      <c r="D301" t="s">
        <v>19</v>
      </c>
      <c r="E301">
        <v>5187.16</v>
      </c>
      <c r="F301">
        <v>7</v>
      </c>
      <c r="G301" t="s">
        <v>25</v>
      </c>
      <c r="H301">
        <v>4310.95</v>
      </c>
      <c r="I301">
        <v>4723.2</v>
      </c>
      <c r="J301" t="s">
        <v>16</v>
      </c>
      <c r="K301">
        <v>0.05</v>
      </c>
      <c r="L301" t="s">
        <v>27</v>
      </c>
      <c r="M301" t="s">
        <v>20</v>
      </c>
    </row>
    <row r="302" spans="1:13" x14ac:dyDescent="0.25">
      <c r="A302">
        <v>1080</v>
      </c>
      <c r="B302" s="1">
        <v>44944</v>
      </c>
      <c r="C302" t="s">
        <v>28</v>
      </c>
      <c r="D302" t="s">
        <v>29</v>
      </c>
      <c r="E302">
        <v>5138.0200000000004</v>
      </c>
      <c r="F302">
        <v>44</v>
      </c>
      <c r="G302" t="s">
        <v>30</v>
      </c>
      <c r="H302">
        <v>1763.67</v>
      </c>
      <c r="I302">
        <v>1983.82</v>
      </c>
      <c r="J302" t="s">
        <v>26</v>
      </c>
      <c r="K302">
        <v>0.24</v>
      </c>
      <c r="L302" t="s">
        <v>27</v>
      </c>
      <c r="M302" t="s">
        <v>18</v>
      </c>
    </row>
    <row r="303" spans="1:13" x14ac:dyDescent="0.25">
      <c r="A303">
        <v>1003</v>
      </c>
      <c r="B303" s="1">
        <v>45183</v>
      </c>
      <c r="C303" t="s">
        <v>13</v>
      </c>
      <c r="D303" t="s">
        <v>19</v>
      </c>
      <c r="E303">
        <v>3755.88</v>
      </c>
      <c r="F303">
        <v>15</v>
      </c>
      <c r="G303" t="s">
        <v>25</v>
      </c>
      <c r="H303">
        <v>3286.24</v>
      </c>
      <c r="I303">
        <v>3388.8399999999901</v>
      </c>
      <c r="J303" t="s">
        <v>16</v>
      </c>
      <c r="K303">
        <v>0.09</v>
      </c>
      <c r="L303" t="s">
        <v>27</v>
      </c>
      <c r="M303" t="s">
        <v>20</v>
      </c>
    </row>
    <row r="304" spans="1:13" x14ac:dyDescent="0.25">
      <c r="A304">
        <v>1020</v>
      </c>
      <c r="B304" s="1">
        <v>45004</v>
      </c>
      <c r="C304" t="s">
        <v>31</v>
      </c>
      <c r="D304" t="s">
        <v>19</v>
      </c>
      <c r="E304">
        <v>9335.9599999999991</v>
      </c>
      <c r="F304">
        <v>19</v>
      </c>
      <c r="G304" t="s">
        <v>23</v>
      </c>
      <c r="H304">
        <v>1783.48</v>
      </c>
      <c r="I304">
        <v>1931.56</v>
      </c>
      <c r="J304" t="s">
        <v>16</v>
      </c>
      <c r="K304">
        <v>0.27</v>
      </c>
      <c r="L304" t="s">
        <v>24</v>
      </c>
      <c r="M304" t="s">
        <v>20</v>
      </c>
    </row>
    <row r="305" spans="1:13" x14ac:dyDescent="0.25">
      <c r="A305">
        <v>1024</v>
      </c>
      <c r="B305" s="1">
        <v>45101</v>
      </c>
      <c r="C305" t="s">
        <v>32</v>
      </c>
      <c r="D305" t="s">
        <v>14</v>
      </c>
      <c r="E305">
        <v>8292.31</v>
      </c>
      <c r="F305">
        <v>43</v>
      </c>
      <c r="G305" t="s">
        <v>25</v>
      </c>
      <c r="H305">
        <v>3105.24</v>
      </c>
      <c r="I305">
        <v>3246.33</v>
      </c>
      <c r="J305" t="s">
        <v>26</v>
      </c>
      <c r="K305">
        <v>0.25</v>
      </c>
      <c r="L305" t="s">
        <v>17</v>
      </c>
      <c r="M305" t="s">
        <v>18</v>
      </c>
    </row>
    <row r="306" spans="1:13" x14ac:dyDescent="0.25">
      <c r="A306">
        <v>1054</v>
      </c>
      <c r="B306" s="1">
        <v>45120</v>
      </c>
      <c r="C306" t="s">
        <v>32</v>
      </c>
      <c r="D306" t="s">
        <v>22</v>
      </c>
      <c r="E306">
        <v>7002.37</v>
      </c>
      <c r="F306">
        <v>47</v>
      </c>
      <c r="G306" t="s">
        <v>23</v>
      </c>
      <c r="H306">
        <v>4429.8</v>
      </c>
      <c r="I306">
        <v>4694.21</v>
      </c>
      <c r="J306" t="s">
        <v>26</v>
      </c>
      <c r="K306">
        <v>0.25</v>
      </c>
      <c r="L306" t="s">
        <v>24</v>
      </c>
      <c r="M306" t="s">
        <v>18</v>
      </c>
    </row>
    <row r="307" spans="1:13" x14ac:dyDescent="0.25">
      <c r="A307">
        <v>1033</v>
      </c>
      <c r="B307" s="1">
        <v>45039</v>
      </c>
      <c r="C307" t="s">
        <v>28</v>
      </c>
      <c r="D307" t="s">
        <v>29</v>
      </c>
      <c r="E307">
        <v>7171.83</v>
      </c>
      <c r="F307">
        <v>44</v>
      </c>
      <c r="G307" t="s">
        <v>30</v>
      </c>
      <c r="H307">
        <v>1195.22</v>
      </c>
      <c r="I307">
        <v>1320.06</v>
      </c>
      <c r="J307" t="s">
        <v>16</v>
      </c>
      <c r="K307">
        <v>0.23</v>
      </c>
      <c r="L307" t="s">
        <v>24</v>
      </c>
      <c r="M307" t="s">
        <v>20</v>
      </c>
    </row>
    <row r="308" spans="1:13" x14ac:dyDescent="0.25">
      <c r="A308">
        <v>1024</v>
      </c>
      <c r="B308" s="1">
        <v>45040</v>
      </c>
      <c r="C308" t="s">
        <v>21</v>
      </c>
      <c r="D308" t="s">
        <v>14</v>
      </c>
      <c r="E308">
        <v>4670.99</v>
      </c>
      <c r="F308">
        <v>35</v>
      </c>
      <c r="G308" t="s">
        <v>15</v>
      </c>
      <c r="H308">
        <v>2051</v>
      </c>
      <c r="I308">
        <v>2121.5500000000002</v>
      </c>
      <c r="J308" t="s">
        <v>16</v>
      </c>
      <c r="K308">
        <v>0.26</v>
      </c>
      <c r="L308" t="s">
        <v>17</v>
      </c>
      <c r="M308" t="s">
        <v>20</v>
      </c>
    </row>
    <row r="309" spans="1:13" x14ac:dyDescent="0.25">
      <c r="A309">
        <v>1075</v>
      </c>
      <c r="B309" s="1">
        <v>45148</v>
      </c>
      <c r="C309" t="s">
        <v>28</v>
      </c>
      <c r="D309" t="s">
        <v>14</v>
      </c>
      <c r="E309">
        <v>9217.85</v>
      </c>
      <c r="F309">
        <v>17</v>
      </c>
      <c r="G309" t="s">
        <v>30</v>
      </c>
      <c r="H309">
        <v>4966.66</v>
      </c>
      <c r="I309">
        <v>5037.2699999999904</v>
      </c>
      <c r="J309" t="s">
        <v>16</v>
      </c>
      <c r="K309">
        <v>0.24</v>
      </c>
      <c r="L309" t="s">
        <v>24</v>
      </c>
      <c r="M309" t="s">
        <v>20</v>
      </c>
    </row>
    <row r="310" spans="1:13" x14ac:dyDescent="0.25">
      <c r="A310">
        <v>1072</v>
      </c>
      <c r="B310" s="1">
        <v>45092</v>
      </c>
      <c r="C310" t="s">
        <v>21</v>
      </c>
      <c r="D310" t="s">
        <v>14</v>
      </c>
      <c r="E310">
        <v>6976.49</v>
      </c>
      <c r="F310">
        <v>35</v>
      </c>
      <c r="G310" t="s">
        <v>30</v>
      </c>
      <c r="H310">
        <v>4349.3599999999997</v>
      </c>
      <c r="I310">
        <v>4645.17</v>
      </c>
      <c r="J310" t="s">
        <v>16</v>
      </c>
      <c r="K310">
        <v>0.18</v>
      </c>
      <c r="L310" t="s">
        <v>27</v>
      </c>
      <c r="M310" t="s">
        <v>20</v>
      </c>
    </row>
    <row r="311" spans="1:13" x14ac:dyDescent="0.25">
      <c r="A311">
        <v>1036</v>
      </c>
      <c r="B311" s="1">
        <v>45245</v>
      </c>
      <c r="C311" t="s">
        <v>13</v>
      </c>
      <c r="D311" t="s">
        <v>19</v>
      </c>
      <c r="E311">
        <v>7316.91</v>
      </c>
      <c r="F311">
        <v>19</v>
      </c>
      <c r="G311" t="s">
        <v>15</v>
      </c>
      <c r="H311">
        <v>2844.97</v>
      </c>
      <c r="I311">
        <v>3215</v>
      </c>
      <c r="J311" t="s">
        <v>16</v>
      </c>
      <c r="K311">
        <v>0.09</v>
      </c>
      <c r="L311" t="s">
        <v>27</v>
      </c>
      <c r="M311" t="s">
        <v>20</v>
      </c>
    </row>
    <row r="312" spans="1:13" x14ac:dyDescent="0.25">
      <c r="A312">
        <v>1038</v>
      </c>
      <c r="B312" s="1">
        <v>45058</v>
      </c>
      <c r="C312" t="s">
        <v>13</v>
      </c>
      <c r="D312" t="s">
        <v>22</v>
      </c>
      <c r="E312">
        <v>8630.74</v>
      </c>
      <c r="F312">
        <v>20</v>
      </c>
      <c r="G312" t="s">
        <v>25</v>
      </c>
      <c r="H312">
        <v>2607.31</v>
      </c>
      <c r="I312">
        <v>2774.86</v>
      </c>
      <c r="J312" t="s">
        <v>26</v>
      </c>
      <c r="K312">
        <v>0.27</v>
      </c>
      <c r="L312" t="s">
        <v>27</v>
      </c>
      <c r="M312" t="s">
        <v>20</v>
      </c>
    </row>
    <row r="313" spans="1:13" x14ac:dyDescent="0.25">
      <c r="A313">
        <v>1084</v>
      </c>
      <c r="B313" s="1">
        <v>45190</v>
      </c>
      <c r="C313" t="s">
        <v>31</v>
      </c>
      <c r="D313" t="s">
        <v>22</v>
      </c>
      <c r="E313">
        <v>2813.31</v>
      </c>
      <c r="F313">
        <v>36</v>
      </c>
      <c r="G313" t="s">
        <v>15</v>
      </c>
      <c r="H313">
        <v>1458.77</v>
      </c>
      <c r="I313">
        <v>1485.75</v>
      </c>
      <c r="J313" t="s">
        <v>26</v>
      </c>
      <c r="K313">
        <v>0.25</v>
      </c>
      <c r="L313" t="s">
        <v>27</v>
      </c>
      <c r="M313" t="s">
        <v>18</v>
      </c>
    </row>
    <row r="314" spans="1:13" x14ac:dyDescent="0.25">
      <c r="A314">
        <v>1099</v>
      </c>
      <c r="B314" s="1">
        <v>44981</v>
      </c>
      <c r="C314" t="s">
        <v>21</v>
      </c>
      <c r="D314" t="s">
        <v>29</v>
      </c>
      <c r="E314">
        <v>8090</v>
      </c>
      <c r="F314">
        <v>35</v>
      </c>
      <c r="G314" t="s">
        <v>25</v>
      </c>
      <c r="H314">
        <v>2610.19</v>
      </c>
      <c r="I314">
        <v>2682.53</v>
      </c>
      <c r="J314" t="s">
        <v>26</v>
      </c>
      <c r="K314">
        <v>0.14000000000000001</v>
      </c>
      <c r="L314" t="s">
        <v>17</v>
      </c>
      <c r="M314" t="s">
        <v>20</v>
      </c>
    </row>
    <row r="315" spans="1:13" x14ac:dyDescent="0.25">
      <c r="A315">
        <v>1089</v>
      </c>
      <c r="B315" s="1">
        <v>45285</v>
      </c>
      <c r="C315" t="s">
        <v>31</v>
      </c>
      <c r="D315" t="s">
        <v>22</v>
      </c>
      <c r="E315">
        <v>2032.88</v>
      </c>
      <c r="F315">
        <v>32</v>
      </c>
      <c r="G315" t="s">
        <v>25</v>
      </c>
      <c r="H315">
        <v>4248.5</v>
      </c>
      <c r="I315">
        <v>4706.7</v>
      </c>
      <c r="J315" t="s">
        <v>26</v>
      </c>
      <c r="K315">
        <v>0.01</v>
      </c>
      <c r="L315" t="s">
        <v>24</v>
      </c>
      <c r="M315" t="s">
        <v>20</v>
      </c>
    </row>
    <row r="316" spans="1:13" x14ac:dyDescent="0.25">
      <c r="A316">
        <v>1099</v>
      </c>
      <c r="B316" s="1">
        <v>45057</v>
      </c>
      <c r="C316" t="s">
        <v>32</v>
      </c>
      <c r="D316" t="s">
        <v>22</v>
      </c>
      <c r="E316">
        <v>3518.89</v>
      </c>
      <c r="F316">
        <v>48</v>
      </c>
      <c r="G316" t="s">
        <v>23</v>
      </c>
      <c r="H316">
        <v>3441.61</v>
      </c>
      <c r="I316">
        <v>3693.45</v>
      </c>
      <c r="J316" t="s">
        <v>16</v>
      </c>
      <c r="K316">
        <v>0.19</v>
      </c>
      <c r="L316" t="s">
        <v>24</v>
      </c>
      <c r="M316" t="s">
        <v>18</v>
      </c>
    </row>
    <row r="317" spans="1:13" x14ac:dyDescent="0.25">
      <c r="A317">
        <v>1025</v>
      </c>
      <c r="B317" s="1">
        <v>45214</v>
      </c>
      <c r="C317" t="s">
        <v>21</v>
      </c>
      <c r="D317" t="s">
        <v>14</v>
      </c>
      <c r="E317">
        <v>3422.54</v>
      </c>
      <c r="F317">
        <v>44</v>
      </c>
      <c r="G317" t="s">
        <v>23</v>
      </c>
      <c r="H317">
        <v>1485.72</v>
      </c>
      <c r="I317">
        <v>1717.97</v>
      </c>
      <c r="J317" t="s">
        <v>26</v>
      </c>
      <c r="K317">
        <v>0.02</v>
      </c>
      <c r="L317" t="s">
        <v>27</v>
      </c>
      <c r="M317" t="s">
        <v>20</v>
      </c>
    </row>
    <row r="318" spans="1:13" x14ac:dyDescent="0.25">
      <c r="A318">
        <v>1093</v>
      </c>
      <c r="B318" s="1">
        <v>45192</v>
      </c>
      <c r="C318" t="s">
        <v>28</v>
      </c>
      <c r="D318" t="s">
        <v>14</v>
      </c>
      <c r="E318">
        <v>9787.4</v>
      </c>
      <c r="F318">
        <v>40</v>
      </c>
      <c r="G318" t="s">
        <v>15</v>
      </c>
      <c r="H318">
        <v>1047.25</v>
      </c>
      <c r="I318">
        <v>1075.8900000000001</v>
      </c>
      <c r="J318" t="s">
        <v>26</v>
      </c>
      <c r="K318">
        <v>0.28000000000000003</v>
      </c>
      <c r="L318" t="s">
        <v>27</v>
      </c>
      <c r="M318" t="s">
        <v>20</v>
      </c>
    </row>
    <row r="319" spans="1:13" x14ac:dyDescent="0.25">
      <c r="A319">
        <v>1018</v>
      </c>
      <c r="B319" s="1">
        <v>45292</v>
      </c>
      <c r="C319" t="s">
        <v>32</v>
      </c>
      <c r="D319" t="s">
        <v>19</v>
      </c>
      <c r="E319">
        <v>8579.7199999999993</v>
      </c>
      <c r="F319">
        <v>24</v>
      </c>
      <c r="G319" t="s">
        <v>30</v>
      </c>
      <c r="H319">
        <v>1362.78</v>
      </c>
      <c r="I319">
        <v>1729.81</v>
      </c>
      <c r="J319" t="s">
        <v>26</v>
      </c>
      <c r="K319">
        <v>0.28999999999999998</v>
      </c>
      <c r="L319" t="s">
        <v>24</v>
      </c>
      <c r="M319" t="s">
        <v>18</v>
      </c>
    </row>
    <row r="320" spans="1:13" x14ac:dyDescent="0.25">
      <c r="A320">
        <v>1082</v>
      </c>
      <c r="B320" s="1">
        <v>45088</v>
      </c>
      <c r="C320" t="s">
        <v>32</v>
      </c>
      <c r="D320" t="s">
        <v>14</v>
      </c>
      <c r="E320">
        <v>7041.58</v>
      </c>
      <c r="F320">
        <v>17</v>
      </c>
      <c r="G320" t="s">
        <v>15</v>
      </c>
      <c r="H320">
        <v>890.31</v>
      </c>
      <c r="I320">
        <v>1159.06</v>
      </c>
      <c r="J320" t="s">
        <v>16</v>
      </c>
      <c r="K320">
        <v>0.06</v>
      </c>
      <c r="L320" t="s">
        <v>17</v>
      </c>
      <c r="M320" t="s">
        <v>20</v>
      </c>
    </row>
    <row r="321" spans="1:13" x14ac:dyDescent="0.25">
      <c r="A321">
        <v>1066</v>
      </c>
      <c r="B321" s="1">
        <v>45013</v>
      </c>
      <c r="C321" t="s">
        <v>28</v>
      </c>
      <c r="D321" t="s">
        <v>14</v>
      </c>
      <c r="E321">
        <v>7297.86</v>
      </c>
      <c r="F321">
        <v>7</v>
      </c>
      <c r="G321" t="s">
        <v>25</v>
      </c>
      <c r="H321">
        <v>523.41999999999996</v>
      </c>
      <c r="I321">
        <v>632.43999999999903</v>
      </c>
      <c r="J321" t="s">
        <v>26</v>
      </c>
      <c r="K321">
        <v>0.2</v>
      </c>
      <c r="L321" t="s">
        <v>24</v>
      </c>
      <c r="M321" t="s">
        <v>18</v>
      </c>
    </row>
    <row r="322" spans="1:13" x14ac:dyDescent="0.25">
      <c r="A322">
        <v>1054</v>
      </c>
      <c r="B322" s="1">
        <v>44981</v>
      </c>
      <c r="C322" t="s">
        <v>32</v>
      </c>
      <c r="D322" t="s">
        <v>14</v>
      </c>
      <c r="E322">
        <v>5664.52</v>
      </c>
      <c r="F322">
        <v>43</v>
      </c>
      <c r="G322" t="s">
        <v>23</v>
      </c>
      <c r="H322">
        <v>2124.7199999999998</v>
      </c>
      <c r="I322">
        <v>2188.66</v>
      </c>
      <c r="J322" t="s">
        <v>16</v>
      </c>
      <c r="K322">
        <v>0.03</v>
      </c>
      <c r="L322" t="s">
        <v>27</v>
      </c>
      <c r="M322" t="s">
        <v>20</v>
      </c>
    </row>
    <row r="323" spans="1:13" x14ac:dyDescent="0.25">
      <c r="A323">
        <v>1035</v>
      </c>
      <c r="B323" s="1">
        <v>45214</v>
      </c>
      <c r="C323" t="s">
        <v>21</v>
      </c>
      <c r="D323" t="s">
        <v>14</v>
      </c>
      <c r="E323">
        <v>9476.2000000000007</v>
      </c>
      <c r="F323">
        <v>1</v>
      </c>
      <c r="G323" t="s">
        <v>15</v>
      </c>
      <c r="H323">
        <v>610.83000000000004</v>
      </c>
      <c r="I323">
        <v>808.69</v>
      </c>
      <c r="J323" t="s">
        <v>26</v>
      </c>
      <c r="K323">
        <v>0.22</v>
      </c>
      <c r="L323" t="s">
        <v>27</v>
      </c>
      <c r="M323" t="s">
        <v>18</v>
      </c>
    </row>
    <row r="324" spans="1:13" x14ac:dyDescent="0.25">
      <c r="A324">
        <v>1080</v>
      </c>
      <c r="B324" s="1">
        <v>45104</v>
      </c>
      <c r="C324" t="s">
        <v>31</v>
      </c>
      <c r="D324" t="s">
        <v>19</v>
      </c>
      <c r="E324">
        <v>5012.96</v>
      </c>
      <c r="F324">
        <v>35</v>
      </c>
      <c r="G324" t="s">
        <v>15</v>
      </c>
      <c r="H324">
        <v>900.97</v>
      </c>
      <c r="I324">
        <v>1321.18</v>
      </c>
      <c r="J324" t="s">
        <v>16</v>
      </c>
      <c r="K324">
        <v>0.1</v>
      </c>
      <c r="L324" t="s">
        <v>17</v>
      </c>
      <c r="M324" t="s">
        <v>18</v>
      </c>
    </row>
    <row r="325" spans="1:13" x14ac:dyDescent="0.25">
      <c r="A325">
        <v>1061</v>
      </c>
      <c r="B325" s="1">
        <v>45275</v>
      </c>
      <c r="C325" t="s">
        <v>32</v>
      </c>
      <c r="D325" t="s">
        <v>14</v>
      </c>
      <c r="E325">
        <v>3867.13</v>
      </c>
      <c r="F325">
        <v>32</v>
      </c>
      <c r="G325" t="s">
        <v>23</v>
      </c>
      <c r="H325">
        <v>2759.26</v>
      </c>
      <c r="I325">
        <v>3193.25</v>
      </c>
      <c r="J325" t="s">
        <v>26</v>
      </c>
      <c r="K325">
        <v>0.2</v>
      </c>
      <c r="L325" t="s">
        <v>24</v>
      </c>
      <c r="M325" t="s">
        <v>18</v>
      </c>
    </row>
    <row r="326" spans="1:13" x14ac:dyDescent="0.25">
      <c r="A326">
        <v>1041</v>
      </c>
      <c r="B326" s="1">
        <v>44934</v>
      </c>
      <c r="C326" t="s">
        <v>21</v>
      </c>
      <c r="D326" t="s">
        <v>29</v>
      </c>
      <c r="E326">
        <v>1714.05</v>
      </c>
      <c r="F326">
        <v>36</v>
      </c>
      <c r="G326" t="s">
        <v>23</v>
      </c>
      <c r="H326">
        <v>864.77</v>
      </c>
      <c r="I326">
        <v>1170.1599999999901</v>
      </c>
      <c r="J326" t="s">
        <v>16</v>
      </c>
      <c r="K326">
        <v>0.11</v>
      </c>
      <c r="L326" t="s">
        <v>17</v>
      </c>
      <c r="M326" t="s">
        <v>20</v>
      </c>
    </row>
    <row r="327" spans="1:13" x14ac:dyDescent="0.25">
      <c r="A327">
        <v>1100</v>
      </c>
      <c r="B327" s="1">
        <v>45247</v>
      </c>
      <c r="C327" t="s">
        <v>13</v>
      </c>
      <c r="D327" t="s">
        <v>29</v>
      </c>
      <c r="E327">
        <v>7883.44</v>
      </c>
      <c r="F327">
        <v>13</v>
      </c>
      <c r="G327" t="s">
        <v>23</v>
      </c>
      <c r="H327">
        <v>366.2</v>
      </c>
      <c r="I327">
        <v>732.69</v>
      </c>
      <c r="J327" t="s">
        <v>26</v>
      </c>
      <c r="K327">
        <v>0.04</v>
      </c>
      <c r="L327" t="s">
        <v>17</v>
      </c>
      <c r="M327" t="s">
        <v>20</v>
      </c>
    </row>
    <row r="328" spans="1:13" x14ac:dyDescent="0.25">
      <c r="A328">
        <v>1033</v>
      </c>
      <c r="B328" s="1">
        <v>45239</v>
      </c>
      <c r="C328" t="s">
        <v>21</v>
      </c>
      <c r="D328" t="s">
        <v>29</v>
      </c>
      <c r="E328">
        <v>7370.99</v>
      </c>
      <c r="F328">
        <v>6</v>
      </c>
      <c r="G328" t="s">
        <v>25</v>
      </c>
      <c r="H328">
        <v>1621.07</v>
      </c>
      <c r="I328">
        <v>1687.5</v>
      </c>
      <c r="J328" t="s">
        <v>16</v>
      </c>
      <c r="K328">
        <v>0.12</v>
      </c>
      <c r="L328" t="s">
        <v>27</v>
      </c>
      <c r="M328" t="s">
        <v>18</v>
      </c>
    </row>
    <row r="329" spans="1:13" x14ac:dyDescent="0.25">
      <c r="A329">
        <v>1068</v>
      </c>
      <c r="B329" s="1">
        <v>45173</v>
      </c>
      <c r="C329" t="s">
        <v>31</v>
      </c>
      <c r="D329" t="s">
        <v>29</v>
      </c>
      <c r="E329">
        <v>3905.11</v>
      </c>
      <c r="F329">
        <v>14</v>
      </c>
      <c r="G329" t="s">
        <v>23</v>
      </c>
      <c r="H329">
        <v>1140.58</v>
      </c>
      <c r="I329">
        <v>1438.76</v>
      </c>
      <c r="J329" t="s">
        <v>16</v>
      </c>
      <c r="K329">
        <v>0.03</v>
      </c>
      <c r="L329" t="s">
        <v>24</v>
      </c>
      <c r="M329" t="s">
        <v>18</v>
      </c>
    </row>
    <row r="330" spans="1:13" x14ac:dyDescent="0.25">
      <c r="A330">
        <v>1033</v>
      </c>
      <c r="B330" s="1">
        <v>45249</v>
      </c>
      <c r="C330" t="s">
        <v>21</v>
      </c>
      <c r="D330" t="s">
        <v>14</v>
      </c>
      <c r="E330">
        <v>349.41</v>
      </c>
      <c r="F330">
        <v>37</v>
      </c>
      <c r="G330" t="s">
        <v>30</v>
      </c>
      <c r="H330">
        <v>2600.7600000000002</v>
      </c>
      <c r="I330">
        <v>2937.57</v>
      </c>
      <c r="J330" t="s">
        <v>26</v>
      </c>
      <c r="K330">
        <v>0.17</v>
      </c>
      <c r="L330" t="s">
        <v>27</v>
      </c>
      <c r="M330" t="s">
        <v>20</v>
      </c>
    </row>
    <row r="331" spans="1:13" x14ac:dyDescent="0.25">
      <c r="A331">
        <v>1014</v>
      </c>
      <c r="B331" s="1">
        <v>45181</v>
      </c>
      <c r="C331" t="s">
        <v>28</v>
      </c>
      <c r="D331" t="s">
        <v>29</v>
      </c>
      <c r="E331">
        <v>8406.07</v>
      </c>
      <c r="F331">
        <v>48</v>
      </c>
      <c r="G331" t="s">
        <v>15</v>
      </c>
      <c r="H331">
        <v>556.72</v>
      </c>
      <c r="I331">
        <v>665.07</v>
      </c>
      <c r="J331" t="s">
        <v>16</v>
      </c>
      <c r="K331">
        <v>0.01</v>
      </c>
      <c r="L331" t="s">
        <v>24</v>
      </c>
      <c r="M331" t="s">
        <v>20</v>
      </c>
    </row>
    <row r="332" spans="1:13" x14ac:dyDescent="0.25">
      <c r="A332">
        <v>1021</v>
      </c>
      <c r="B332" s="1">
        <v>45254</v>
      </c>
      <c r="C332" t="s">
        <v>31</v>
      </c>
      <c r="D332" t="s">
        <v>14</v>
      </c>
      <c r="E332">
        <v>213.04</v>
      </c>
      <c r="F332">
        <v>15</v>
      </c>
      <c r="G332" t="s">
        <v>23</v>
      </c>
      <c r="H332">
        <v>3771.27</v>
      </c>
      <c r="I332">
        <v>4212.55</v>
      </c>
      <c r="J332" t="s">
        <v>16</v>
      </c>
      <c r="K332">
        <v>0.16</v>
      </c>
      <c r="L332" t="s">
        <v>27</v>
      </c>
      <c r="M332" t="s">
        <v>20</v>
      </c>
    </row>
    <row r="333" spans="1:13" x14ac:dyDescent="0.25">
      <c r="A333">
        <v>1048</v>
      </c>
      <c r="B333" s="1">
        <v>44980</v>
      </c>
      <c r="C333" t="s">
        <v>13</v>
      </c>
      <c r="D333" t="s">
        <v>19</v>
      </c>
      <c r="E333">
        <v>7066.63</v>
      </c>
      <c r="F333">
        <v>47</v>
      </c>
      <c r="G333" t="s">
        <v>23</v>
      </c>
      <c r="H333">
        <v>4535.8599999999997</v>
      </c>
      <c r="I333">
        <v>4641.41</v>
      </c>
      <c r="J333" t="s">
        <v>26</v>
      </c>
      <c r="K333">
        <v>0.27</v>
      </c>
      <c r="L333" t="s">
        <v>27</v>
      </c>
      <c r="M333" t="s">
        <v>20</v>
      </c>
    </row>
    <row r="334" spans="1:13" x14ac:dyDescent="0.25">
      <c r="A334">
        <v>1020</v>
      </c>
      <c r="B334" s="1">
        <v>45175</v>
      </c>
      <c r="C334" t="s">
        <v>28</v>
      </c>
      <c r="D334" t="s">
        <v>29</v>
      </c>
      <c r="E334">
        <v>9705.5499999999993</v>
      </c>
      <c r="F334">
        <v>4</v>
      </c>
      <c r="G334" t="s">
        <v>25</v>
      </c>
      <c r="H334">
        <v>3730</v>
      </c>
      <c r="I334">
        <v>3893.6</v>
      </c>
      <c r="J334" t="s">
        <v>26</v>
      </c>
      <c r="K334">
        <v>0.25</v>
      </c>
      <c r="L334" t="s">
        <v>24</v>
      </c>
      <c r="M334" t="s">
        <v>20</v>
      </c>
    </row>
    <row r="335" spans="1:13" x14ac:dyDescent="0.25">
      <c r="A335">
        <v>1008</v>
      </c>
      <c r="B335" s="1">
        <v>45165</v>
      </c>
      <c r="C335" t="s">
        <v>21</v>
      </c>
      <c r="D335" t="s">
        <v>22</v>
      </c>
      <c r="E335">
        <v>4432.8500000000004</v>
      </c>
      <c r="F335">
        <v>40</v>
      </c>
      <c r="G335" t="s">
        <v>25</v>
      </c>
      <c r="H335">
        <v>2687.49</v>
      </c>
      <c r="I335">
        <v>3001.56</v>
      </c>
      <c r="J335" t="s">
        <v>16</v>
      </c>
      <c r="K335">
        <v>0.26</v>
      </c>
      <c r="L335" t="s">
        <v>24</v>
      </c>
      <c r="M335" t="s">
        <v>18</v>
      </c>
    </row>
    <row r="336" spans="1:13" x14ac:dyDescent="0.25">
      <c r="A336">
        <v>1007</v>
      </c>
      <c r="B336" s="1">
        <v>45155</v>
      </c>
      <c r="C336" t="s">
        <v>31</v>
      </c>
      <c r="D336" t="s">
        <v>29</v>
      </c>
      <c r="E336">
        <v>2426.2399999999998</v>
      </c>
      <c r="F336">
        <v>16</v>
      </c>
      <c r="G336" t="s">
        <v>15</v>
      </c>
      <c r="H336">
        <v>4310.3100000000004</v>
      </c>
      <c r="I336">
        <v>4633.1000000000004</v>
      </c>
      <c r="J336" t="s">
        <v>26</v>
      </c>
      <c r="K336">
        <v>0.28000000000000003</v>
      </c>
      <c r="L336" t="s">
        <v>27</v>
      </c>
      <c r="M336" t="s">
        <v>20</v>
      </c>
    </row>
    <row r="337" spans="1:13" x14ac:dyDescent="0.25">
      <c r="A337">
        <v>1067</v>
      </c>
      <c r="B337" s="1">
        <v>44993</v>
      </c>
      <c r="C337" t="s">
        <v>13</v>
      </c>
      <c r="D337" t="s">
        <v>29</v>
      </c>
      <c r="E337">
        <v>7078.22</v>
      </c>
      <c r="F337">
        <v>28</v>
      </c>
      <c r="G337" t="s">
        <v>30</v>
      </c>
      <c r="H337">
        <v>3489.85</v>
      </c>
      <c r="I337">
        <v>3842.5499999999902</v>
      </c>
      <c r="J337" t="s">
        <v>26</v>
      </c>
      <c r="K337">
        <v>0.03</v>
      </c>
      <c r="L337" t="s">
        <v>24</v>
      </c>
      <c r="M337" t="s">
        <v>18</v>
      </c>
    </row>
    <row r="338" spans="1:13" x14ac:dyDescent="0.25">
      <c r="A338">
        <v>1017</v>
      </c>
      <c r="B338" s="1">
        <v>44977</v>
      </c>
      <c r="C338" t="s">
        <v>28</v>
      </c>
      <c r="D338" t="s">
        <v>14</v>
      </c>
      <c r="E338">
        <v>8189.57</v>
      </c>
      <c r="F338">
        <v>16</v>
      </c>
      <c r="G338" t="s">
        <v>15</v>
      </c>
      <c r="H338">
        <v>102.23</v>
      </c>
      <c r="I338">
        <v>167.12</v>
      </c>
      <c r="J338" t="s">
        <v>26</v>
      </c>
      <c r="K338">
        <v>0.04</v>
      </c>
      <c r="L338" t="s">
        <v>27</v>
      </c>
      <c r="M338" t="s">
        <v>20</v>
      </c>
    </row>
    <row r="339" spans="1:13" x14ac:dyDescent="0.25">
      <c r="A339">
        <v>1033</v>
      </c>
      <c r="B339" s="1">
        <v>45023</v>
      </c>
      <c r="C339" t="s">
        <v>13</v>
      </c>
      <c r="D339" t="s">
        <v>29</v>
      </c>
      <c r="E339">
        <v>5509.66</v>
      </c>
      <c r="F339">
        <v>4</v>
      </c>
      <c r="G339" t="s">
        <v>23</v>
      </c>
      <c r="H339">
        <v>2000.75</v>
      </c>
      <c r="I339">
        <v>2426.9899999999998</v>
      </c>
      <c r="J339" t="s">
        <v>16</v>
      </c>
      <c r="K339">
        <v>0.17</v>
      </c>
      <c r="L339" t="s">
        <v>24</v>
      </c>
      <c r="M339" t="s">
        <v>18</v>
      </c>
    </row>
    <row r="340" spans="1:13" x14ac:dyDescent="0.25">
      <c r="A340">
        <v>1048</v>
      </c>
      <c r="B340" s="1">
        <v>45018</v>
      </c>
      <c r="C340" t="s">
        <v>21</v>
      </c>
      <c r="D340" t="s">
        <v>22</v>
      </c>
      <c r="E340">
        <v>9673.65</v>
      </c>
      <c r="F340">
        <v>45</v>
      </c>
      <c r="G340" t="s">
        <v>30</v>
      </c>
      <c r="H340">
        <v>4262.21</v>
      </c>
      <c r="I340">
        <v>4533.3100000000004</v>
      </c>
      <c r="J340" t="s">
        <v>16</v>
      </c>
      <c r="K340">
        <v>0.27</v>
      </c>
      <c r="L340" t="s">
        <v>27</v>
      </c>
      <c r="M340" t="s">
        <v>18</v>
      </c>
    </row>
    <row r="341" spans="1:13" x14ac:dyDescent="0.25">
      <c r="A341">
        <v>1076</v>
      </c>
      <c r="B341" s="1">
        <v>45190</v>
      </c>
      <c r="C341" t="s">
        <v>13</v>
      </c>
      <c r="D341" t="s">
        <v>14</v>
      </c>
      <c r="E341">
        <v>611.52</v>
      </c>
      <c r="F341">
        <v>26</v>
      </c>
      <c r="G341" t="s">
        <v>30</v>
      </c>
      <c r="H341">
        <v>1762</v>
      </c>
      <c r="I341">
        <v>2002.95</v>
      </c>
      <c r="J341" t="s">
        <v>16</v>
      </c>
      <c r="K341">
        <v>0.28999999999999998</v>
      </c>
      <c r="L341" t="s">
        <v>27</v>
      </c>
      <c r="M341" t="s">
        <v>20</v>
      </c>
    </row>
    <row r="342" spans="1:13" x14ac:dyDescent="0.25">
      <c r="A342">
        <v>1059</v>
      </c>
      <c r="B342" s="1">
        <v>45217</v>
      </c>
      <c r="C342" t="s">
        <v>32</v>
      </c>
      <c r="D342" t="s">
        <v>14</v>
      </c>
      <c r="E342">
        <v>5097.4799999999996</v>
      </c>
      <c r="F342">
        <v>28</v>
      </c>
      <c r="G342" t="s">
        <v>30</v>
      </c>
      <c r="H342">
        <v>224.32</v>
      </c>
      <c r="I342">
        <v>715.06</v>
      </c>
      <c r="J342" t="s">
        <v>16</v>
      </c>
      <c r="K342">
        <v>0.01</v>
      </c>
      <c r="L342" t="s">
        <v>27</v>
      </c>
      <c r="M342" t="s">
        <v>18</v>
      </c>
    </row>
    <row r="343" spans="1:13" x14ac:dyDescent="0.25">
      <c r="A343">
        <v>1086</v>
      </c>
      <c r="B343" s="1">
        <v>45022</v>
      </c>
      <c r="C343" t="s">
        <v>28</v>
      </c>
      <c r="D343" t="s">
        <v>19</v>
      </c>
      <c r="E343">
        <v>7212.69</v>
      </c>
      <c r="F343">
        <v>32</v>
      </c>
      <c r="G343" t="s">
        <v>30</v>
      </c>
      <c r="H343">
        <v>3743.59</v>
      </c>
      <c r="I343">
        <v>4116.38</v>
      </c>
      <c r="J343" t="s">
        <v>16</v>
      </c>
      <c r="K343">
        <v>0.11</v>
      </c>
      <c r="L343" t="s">
        <v>17</v>
      </c>
      <c r="M343" t="s">
        <v>18</v>
      </c>
    </row>
    <row r="344" spans="1:13" x14ac:dyDescent="0.25">
      <c r="A344">
        <v>1022</v>
      </c>
      <c r="B344" s="1">
        <v>45014</v>
      </c>
      <c r="C344" t="s">
        <v>13</v>
      </c>
      <c r="D344" t="s">
        <v>19</v>
      </c>
      <c r="E344">
        <v>8640.14</v>
      </c>
      <c r="F344">
        <v>45</v>
      </c>
      <c r="G344" t="s">
        <v>15</v>
      </c>
      <c r="H344">
        <v>4020.09</v>
      </c>
      <c r="I344">
        <v>4087.91</v>
      </c>
      <c r="J344" t="s">
        <v>16</v>
      </c>
      <c r="K344">
        <v>0.06</v>
      </c>
      <c r="L344" t="s">
        <v>24</v>
      </c>
      <c r="M344" t="s">
        <v>18</v>
      </c>
    </row>
    <row r="345" spans="1:13" x14ac:dyDescent="0.25">
      <c r="A345">
        <v>1030</v>
      </c>
      <c r="B345" s="1">
        <v>45004</v>
      </c>
      <c r="C345" t="s">
        <v>21</v>
      </c>
      <c r="D345" t="s">
        <v>29</v>
      </c>
      <c r="E345">
        <v>1874.63</v>
      </c>
      <c r="F345">
        <v>2</v>
      </c>
      <c r="G345" t="s">
        <v>25</v>
      </c>
      <c r="H345">
        <v>844.94</v>
      </c>
      <c r="I345">
        <v>1225.6400000000001</v>
      </c>
      <c r="J345" t="s">
        <v>16</v>
      </c>
      <c r="K345">
        <v>0.23</v>
      </c>
      <c r="L345" t="s">
        <v>27</v>
      </c>
      <c r="M345" t="s">
        <v>18</v>
      </c>
    </row>
    <row r="346" spans="1:13" x14ac:dyDescent="0.25">
      <c r="A346">
        <v>1038</v>
      </c>
      <c r="B346" s="1">
        <v>45214</v>
      </c>
      <c r="C346" t="s">
        <v>21</v>
      </c>
      <c r="D346" t="s">
        <v>19</v>
      </c>
      <c r="E346">
        <v>8020.03</v>
      </c>
      <c r="F346">
        <v>31</v>
      </c>
      <c r="G346" t="s">
        <v>25</v>
      </c>
      <c r="H346">
        <v>2709.84</v>
      </c>
      <c r="I346">
        <v>2766.51</v>
      </c>
      <c r="J346" t="s">
        <v>26</v>
      </c>
      <c r="K346">
        <v>0.19</v>
      </c>
      <c r="L346" t="s">
        <v>17</v>
      </c>
      <c r="M346" t="s">
        <v>20</v>
      </c>
    </row>
    <row r="347" spans="1:13" x14ac:dyDescent="0.25">
      <c r="A347">
        <v>1051</v>
      </c>
      <c r="B347" s="1">
        <v>45046</v>
      </c>
      <c r="C347" t="s">
        <v>13</v>
      </c>
      <c r="D347" t="s">
        <v>19</v>
      </c>
      <c r="E347">
        <v>5571.8</v>
      </c>
      <c r="F347">
        <v>3</v>
      </c>
      <c r="G347" t="s">
        <v>23</v>
      </c>
      <c r="H347">
        <v>1000.18</v>
      </c>
      <c r="I347">
        <v>1023.64</v>
      </c>
      <c r="J347" t="s">
        <v>16</v>
      </c>
      <c r="K347">
        <v>0.04</v>
      </c>
      <c r="L347" t="s">
        <v>27</v>
      </c>
      <c r="M347" t="s">
        <v>18</v>
      </c>
    </row>
    <row r="348" spans="1:13" x14ac:dyDescent="0.25">
      <c r="A348">
        <v>1054</v>
      </c>
      <c r="B348" s="1">
        <v>45228</v>
      </c>
      <c r="C348" t="s">
        <v>21</v>
      </c>
      <c r="D348" t="s">
        <v>19</v>
      </c>
      <c r="E348">
        <v>4025.88</v>
      </c>
      <c r="F348">
        <v>8</v>
      </c>
      <c r="G348" t="s">
        <v>25</v>
      </c>
      <c r="H348">
        <v>3610.21</v>
      </c>
      <c r="I348">
        <v>3817.99</v>
      </c>
      <c r="J348" t="s">
        <v>16</v>
      </c>
      <c r="K348">
        <v>0.15</v>
      </c>
      <c r="L348" t="s">
        <v>17</v>
      </c>
      <c r="M348" t="s">
        <v>20</v>
      </c>
    </row>
    <row r="349" spans="1:13" x14ac:dyDescent="0.25">
      <c r="A349">
        <v>1008</v>
      </c>
      <c r="B349" s="1">
        <v>45091</v>
      </c>
      <c r="C349" t="s">
        <v>31</v>
      </c>
      <c r="D349" t="s">
        <v>14</v>
      </c>
      <c r="E349">
        <v>1403.98</v>
      </c>
      <c r="F349">
        <v>24</v>
      </c>
      <c r="G349" t="s">
        <v>25</v>
      </c>
      <c r="H349">
        <v>1394.17</v>
      </c>
      <c r="I349">
        <v>1891.02</v>
      </c>
      <c r="J349" t="s">
        <v>26</v>
      </c>
      <c r="K349">
        <v>0.21</v>
      </c>
      <c r="L349" t="s">
        <v>27</v>
      </c>
      <c r="M349" t="s">
        <v>18</v>
      </c>
    </row>
    <row r="350" spans="1:13" x14ac:dyDescent="0.25">
      <c r="A350">
        <v>1027</v>
      </c>
      <c r="B350" s="1">
        <v>45108</v>
      </c>
      <c r="C350" t="s">
        <v>31</v>
      </c>
      <c r="D350" t="s">
        <v>14</v>
      </c>
      <c r="E350">
        <v>8666.43</v>
      </c>
      <c r="F350">
        <v>15</v>
      </c>
      <c r="G350" t="s">
        <v>25</v>
      </c>
      <c r="H350">
        <v>1615.26</v>
      </c>
      <c r="I350">
        <v>1710.95</v>
      </c>
      <c r="J350" t="s">
        <v>26</v>
      </c>
      <c r="K350">
        <v>0.23</v>
      </c>
      <c r="L350" t="s">
        <v>27</v>
      </c>
      <c r="M350" t="s">
        <v>20</v>
      </c>
    </row>
    <row r="351" spans="1:13" x14ac:dyDescent="0.25">
      <c r="A351">
        <v>1027</v>
      </c>
      <c r="B351" s="1">
        <v>45149</v>
      </c>
      <c r="C351" t="s">
        <v>31</v>
      </c>
      <c r="D351" t="s">
        <v>14</v>
      </c>
      <c r="E351">
        <v>1657</v>
      </c>
      <c r="F351">
        <v>43</v>
      </c>
      <c r="G351" t="s">
        <v>25</v>
      </c>
      <c r="H351">
        <v>4232.6099999999997</v>
      </c>
      <c r="I351">
        <v>4572.21</v>
      </c>
      <c r="J351" t="s">
        <v>26</v>
      </c>
      <c r="K351">
        <v>0.01</v>
      </c>
      <c r="L351" t="s">
        <v>17</v>
      </c>
      <c r="M351" t="s">
        <v>20</v>
      </c>
    </row>
    <row r="352" spans="1:13" x14ac:dyDescent="0.25">
      <c r="A352">
        <v>1098</v>
      </c>
      <c r="B352" s="1">
        <v>45237</v>
      </c>
      <c r="C352" t="s">
        <v>32</v>
      </c>
      <c r="D352" t="s">
        <v>19</v>
      </c>
      <c r="E352">
        <v>3166.9</v>
      </c>
      <c r="F352">
        <v>31</v>
      </c>
      <c r="G352" t="s">
        <v>23</v>
      </c>
      <c r="H352">
        <v>2407.8000000000002</v>
      </c>
      <c r="I352">
        <v>2502.7600000000002</v>
      </c>
      <c r="J352" t="s">
        <v>16</v>
      </c>
      <c r="K352">
        <v>0.27</v>
      </c>
      <c r="L352" t="s">
        <v>17</v>
      </c>
      <c r="M352" t="s">
        <v>20</v>
      </c>
    </row>
    <row r="353" spans="1:13" x14ac:dyDescent="0.25">
      <c r="A353">
        <v>1021</v>
      </c>
      <c r="B353" s="1">
        <v>44933</v>
      </c>
      <c r="C353" t="s">
        <v>13</v>
      </c>
      <c r="D353" t="s">
        <v>14</v>
      </c>
      <c r="E353">
        <v>2971.45</v>
      </c>
      <c r="F353">
        <v>9</v>
      </c>
      <c r="G353" t="s">
        <v>15</v>
      </c>
      <c r="H353">
        <v>3365.28</v>
      </c>
      <c r="I353">
        <v>3730.43</v>
      </c>
      <c r="J353" t="s">
        <v>26</v>
      </c>
      <c r="K353">
        <v>0.17</v>
      </c>
      <c r="L353" t="s">
        <v>24</v>
      </c>
      <c r="M353" t="s">
        <v>18</v>
      </c>
    </row>
    <row r="354" spans="1:13" x14ac:dyDescent="0.25">
      <c r="A354">
        <v>1030</v>
      </c>
      <c r="B354" s="1">
        <v>45256</v>
      </c>
      <c r="C354" t="s">
        <v>32</v>
      </c>
      <c r="D354" t="s">
        <v>19</v>
      </c>
      <c r="E354">
        <v>8727</v>
      </c>
      <c r="F354">
        <v>39</v>
      </c>
      <c r="G354" t="s">
        <v>30</v>
      </c>
      <c r="H354">
        <v>2041.75</v>
      </c>
      <c r="I354">
        <v>2299.37</v>
      </c>
      <c r="J354" t="s">
        <v>16</v>
      </c>
      <c r="K354">
        <v>0.24</v>
      </c>
      <c r="L354" t="s">
        <v>24</v>
      </c>
      <c r="M354" t="s">
        <v>20</v>
      </c>
    </row>
    <row r="355" spans="1:13" x14ac:dyDescent="0.25">
      <c r="A355">
        <v>1097</v>
      </c>
      <c r="B355" s="1">
        <v>45189</v>
      </c>
      <c r="C355" t="s">
        <v>21</v>
      </c>
      <c r="D355" t="s">
        <v>14</v>
      </c>
      <c r="E355">
        <v>6759.76</v>
      </c>
      <c r="F355">
        <v>45</v>
      </c>
      <c r="G355" t="s">
        <v>25</v>
      </c>
      <c r="H355">
        <v>1525.13</v>
      </c>
      <c r="I355">
        <v>1868.32</v>
      </c>
      <c r="J355" t="s">
        <v>16</v>
      </c>
      <c r="K355">
        <v>0.24</v>
      </c>
      <c r="L355" t="s">
        <v>17</v>
      </c>
      <c r="M355" t="s">
        <v>20</v>
      </c>
    </row>
    <row r="356" spans="1:13" x14ac:dyDescent="0.25">
      <c r="A356">
        <v>1028</v>
      </c>
      <c r="B356" s="1">
        <v>45087</v>
      </c>
      <c r="C356" t="s">
        <v>32</v>
      </c>
      <c r="D356" t="s">
        <v>14</v>
      </c>
      <c r="E356">
        <v>7987.15</v>
      </c>
      <c r="F356">
        <v>2</v>
      </c>
      <c r="G356" t="s">
        <v>15</v>
      </c>
      <c r="H356">
        <v>3146.12</v>
      </c>
      <c r="I356">
        <v>3255.5299999999902</v>
      </c>
      <c r="J356" t="s">
        <v>16</v>
      </c>
      <c r="K356">
        <v>0.06</v>
      </c>
      <c r="L356" t="s">
        <v>24</v>
      </c>
      <c r="M356" t="s">
        <v>18</v>
      </c>
    </row>
    <row r="357" spans="1:13" x14ac:dyDescent="0.25">
      <c r="A357">
        <v>1064</v>
      </c>
      <c r="B357" s="1">
        <v>45077</v>
      </c>
      <c r="C357" t="s">
        <v>21</v>
      </c>
      <c r="D357" t="s">
        <v>22</v>
      </c>
      <c r="E357">
        <v>2579.63</v>
      </c>
      <c r="F357">
        <v>8</v>
      </c>
      <c r="G357" t="s">
        <v>25</v>
      </c>
      <c r="H357">
        <v>816.54</v>
      </c>
      <c r="I357">
        <v>1191.9000000000001</v>
      </c>
      <c r="J357" t="s">
        <v>26</v>
      </c>
      <c r="K357">
        <v>0.03</v>
      </c>
      <c r="L357" t="s">
        <v>17</v>
      </c>
      <c r="M357" t="s">
        <v>20</v>
      </c>
    </row>
    <row r="358" spans="1:13" x14ac:dyDescent="0.25">
      <c r="A358">
        <v>1097</v>
      </c>
      <c r="B358" s="1">
        <v>45011</v>
      </c>
      <c r="C358" t="s">
        <v>21</v>
      </c>
      <c r="D358" t="s">
        <v>29</v>
      </c>
      <c r="E358">
        <v>6286.25</v>
      </c>
      <c r="F358">
        <v>7</v>
      </c>
      <c r="G358" t="s">
        <v>25</v>
      </c>
      <c r="H358">
        <v>1896.35</v>
      </c>
      <c r="I358">
        <v>2394.1999999999998</v>
      </c>
      <c r="J358" t="s">
        <v>26</v>
      </c>
      <c r="K358">
        <v>0.22</v>
      </c>
      <c r="L358" t="s">
        <v>24</v>
      </c>
      <c r="M358" t="s">
        <v>18</v>
      </c>
    </row>
    <row r="359" spans="1:13" x14ac:dyDescent="0.25">
      <c r="A359">
        <v>1069</v>
      </c>
      <c r="B359" s="1">
        <v>45073</v>
      </c>
      <c r="C359" t="s">
        <v>28</v>
      </c>
      <c r="D359" t="s">
        <v>19</v>
      </c>
      <c r="E359">
        <v>5760.29</v>
      </c>
      <c r="F359">
        <v>44</v>
      </c>
      <c r="G359" t="s">
        <v>30</v>
      </c>
      <c r="H359">
        <v>1084.73</v>
      </c>
      <c r="I359">
        <v>1420.9</v>
      </c>
      <c r="J359" t="s">
        <v>16</v>
      </c>
      <c r="K359">
        <v>0.05</v>
      </c>
      <c r="L359" t="s">
        <v>27</v>
      </c>
      <c r="M359" t="s">
        <v>18</v>
      </c>
    </row>
    <row r="360" spans="1:13" x14ac:dyDescent="0.25">
      <c r="A360">
        <v>1061</v>
      </c>
      <c r="B360" s="1">
        <v>45038</v>
      </c>
      <c r="C360" t="s">
        <v>31</v>
      </c>
      <c r="D360" t="s">
        <v>22</v>
      </c>
      <c r="E360">
        <v>8345.02</v>
      </c>
      <c r="F360">
        <v>39</v>
      </c>
      <c r="G360" t="s">
        <v>30</v>
      </c>
      <c r="H360">
        <v>3494.19</v>
      </c>
      <c r="I360">
        <v>3746</v>
      </c>
      <c r="J360" t="s">
        <v>16</v>
      </c>
      <c r="K360">
        <v>0.25</v>
      </c>
      <c r="L360" t="s">
        <v>24</v>
      </c>
      <c r="M360" t="s">
        <v>20</v>
      </c>
    </row>
    <row r="361" spans="1:13" x14ac:dyDescent="0.25">
      <c r="A361">
        <v>1048</v>
      </c>
      <c r="B361" s="1">
        <v>44962</v>
      </c>
      <c r="C361" t="s">
        <v>21</v>
      </c>
      <c r="D361" t="s">
        <v>14</v>
      </c>
      <c r="E361">
        <v>9070.26</v>
      </c>
      <c r="F361">
        <v>42</v>
      </c>
      <c r="G361" t="s">
        <v>30</v>
      </c>
      <c r="H361">
        <v>4723.83</v>
      </c>
      <c r="I361">
        <v>5186.1899999999996</v>
      </c>
      <c r="J361" t="s">
        <v>16</v>
      </c>
      <c r="K361">
        <v>0.22</v>
      </c>
      <c r="L361" t="s">
        <v>27</v>
      </c>
      <c r="M361" t="s">
        <v>18</v>
      </c>
    </row>
    <row r="362" spans="1:13" x14ac:dyDescent="0.25">
      <c r="A362">
        <v>1019</v>
      </c>
      <c r="B362" s="1">
        <v>45211</v>
      </c>
      <c r="C362" t="s">
        <v>28</v>
      </c>
      <c r="D362" t="s">
        <v>19</v>
      </c>
      <c r="E362">
        <v>220.35</v>
      </c>
      <c r="F362">
        <v>16</v>
      </c>
      <c r="G362" t="s">
        <v>25</v>
      </c>
      <c r="H362">
        <v>4977.78</v>
      </c>
      <c r="I362">
        <v>4995.55</v>
      </c>
      <c r="J362" t="s">
        <v>26</v>
      </c>
      <c r="K362">
        <v>0.25</v>
      </c>
      <c r="L362" t="s">
        <v>27</v>
      </c>
      <c r="M362" t="s">
        <v>18</v>
      </c>
    </row>
    <row r="363" spans="1:13" x14ac:dyDescent="0.25">
      <c r="A363">
        <v>1004</v>
      </c>
      <c r="B363" s="1">
        <v>45114</v>
      </c>
      <c r="C363" t="s">
        <v>31</v>
      </c>
      <c r="D363" t="s">
        <v>14</v>
      </c>
      <c r="E363">
        <v>6772.8</v>
      </c>
      <c r="F363">
        <v>35</v>
      </c>
      <c r="G363" t="s">
        <v>25</v>
      </c>
      <c r="H363">
        <v>2278.87</v>
      </c>
      <c r="I363">
        <v>2646.5299999999902</v>
      </c>
      <c r="J363" t="s">
        <v>16</v>
      </c>
      <c r="K363">
        <v>0.09</v>
      </c>
      <c r="L363" t="s">
        <v>24</v>
      </c>
      <c r="M363" t="s">
        <v>18</v>
      </c>
    </row>
    <row r="364" spans="1:13" x14ac:dyDescent="0.25">
      <c r="A364">
        <v>1035</v>
      </c>
      <c r="B364" s="1">
        <v>45008</v>
      </c>
      <c r="C364" t="s">
        <v>21</v>
      </c>
      <c r="D364" t="s">
        <v>29</v>
      </c>
      <c r="E364">
        <v>613.16999999999996</v>
      </c>
      <c r="F364">
        <v>30</v>
      </c>
      <c r="G364" t="s">
        <v>25</v>
      </c>
      <c r="H364">
        <v>1300.03</v>
      </c>
      <c r="I364">
        <v>1745.52</v>
      </c>
      <c r="J364" t="s">
        <v>26</v>
      </c>
      <c r="K364">
        <v>0.09</v>
      </c>
      <c r="L364" t="s">
        <v>17</v>
      </c>
      <c r="M364" t="s">
        <v>20</v>
      </c>
    </row>
    <row r="365" spans="1:13" x14ac:dyDescent="0.25">
      <c r="A365">
        <v>1064</v>
      </c>
      <c r="B365" s="1">
        <v>44928</v>
      </c>
      <c r="C365" t="s">
        <v>21</v>
      </c>
      <c r="D365" t="s">
        <v>22</v>
      </c>
      <c r="E365">
        <v>5533.7</v>
      </c>
      <c r="F365">
        <v>10</v>
      </c>
      <c r="G365" t="s">
        <v>30</v>
      </c>
      <c r="H365">
        <v>2242.0100000000002</v>
      </c>
      <c r="I365">
        <v>2282.23</v>
      </c>
      <c r="J365" t="s">
        <v>16</v>
      </c>
      <c r="K365">
        <v>0.2</v>
      </c>
      <c r="L365" t="s">
        <v>27</v>
      </c>
      <c r="M365" t="s">
        <v>18</v>
      </c>
    </row>
    <row r="366" spans="1:13" x14ac:dyDescent="0.25">
      <c r="A366">
        <v>1049</v>
      </c>
      <c r="B366" s="1">
        <v>45229</v>
      </c>
      <c r="C366" t="s">
        <v>32</v>
      </c>
      <c r="D366" t="s">
        <v>29</v>
      </c>
      <c r="E366">
        <v>2947.56</v>
      </c>
      <c r="F366">
        <v>38</v>
      </c>
      <c r="G366" t="s">
        <v>23</v>
      </c>
      <c r="H366">
        <v>4243.9799999999996</v>
      </c>
      <c r="I366">
        <v>4474.5099999999902</v>
      </c>
      <c r="J366" t="s">
        <v>26</v>
      </c>
      <c r="K366">
        <v>0.01</v>
      </c>
      <c r="L366" t="s">
        <v>27</v>
      </c>
      <c r="M366" t="s">
        <v>18</v>
      </c>
    </row>
    <row r="367" spans="1:13" x14ac:dyDescent="0.25">
      <c r="A367">
        <v>1017</v>
      </c>
      <c r="B367" s="1">
        <v>45123</v>
      </c>
      <c r="C367" t="s">
        <v>32</v>
      </c>
      <c r="D367" t="s">
        <v>22</v>
      </c>
      <c r="E367">
        <v>3137.09</v>
      </c>
      <c r="F367">
        <v>18</v>
      </c>
      <c r="G367" t="s">
        <v>15</v>
      </c>
      <c r="H367">
        <v>1069.73</v>
      </c>
      <c r="I367">
        <v>1180.04</v>
      </c>
      <c r="J367" t="s">
        <v>16</v>
      </c>
      <c r="K367">
        <v>0.22</v>
      </c>
      <c r="L367" t="s">
        <v>24</v>
      </c>
      <c r="M367" t="s">
        <v>18</v>
      </c>
    </row>
    <row r="368" spans="1:13" x14ac:dyDescent="0.25">
      <c r="A368">
        <v>1044</v>
      </c>
      <c r="B368" s="1">
        <v>44937</v>
      </c>
      <c r="C368" t="s">
        <v>31</v>
      </c>
      <c r="D368" t="s">
        <v>14</v>
      </c>
      <c r="E368">
        <v>3594.29</v>
      </c>
      <c r="F368">
        <v>5</v>
      </c>
      <c r="G368" t="s">
        <v>23</v>
      </c>
      <c r="H368">
        <v>4762.87</v>
      </c>
      <c r="I368">
        <v>5050.46</v>
      </c>
      <c r="J368" t="s">
        <v>26</v>
      </c>
      <c r="K368">
        <v>0.25</v>
      </c>
      <c r="L368" t="s">
        <v>17</v>
      </c>
      <c r="M368" t="s">
        <v>20</v>
      </c>
    </row>
    <row r="369" spans="1:13" x14ac:dyDescent="0.25">
      <c r="A369">
        <v>1092</v>
      </c>
      <c r="B369" s="1">
        <v>45160</v>
      </c>
      <c r="C369" t="s">
        <v>21</v>
      </c>
      <c r="D369" t="s">
        <v>29</v>
      </c>
      <c r="E369">
        <v>6250.8</v>
      </c>
      <c r="F369">
        <v>29</v>
      </c>
      <c r="G369" t="s">
        <v>25</v>
      </c>
      <c r="H369">
        <v>1742.24</v>
      </c>
      <c r="I369">
        <v>2070.52</v>
      </c>
      <c r="J369" t="s">
        <v>26</v>
      </c>
      <c r="K369">
        <v>0.12</v>
      </c>
      <c r="L369" t="s">
        <v>17</v>
      </c>
      <c r="M369" t="s">
        <v>18</v>
      </c>
    </row>
    <row r="370" spans="1:13" x14ac:dyDescent="0.25">
      <c r="A370">
        <v>1030</v>
      </c>
      <c r="B370" s="1">
        <v>45121</v>
      </c>
      <c r="C370" t="s">
        <v>13</v>
      </c>
      <c r="D370" t="s">
        <v>29</v>
      </c>
      <c r="E370">
        <v>3407.09</v>
      </c>
      <c r="F370">
        <v>39</v>
      </c>
      <c r="G370" t="s">
        <v>25</v>
      </c>
      <c r="H370">
        <v>4929.7299999999996</v>
      </c>
      <c r="I370">
        <v>5088.0199999999904</v>
      </c>
      <c r="J370" t="s">
        <v>26</v>
      </c>
      <c r="K370">
        <v>0.23</v>
      </c>
      <c r="L370" t="s">
        <v>24</v>
      </c>
      <c r="M370" t="s">
        <v>20</v>
      </c>
    </row>
    <row r="371" spans="1:13" x14ac:dyDescent="0.25">
      <c r="A371">
        <v>1093</v>
      </c>
      <c r="B371" s="1">
        <v>45045</v>
      </c>
      <c r="C371" t="s">
        <v>32</v>
      </c>
      <c r="D371" t="s">
        <v>14</v>
      </c>
      <c r="E371">
        <v>7353.72</v>
      </c>
      <c r="F371">
        <v>34</v>
      </c>
      <c r="G371" t="s">
        <v>23</v>
      </c>
      <c r="H371">
        <v>4201.1099999999997</v>
      </c>
      <c r="I371">
        <v>4436.5</v>
      </c>
      <c r="J371" t="s">
        <v>26</v>
      </c>
      <c r="K371">
        <v>0.05</v>
      </c>
      <c r="L371" t="s">
        <v>17</v>
      </c>
      <c r="M371" t="s">
        <v>18</v>
      </c>
    </row>
    <row r="372" spans="1:13" x14ac:dyDescent="0.25">
      <c r="A372">
        <v>1046</v>
      </c>
      <c r="B372" s="1">
        <v>44946</v>
      </c>
      <c r="C372" t="s">
        <v>31</v>
      </c>
      <c r="D372" t="s">
        <v>29</v>
      </c>
      <c r="E372">
        <v>4104.82</v>
      </c>
      <c r="F372">
        <v>43</v>
      </c>
      <c r="G372" t="s">
        <v>25</v>
      </c>
      <c r="H372">
        <v>4052.42</v>
      </c>
      <c r="I372">
        <v>4199.3</v>
      </c>
      <c r="J372" t="s">
        <v>26</v>
      </c>
      <c r="K372">
        <v>0.1</v>
      </c>
      <c r="L372" t="s">
        <v>24</v>
      </c>
      <c r="M372" t="s">
        <v>20</v>
      </c>
    </row>
    <row r="373" spans="1:13" x14ac:dyDescent="0.25">
      <c r="A373">
        <v>1006</v>
      </c>
      <c r="B373" s="1">
        <v>45187</v>
      </c>
      <c r="C373" t="s">
        <v>21</v>
      </c>
      <c r="D373" t="s">
        <v>19</v>
      </c>
      <c r="E373">
        <v>776.7</v>
      </c>
      <c r="F373">
        <v>45</v>
      </c>
      <c r="G373" t="s">
        <v>15</v>
      </c>
      <c r="H373">
        <v>1623.63</v>
      </c>
      <c r="I373">
        <v>1814.63</v>
      </c>
      <c r="J373" t="s">
        <v>26</v>
      </c>
      <c r="K373">
        <v>0.28999999999999998</v>
      </c>
      <c r="L373" t="s">
        <v>24</v>
      </c>
      <c r="M373" t="s">
        <v>20</v>
      </c>
    </row>
    <row r="374" spans="1:13" x14ac:dyDescent="0.25">
      <c r="A374">
        <v>1099</v>
      </c>
      <c r="B374" s="1">
        <v>45219</v>
      </c>
      <c r="C374" t="s">
        <v>21</v>
      </c>
      <c r="D374" t="s">
        <v>22</v>
      </c>
      <c r="E374">
        <v>7859.22</v>
      </c>
      <c r="F374">
        <v>23</v>
      </c>
      <c r="G374" t="s">
        <v>25</v>
      </c>
      <c r="H374">
        <v>93.45</v>
      </c>
      <c r="I374">
        <v>181.62</v>
      </c>
      <c r="J374" t="s">
        <v>16</v>
      </c>
      <c r="K374">
        <v>0.3</v>
      </c>
      <c r="L374" t="s">
        <v>24</v>
      </c>
      <c r="M374" t="s">
        <v>20</v>
      </c>
    </row>
    <row r="375" spans="1:13" x14ac:dyDescent="0.25">
      <c r="A375">
        <v>1037</v>
      </c>
      <c r="B375" s="1">
        <v>45182</v>
      </c>
      <c r="C375" t="s">
        <v>13</v>
      </c>
      <c r="D375" t="s">
        <v>22</v>
      </c>
      <c r="E375">
        <v>2929.01</v>
      </c>
      <c r="F375">
        <v>5</v>
      </c>
      <c r="G375" t="s">
        <v>15</v>
      </c>
      <c r="H375">
        <v>1941.56</v>
      </c>
      <c r="I375">
        <v>2385.48</v>
      </c>
      <c r="J375" t="s">
        <v>16</v>
      </c>
      <c r="K375">
        <v>0.15</v>
      </c>
      <c r="L375" t="s">
        <v>27</v>
      </c>
      <c r="M375" t="s">
        <v>18</v>
      </c>
    </row>
    <row r="376" spans="1:13" x14ac:dyDescent="0.25">
      <c r="A376">
        <v>1024</v>
      </c>
      <c r="B376" s="1">
        <v>45148</v>
      </c>
      <c r="C376" t="s">
        <v>31</v>
      </c>
      <c r="D376" t="s">
        <v>22</v>
      </c>
      <c r="E376">
        <v>4384.3900000000003</v>
      </c>
      <c r="F376">
        <v>30</v>
      </c>
      <c r="G376" t="s">
        <v>23</v>
      </c>
      <c r="H376">
        <v>1543.96</v>
      </c>
      <c r="I376">
        <v>1558.87</v>
      </c>
      <c r="J376" t="s">
        <v>16</v>
      </c>
      <c r="K376">
        <v>0.28000000000000003</v>
      </c>
      <c r="L376" t="s">
        <v>27</v>
      </c>
      <c r="M376" t="s">
        <v>18</v>
      </c>
    </row>
    <row r="377" spans="1:13" x14ac:dyDescent="0.25">
      <c r="A377">
        <v>1093</v>
      </c>
      <c r="B377" s="1">
        <v>45152</v>
      </c>
      <c r="C377" t="s">
        <v>21</v>
      </c>
      <c r="D377" t="s">
        <v>19</v>
      </c>
      <c r="E377">
        <v>6885.89</v>
      </c>
      <c r="F377">
        <v>6</v>
      </c>
      <c r="G377" t="s">
        <v>23</v>
      </c>
      <c r="H377">
        <v>235.12</v>
      </c>
      <c r="I377">
        <v>677.5</v>
      </c>
      <c r="J377" t="s">
        <v>16</v>
      </c>
      <c r="K377">
        <v>0.16</v>
      </c>
      <c r="L377" t="s">
        <v>27</v>
      </c>
      <c r="M377" t="s">
        <v>18</v>
      </c>
    </row>
    <row r="378" spans="1:13" x14ac:dyDescent="0.25">
      <c r="A378">
        <v>1046</v>
      </c>
      <c r="B378" s="1">
        <v>44979</v>
      </c>
      <c r="C378" t="s">
        <v>32</v>
      </c>
      <c r="D378" t="s">
        <v>22</v>
      </c>
      <c r="E378">
        <v>3391.32</v>
      </c>
      <c r="F378">
        <v>46</v>
      </c>
      <c r="G378" t="s">
        <v>25</v>
      </c>
      <c r="H378">
        <v>2551.56</v>
      </c>
      <c r="I378">
        <v>2841.68</v>
      </c>
      <c r="J378" t="s">
        <v>26</v>
      </c>
      <c r="K378">
        <v>0.09</v>
      </c>
      <c r="L378" t="s">
        <v>24</v>
      </c>
      <c r="M378" t="s">
        <v>20</v>
      </c>
    </row>
    <row r="379" spans="1:13" x14ac:dyDescent="0.25">
      <c r="A379">
        <v>1053</v>
      </c>
      <c r="B379" s="1">
        <v>45281</v>
      </c>
      <c r="C379" t="s">
        <v>13</v>
      </c>
      <c r="D379" t="s">
        <v>14</v>
      </c>
      <c r="E379">
        <v>660.2</v>
      </c>
      <c r="F379">
        <v>44</v>
      </c>
      <c r="G379" t="s">
        <v>15</v>
      </c>
      <c r="H379">
        <v>2045</v>
      </c>
      <c r="I379">
        <v>2217.5100000000002</v>
      </c>
      <c r="J379" t="s">
        <v>16</v>
      </c>
      <c r="K379">
        <v>0.08</v>
      </c>
      <c r="L379" t="s">
        <v>27</v>
      </c>
      <c r="M379" t="s">
        <v>18</v>
      </c>
    </row>
    <row r="380" spans="1:13" x14ac:dyDescent="0.25">
      <c r="A380">
        <v>1095</v>
      </c>
      <c r="B380" s="1">
        <v>45268</v>
      </c>
      <c r="C380" t="s">
        <v>31</v>
      </c>
      <c r="D380" t="s">
        <v>29</v>
      </c>
      <c r="E380">
        <v>3801.82</v>
      </c>
      <c r="F380">
        <v>4</v>
      </c>
      <c r="G380" t="s">
        <v>25</v>
      </c>
      <c r="H380">
        <v>3191.05</v>
      </c>
      <c r="I380">
        <v>3555.35</v>
      </c>
      <c r="J380" t="s">
        <v>26</v>
      </c>
      <c r="K380">
        <v>0.28000000000000003</v>
      </c>
      <c r="L380" t="s">
        <v>27</v>
      </c>
      <c r="M380" t="s">
        <v>18</v>
      </c>
    </row>
    <row r="381" spans="1:13" x14ac:dyDescent="0.25">
      <c r="A381">
        <v>1099</v>
      </c>
      <c r="B381" s="1">
        <v>45290</v>
      </c>
      <c r="C381" t="s">
        <v>13</v>
      </c>
      <c r="D381" t="s">
        <v>19</v>
      </c>
      <c r="E381">
        <v>9450.0400000000009</v>
      </c>
      <c r="F381">
        <v>29</v>
      </c>
      <c r="G381" t="s">
        <v>30</v>
      </c>
      <c r="H381">
        <v>3124.87</v>
      </c>
      <c r="I381">
        <v>3383.67</v>
      </c>
      <c r="J381" t="s">
        <v>26</v>
      </c>
      <c r="K381">
        <v>0.05</v>
      </c>
      <c r="L381" t="s">
        <v>27</v>
      </c>
      <c r="M381" t="s">
        <v>20</v>
      </c>
    </row>
    <row r="382" spans="1:13" x14ac:dyDescent="0.25">
      <c r="A382">
        <v>1060</v>
      </c>
      <c r="B382" s="1">
        <v>45206</v>
      </c>
      <c r="C382" t="s">
        <v>32</v>
      </c>
      <c r="D382" t="s">
        <v>22</v>
      </c>
      <c r="E382">
        <v>6453.17</v>
      </c>
      <c r="F382">
        <v>23</v>
      </c>
      <c r="G382" t="s">
        <v>30</v>
      </c>
      <c r="H382">
        <v>647.70000000000005</v>
      </c>
      <c r="I382">
        <v>902.26</v>
      </c>
      <c r="J382" t="s">
        <v>26</v>
      </c>
      <c r="K382">
        <v>0.17</v>
      </c>
      <c r="L382" t="s">
        <v>24</v>
      </c>
      <c r="M382" t="s">
        <v>18</v>
      </c>
    </row>
    <row r="383" spans="1:13" x14ac:dyDescent="0.25">
      <c r="A383">
        <v>1097</v>
      </c>
      <c r="B383" s="1">
        <v>45007</v>
      </c>
      <c r="C383" t="s">
        <v>31</v>
      </c>
      <c r="D383" t="s">
        <v>14</v>
      </c>
      <c r="E383">
        <v>6747.64</v>
      </c>
      <c r="F383">
        <v>6</v>
      </c>
      <c r="G383" t="s">
        <v>30</v>
      </c>
      <c r="H383">
        <v>4885.9799999999996</v>
      </c>
      <c r="I383">
        <v>4949.95</v>
      </c>
      <c r="J383" t="s">
        <v>16</v>
      </c>
      <c r="K383">
        <v>0.17</v>
      </c>
      <c r="L383" t="s">
        <v>24</v>
      </c>
      <c r="M383" t="s">
        <v>18</v>
      </c>
    </row>
    <row r="384" spans="1:13" x14ac:dyDescent="0.25">
      <c r="A384">
        <v>1063</v>
      </c>
      <c r="B384" s="1">
        <v>45128</v>
      </c>
      <c r="C384" t="s">
        <v>13</v>
      </c>
      <c r="D384" t="s">
        <v>29</v>
      </c>
      <c r="E384">
        <v>6359.59</v>
      </c>
      <c r="F384">
        <v>32</v>
      </c>
      <c r="G384" t="s">
        <v>30</v>
      </c>
      <c r="H384">
        <v>975.31</v>
      </c>
      <c r="I384">
        <v>1176.17</v>
      </c>
      <c r="J384" t="s">
        <v>26</v>
      </c>
      <c r="K384">
        <v>0.22</v>
      </c>
      <c r="L384" t="s">
        <v>24</v>
      </c>
      <c r="M384" t="s">
        <v>20</v>
      </c>
    </row>
    <row r="385" spans="1:13" x14ac:dyDescent="0.25">
      <c r="A385">
        <v>1085</v>
      </c>
      <c r="B385" s="1">
        <v>45084</v>
      </c>
      <c r="C385" t="s">
        <v>28</v>
      </c>
      <c r="D385" t="s">
        <v>29</v>
      </c>
      <c r="E385">
        <v>2070.02</v>
      </c>
      <c r="F385">
        <v>42</v>
      </c>
      <c r="G385" t="s">
        <v>25</v>
      </c>
      <c r="H385">
        <v>2254.11</v>
      </c>
      <c r="I385">
        <v>2382.23</v>
      </c>
      <c r="J385" t="s">
        <v>16</v>
      </c>
      <c r="K385">
        <v>0.15</v>
      </c>
      <c r="L385" t="s">
        <v>27</v>
      </c>
      <c r="M385" t="s">
        <v>20</v>
      </c>
    </row>
    <row r="386" spans="1:13" x14ac:dyDescent="0.25">
      <c r="A386">
        <v>1032</v>
      </c>
      <c r="B386" s="1">
        <v>45046</v>
      </c>
      <c r="C386" t="s">
        <v>32</v>
      </c>
      <c r="D386" t="s">
        <v>19</v>
      </c>
      <c r="E386">
        <v>4241.51</v>
      </c>
      <c r="F386">
        <v>18</v>
      </c>
      <c r="G386" t="s">
        <v>30</v>
      </c>
      <c r="H386">
        <v>2466.1799999999998</v>
      </c>
      <c r="I386">
        <v>2483.87</v>
      </c>
      <c r="J386" t="s">
        <v>16</v>
      </c>
      <c r="K386">
        <v>0.08</v>
      </c>
      <c r="L386" t="s">
        <v>17</v>
      </c>
      <c r="M386" t="s">
        <v>18</v>
      </c>
    </row>
    <row r="387" spans="1:13" x14ac:dyDescent="0.25">
      <c r="A387">
        <v>1087</v>
      </c>
      <c r="B387" s="1">
        <v>44985</v>
      </c>
      <c r="C387" t="s">
        <v>32</v>
      </c>
      <c r="D387" t="s">
        <v>19</v>
      </c>
      <c r="E387">
        <v>7534.3</v>
      </c>
      <c r="F387">
        <v>15</v>
      </c>
      <c r="G387" t="s">
        <v>15</v>
      </c>
      <c r="H387">
        <v>4074.66</v>
      </c>
      <c r="I387">
        <v>4261.1099999999997</v>
      </c>
      <c r="J387" t="s">
        <v>16</v>
      </c>
      <c r="K387">
        <v>0.05</v>
      </c>
      <c r="L387" t="s">
        <v>27</v>
      </c>
      <c r="M387" t="s">
        <v>20</v>
      </c>
    </row>
    <row r="388" spans="1:13" x14ac:dyDescent="0.25">
      <c r="A388">
        <v>1033</v>
      </c>
      <c r="B388" s="1">
        <v>45141</v>
      </c>
      <c r="C388" t="s">
        <v>32</v>
      </c>
      <c r="D388" t="s">
        <v>19</v>
      </c>
      <c r="E388">
        <v>1103.5899999999999</v>
      </c>
      <c r="F388">
        <v>40</v>
      </c>
      <c r="G388" t="s">
        <v>23</v>
      </c>
      <c r="H388">
        <v>541.19000000000005</v>
      </c>
      <c r="I388">
        <v>595.20000000000005</v>
      </c>
      <c r="J388" t="s">
        <v>16</v>
      </c>
      <c r="K388">
        <v>0.19</v>
      </c>
      <c r="L388" t="s">
        <v>27</v>
      </c>
      <c r="M388" t="s">
        <v>18</v>
      </c>
    </row>
    <row r="389" spans="1:13" x14ac:dyDescent="0.25">
      <c r="A389">
        <v>1067</v>
      </c>
      <c r="B389" s="1">
        <v>45054</v>
      </c>
      <c r="C389" t="s">
        <v>28</v>
      </c>
      <c r="D389" t="s">
        <v>14</v>
      </c>
      <c r="E389">
        <v>2850.74</v>
      </c>
      <c r="F389">
        <v>32</v>
      </c>
      <c r="G389" t="s">
        <v>23</v>
      </c>
      <c r="H389">
        <v>2171.79</v>
      </c>
      <c r="I389">
        <v>2307.64</v>
      </c>
      <c r="J389" t="s">
        <v>16</v>
      </c>
      <c r="K389">
        <v>0.22</v>
      </c>
      <c r="L389" t="s">
        <v>24</v>
      </c>
      <c r="M389" t="s">
        <v>18</v>
      </c>
    </row>
    <row r="390" spans="1:13" x14ac:dyDescent="0.25">
      <c r="A390">
        <v>1018</v>
      </c>
      <c r="B390" s="1">
        <v>45150</v>
      </c>
      <c r="C390" t="s">
        <v>28</v>
      </c>
      <c r="D390" t="s">
        <v>14</v>
      </c>
      <c r="E390">
        <v>2835.56</v>
      </c>
      <c r="F390">
        <v>9</v>
      </c>
      <c r="G390" t="s">
        <v>30</v>
      </c>
      <c r="H390">
        <v>3161.09</v>
      </c>
      <c r="I390">
        <v>3216.42</v>
      </c>
      <c r="J390" t="s">
        <v>26</v>
      </c>
      <c r="K390">
        <v>0.17</v>
      </c>
      <c r="L390" t="s">
        <v>24</v>
      </c>
      <c r="M390" t="s">
        <v>18</v>
      </c>
    </row>
    <row r="391" spans="1:13" x14ac:dyDescent="0.25">
      <c r="A391">
        <v>1025</v>
      </c>
      <c r="B391" s="1">
        <v>45135</v>
      </c>
      <c r="C391" t="s">
        <v>21</v>
      </c>
      <c r="D391" t="s">
        <v>19</v>
      </c>
      <c r="E391">
        <v>4376.99</v>
      </c>
      <c r="F391">
        <v>37</v>
      </c>
      <c r="G391" t="s">
        <v>30</v>
      </c>
      <c r="H391">
        <v>1115.02</v>
      </c>
      <c r="I391">
        <v>1174.48</v>
      </c>
      <c r="J391" t="s">
        <v>26</v>
      </c>
      <c r="K391">
        <v>0.22</v>
      </c>
      <c r="L391" t="s">
        <v>27</v>
      </c>
      <c r="M391" t="s">
        <v>18</v>
      </c>
    </row>
    <row r="392" spans="1:13" x14ac:dyDescent="0.25">
      <c r="A392">
        <v>1095</v>
      </c>
      <c r="B392" s="1">
        <v>45041</v>
      </c>
      <c r="C392" t="s">
        <v>13</v>
      </c>
      <c r="D392" t="s">
        <v>22</v>
      </c>
      <c r="E392">
        <v>9805.65</v>
      </c>
      <c r="F392">
        <v>10</v>
      </c>
      <c r="G392" t="s">
        <v>30</v>
      </c>
      <c r="H392">
        <v>3155.97</v>
      </c>
      <c r="I392">
        <v>3263.49</v>
      </c>
      <c r="J392" t="s">
        <v>16</v>
      </c>
      <c r="K392">
        <v>0.04</v>
      </c>
      <c r="L392" t="s">
        <v>27</v>
      </c>
      <c r="M392" t="s">
        <v>18</v>
      </c>
    </row>
    <row r="393" spans="1:13" x14ac:dyDescent="0.25">
      <c r="A393">
        <v>1054</v>
      </c>
      <c r="B393" s="1">
        <v>45135</v>
      </c>
      <c r="C393" t="s">
        <v>21</v>
      </c>
      <c r="D393" t="s">
        <v>29</v>
      </c>
      <c r="E393">
        <v>768.28</v>
      </c>
      <c r="F393">
        <v>20</v>
      </c>
      <c r="G393" t="s">
        <v>25</v>
      </c>
      <c r="H393">
        <v>4622.1400000000003</v>
      </c>
      <c r="I393">
        <v>5122.07</v>
      </c>
      <c r="J393" t="s">
        <v>26</v>
      </c>
      <c r="K393">
        <v>0.26</v>
      </c>
      <c r="L393" t="s">
        <v>17</v>
      </c>
      <c r="M393" t="s">
        <v>20</v>
      </c>
    </row>
    <row r="394" spans="1:13" x14ac:dyDescent="0.25">
      <c r="A394">
        <v>1058</v>
      </c>
      <c r="B394" s="1">
        <v>44940</v>
      </c>
      <c r="C394" t="s">
        <v>13</v>
      </c>
      <c r="D394" t="s">
        <v>29</v>
      </c>
      <c r="E394">
        <v>5235.1400000000003</v>
      </c>
      <c r="F394">
        <v>6</v>
      </c>
      <c r="G394" t="s">
        <v>23</v>
      </c>
      <c r="H394">
        <v>4987.71</v>
      </c>
      <c r="I394">
        <v>4998.78</v>
      </c>
      <c r="J394" t="s">
        <v>16</v>
      </c>
      <c r="K394">
        <v>0.17</v>
      </c>
      <c r="L394" t="s">
        <v>17</v>
      </c>
      <c r="M394" t="s">
        <v>20</v>
      </c>
    </row>
    <row r="395" spans="1:13" x14ac:dyDescent="0.25">
      <c r="A395">
        <v>1067</v>
      </c>
      <c r="B395" s="1">
        <v>44935</v>
      </c>
      <c r="C395" t="s">
        <v>28</v>
      </c>
      <c r="D395" t="s">
        <v>14</v>
      </c>
      <c r="E395">
        <v>1875.71</v>
      </c>
      <c r="F395">
        <v>48</v>
      </c>
      <c r="G395" t="s">
        <v>30</v>
      </c>
      <c r="H395">
        <v>210.63</v>
      </c>
      <c r="I395">
        <v>533.57999999999902</v>
      </c>
      <c r="J395" t="s">
        <v>26</v>
      </c>
      <c r="K395">
        <v>0.04</v>
      </c>
      <c r="L395" t="s">
        <v>24</v>
      </c>
      <c r="M395" t="s">
        <v>18</v>
      </c>
    </row>
    <row r="396" spans="1:13" x14ac:dyDescent="0.25">
      <c r="A396">
        <v>1046</v>
      </c>
      <c r="B396" s="1">
        <v>44966</v>
      </c>
      <c r="C396" t="s">
        <v>28</v>
      </c>
      <c r="D396" t="s">
        <v>29</v>
      </c>
      <c r="E396">
        <v>9709.7000000000007</v>
      </c>
      <c r="F396">
        <v>3</v>
      </c>
      <c r="G396" t="s">
        <v>15</v>
      </c>
      <c r="H396">
        <v>1216.1600000000001</v>
      </c>
      <c r="I396">
        <v>1295.3699999999999</v>
      </c>
      <c r="J396" t="s">
        <v>26</v>
      </c>
      <c r="K396">
        <v>0.14000000000000001</v>
      </c>
      <c r="L396" t="s">
        <v>17</v>
      </c>
      <c r="M396" t="s">
        <v>20</v>
      </c>
    </row>
    <row r="397" spans="1:13" x14ac:dyDescent="0.25">
      <c r="A397">
        <v>1024</v>
      </c>
      <c r="B397" s="1">
        <v>45163</v>
      </c>
      <c r="C397" t="s">
        <v>21</v>
      </c>
      <c r="D397" t="s">
        <v>22</v>
      </c>
      <c r="E397">
        <v>1221.7</v>
      </c>
      <c r="F397">
        <v>42</v>
      </c>
      <c r="G397" t="s">
        <v>30</v>
      </c>
      <c r="H397">
        <v>1586.02</v>
      </c>
      <c r="I397">
        <v>2047.13</v>
      </c>
      <c r="J397" t="s">
        <v>26</v>
      </c>
      <c r="K397">
        <v>0.25</v>
      </c>
      <c r="L397" t="s">
        <v>17</v>
      </c>
      <c r="M397" t="s">
        <v>20</v>
      </c>
    </row>
    <row r="398" spans="1:13" x14ac:dyDescent="0.25">
      <c r="A398">
        <v>1032</v>
      </c>
      <c r="B398" s="1">
        <v>45207</v>
      </c>
      <c r="C398" t="s">
        <v>31</v>
      </c>
      <c r="D398" t="s">
        <v>29</v>
      </c>
      <c r="E398">
        <v>4095.65</v>
      </c>
      <c r="F398">
        <v>11</v>
      </c>
      <c r="G398" t="s">
        <v>23</v>
      </c>
      <c r="H398">
        <v>2025.67</v>
      </c>
      <c r="I398">
        <v>2081.5500000000002</v>
      </c>
      <c r="J398" t="s">
        <v>26</v>
      </c>
      <c r="K398">
        <v>0.27</v>
      </c>
      <c r="L398" t="s">
        <v>24</v>
      </c>
      <c r="M398" t="s">
        <v>18</v>
      </c>
    </row>
    <row r="399" spans="1:13" x14ac:dyDescent="0.25">
      <c r="A399">
        <v>1047</v>
      </c>
      <c r="B399" s="1">
        <v>45285</v>
      </c>
      <c r="C399" t="s">
        <v>21</v>
      </c>
      <c r="D399" t="s">
        <v>14</v>
      </c>
      <c r="E399">
        <v>7405.06</v>
      </c>
      <c r="F399">
        <v>43</v>
      </c>
      <c r="G399" t="s">
        <v>30</v>
      </c>
      <c r="H399">
        <v>1249.17</v>
      </c>
      <c r="I399">
        <v>1727.15</v>
      </c>
      <c r="J399" t="s">
        <v>26</v>
      </c>
      <c r="K399">
        <v>0.08</v>
      </c>
      <c r="L399" t="s">
        <v>17</v>
      </c>
      <c r="M399" t="s">
        <v>20</v>
      </c>
    </row>
    <row r="400" spans="1:13" x14ac:dyDescent="0.25">
      <c r="A400">
        <v>1086</v>
      </c>
      <c r="B400" s="1">
        <v>45127</v>
      </c>
      <c r="C400" t="s">
        <v>13</v>
      </c>
      <c r="D400" t="s">
        <v>14</v>
      </c>
      <c r="E400">
        <v>7075.09</v>
      </c>
      <c r="F400">
        <v>17</v>
      </c>
      <c r="G400" t="s">
        <v>23</v>
      </c>
      <c r="H400">
        <v>1057.27</v>
      </c>
      <c r="I400">
        <v>1366.62</v>
      </c>
      <c r="J400" t="s">
        <v>26</v>
      </c>
      <c r="K400">
        <v>0.21</v>
      </c>
      <c r="L400" t="s">
        <v>27</v>
      </c>
      <c r="M400" t="s">
        <v>20</v>
      </c>
    </row>
    <row r="401" spans="1:13" x14ac:dyDescent="0.25">
      <c r="A401">
        <v>1023</v>
      </c>
      <c r="B401" s="1">
        <v>45172</v>
      </c>
      <c r="C401" t="s">
        <v>21</v>
      </c>
      <c r="D401" t="s">
        <v>22</v>
      </c>
      <c r="E401">
        <v>4285.01</v>
      </c>
      <c r="F401">
        <v>32</v>
      </c>
      <c r="G401" t="s">
        <v>30</v>
      </c>
      <c r="H401">
        <v>4775.04</v>
      </c>
      <c r="I401">
        <v>4785.66</v>
      </c>
      <c r="J401" t="s">
        <v>26</v>
      </c>
      <c r="K401">
        <v>0.03</v>
      </c>
      <c r="L401" t="s">
        <v>17</v>
      </c>
      <c r="M401" t="s">
        <v>18</v>
      </c>
    </row>
    <row r="402" spans="1:13" x14ac:dyDescent="0.25">
      <c r="A402">
        <v>1066</v>
      </c>
      <c r="B402" s="1">
        <v>45204</v>
      </c>
      <c r="C402" t="s">
        <v>32</v>
      </c>
      <c r="D402" t="s">
        <v>22</v>
      </c>
      <c r="E402">
        <v>3530.59</v>
      </c>
      <c r="F402">
        <v>4</v>
      </c>
      <c r="G402" t="s">
        <v>15</v>
      </c>
      <c r="H402">
        <v>4596.68</v>
      </c>
      <c r="I402">
        <v>5044.74</v>
      </c>
      <c r="J402" t="s">
        <v>26</v>
      </c>
      <c r="K402">
        <v>0.01</v>
      </c>
      <c r="L402" t="s">
        <v>24</v>
      </c>
      <c r="M402" t="s">
        <v>18</v>
      </c>
    </row>
    <row r="403" spans="1:13" x14ac:dyDescent="0.25">
      <c r="A403">
        <v>1027</v>
      </c>
      <c r="B403" s="1">
        <v>45161</v>
      </c>
      <c r="C403" t="s">
        <v>13</v>
      </c>
      <c r="D403" t="s">
        <v>29</v>
      </c>
      <c r="E403">
        <v>4036.36</v>
      </c>
      <c r="F403">
        <v>4</v>
      </c>
      <c r="G403" t="s">
        <v>30</v>
      </c>
      <c r="H403">
        <v>282.61</v>
      </c>
      <c r="I403">
        <v>548.25</v>
      </c>
      <c r="J403" t="s">
        <v>26</v>
      </c>
      <c r="K403">
        <v>0.17</v>
      </c>
      <c r="L403" t="s">
        <v>27</v>
      </c>
      <c r="M403" t="s">
        <v>18</v>
      </c>
    </row>
    <row r="404" spans="1:13" x14ac:dyDescent="0.25">
      <c r="A404">
        <v>1002</v>
      </c>
      <c r="B404" s="1">
        <v>44930</v>
      </c>
      <c r="C404" t="s">
        <v>13</v>
      </c>
      <c r="D404" t="s">
        <v>29</v>
      </c>
      <c r="E404">
        <v>2716.34</v>
      </c>
      <c r="F404">
        <v>17</v>
      </c>
      <c r="G404" t="s">
        <v>15</v>
      </c>
      <c r="H404">
        <v>1727.12</v>
      </c>
      <c r="I404">
        <v>1865.83</v>
      </c>
      <c r="J404" t="s">
        <v>26</v>
      </c>
      <c r="K404">
        <v>0.21</v>
      </c>
      <c r="L404" t="s">
        <v>17</v>
      </c>
      <c r="M404" t="s">
        <v>18</v>
      </c>
    </row>
    <row r="405" spans="1:13" x14ac:dyDescent="0.25">
      <c r="A405">
        <v>1090</v>
      </c>
      <c r="B405" s="1">
        <v>45080</v>
      </c>
      <c r="C405" t="s">
        <v>31</v>
      </c>
      <c r="D405" t="s">
        <v>14</v>
      </c>
      <c r="E405">
        <v>2132.8000000000002</v>
      </c>
      <c r="F405">
        <v>41</v>
      </c>
      <c r="G405" t="s">
        <v>15</v>
      </c>
      <c r="H405">
        <v>2055.4899999999998</v>
      </c>
      <c r="I405">
        <v>2441.46</v>
      </c>
      <c r="J405" t="s">
        <v>26</v>
      </c>
      <c r="K405">
        <v>0.24</v>
      </c>
      <c r="L405" t="s">
        <v>27</v>
      </c>
      <c r="M405" t="s">
        <v>18</v>
      </c>
    </row>
    <row r="406" spans="1:13" x14ac:dyDescent="0.25">
      <c r="A406">
        <v>1017</v>
      </c>
      <c r="B406" s="1">
        <v>44955</v>
      </c>
      <c r="C406" t="s">
        <v>28</v>
      </c>
      <c r="D406" t="s">
        <v>22</v>
      </c>
      <c r="E406">
        <v>4882.09</v>
      </c>
      <c r="F406">
        <v>19</v>
      </c>
      <c r="G406" t="s">
        <v>30</v>
      </c>
      <c r="H406">
        <v>1233.1199999999999</v>
      </c>
      <c r="I406">
        <v>1697.1899999999901</v>
      </c>
      <c r="J406" t="s">
        <v>26</v>
      </c>
      <c r="K406">
        <v>0.1</v>
      </c>
      <c r="L406" t="s">
        <v>27</v>
      </c>
      <c r="M406" t="s">
        <v>18</v>
      </c>
    </row>
    <row r="407" spans="1:13" x14ac:dyDescent="0.25">
      <c r="A407">
        <v>1033</v>
      </c>
      <c r="B407" s="1">
        <v>45035</v>
      </c>
      <c r="C407" t="s">
        <v>13</v>
      </c>
      <c r="D407" t="s">
        <v>22</v>
      </c>
      <c r="E407">
        <v>2758.48</v>
      </c>
      <c r="F407">
        <v>5</v>
      </c>
      <c r="G407" t="s">
        <v>15</v>
      </c>
      <c r="H407">
        <v>3162.92</v>
      </c>
      <c r="I407">
        <v>3409.93</v>
      </c>
      <c r="J407" t="s">
        <v>26</v>
      </c>
      <c r="K407">
        <v>0</v>
      </c>
      <c r="L407" t="s">
        <v>17</v>
      </c>
      <c r="M407" t="s">
        <v>18</v>
      </c>
    </row>
    <row r="408" spans="1:13" x14ac:dyDescent="0.25">
      <c r="A408">
        <v>1009</v>
      </c>
      <c r="B408" s="1">
        <v>45024</v>
      </c>
      <c r="C408" t="s">
        <v>28</v>
      </c>
      <c r="D408" t="s">
        <v>22</v>
      </c>
      <c r="E408">
        <v>2945.87</v>
      </c>
      <c r="F408">
        <v>32</v>
      </c>
      <c r="G408" t="s">
        <v>25</v>
      </c>
      <c r="H408">
        <v>3219.88</v>
      </c>
      <c r="I408">
        <v>3384.5</v>
      </c>
      <c r="J408" t="s">
        <v>16</v>
      </c>
      <c r="K408">
        <v>0.14000000000000001</v>
      </c>
      <c r="L408" t="s">
        <v>17</v>
      </c>
      <c r="M408" t="s">
        <v>20</v>
      </c>
    </row>
    <row r="409" spans="1:13" x14ac:dyDescent="0.25">
      <c r="A409">
        <v>1043</v>
      </c>
      <c r="B409" s="1">
        <v>45141</v>
      </c>
      <c r="C409" t="s">
        <v>21</v>
      </c>
      <c r="D409" t="s">
        <v>29</v>
      </c>
      <c r="E409">
        <v>6601.89</v>
      </c>
      <c r="F409">
        <v>22</v>
      </c>
      <c r="G409" t="s">
        <v>30</v>
      </c>
      <c r="H409">
        <v>4260</v>
      </c>
      <c r="I409">
        <v>4656.58</v>
      </c>
      <c r="J409" t="s">
        <v>26</v>
      </c>
      <c r="K409">
        <v>0</v>
      </c>
      <c r="L409" t="s">
        <v>24</v>
      </c>
      <c r="M409" t="s">
        <v>18</v>
      </c>
    </row>
    <row r="410" spans="1:13" x14ac:dyDescent="0.25">
      <c r="A410">
        <v>1048</v>
      </c>
      <c r="B410" s="1">
        <v>45219</v>
      </c>
      <c r="C410" t="s">
        <v>32</v>
      </c>
      <c r="D410" t="s">
        <v>22</v>
      </c>
      <c r="E410">
        <v>9688.52</v>
      </c>
      <c r="F410">
        <v>6</v>
      </c>
      <c r="G410" t="s">
        <v>30</v>
      </c>
      <c r="H410">
        <v>3717.3</v>
      </c>
      <c r="I410">
        <v>4061.37</v>
      </c>
      <c r="J410" t="s">
        <v>26</v>
      </c>
      <c r="K410">
        <v>0.03</v>
      </c>
      <c r="L410" t="s">
        <v>24</v>
      </c>
      <c r="M410" t="s">
        <v>20</v>
      </c>
    </row>
    <row r="411" spans="1:13" x14ac:dyDescent="0.25">
      <c r="A411">
        <v>1039</v>
      </c>
      <c r="B411" s="1">
        <v>45001</v>
      </c>
      <c r="C411" t="s">
        <v>31</v>
      </c>
      <c r="D411" t="s">
        <v>14</v>
      </c>
      <c r="E411">
        <v>6076.01</v>
      </c>
      <c r="F411">
        <v>35</v>
      </c>
      <c r="G411" t="s">
        <v>15</v>
      </c>
      <c r="H411">
        <v>2735.74</v>
      </c>
      <c r="I411">
        <v>3181.22999999999</v>
      </c>
      <c r="J411" t="s">
        <v>26</v>
      </c>
      <c r="K411">
        <v>0.1</v>
      </c>
      <c r="L411" t="s">
        <v>27</v>
      </c>
      <c r="M411" t="s">
        <v>20</v>
      </c>
    </row>
    <row r="412" spans="1:13" x14ac:dyDescent="0.25">
      <c r="A412">
        <v>1093</v>
      </c>
      <c r="B412" s="1">
        <v>45252</v>
      </c>
      <c r="C412" t="s">
        <v>28</v>
      </c>
      <c r="D412" t="s">
        <v>14</v>
      </c>
      <c r="E412">
        <v>862.1</v>
      </c>
      <c r="F412">
        <v>22</v>
      </c>
      <c r="G412" t="s">
        <v>15</v>
      </c>
      <c r="H412">
        <v>3285.25</v>
      </c>
      <c r="I412">
        <v>3634.58</v>
      </c>
      <c r="J412" t="s">
        <v>26</v>
      </c>
      <c r="K412">
        <v>0.13</v>
      </c>
      <c r="L412" t="s">
        <v>24</v>
      </c>
      <c r="M412" t="s">
        <v>18</v>
      </c>
    </row>
    <row r="413" spans="1:13" x14ac:dyDescent="0.25">
      <c r="A413">
        <v>1042</v>
      </c>
      <c r="B413" s="1">
        <v>45072</v>
      </c>
      <c r="C413" t="s">
        <v>13</v>
      </c>
      <c r="D413" t="s">
        <v>29</v>
      </c>
      <c r="E413">
        <v>848.28</v>
      </c>
      <c r="F413">
        <v>1</v>
      </c>
      <c r="G413" t="s">
        <v>30</v>
      </c>
      <c r="H413">
        <v>1406.24</v>
      </c>
      <c r="I413">
        <v>1535.57</v>
      </c>
      <c r="J413" t="s">
        <v>26</v>
      </c>
      <c r="K413">
        <v>0.08</v>
      </c>
      <c r="L413" t="s">
        <v>27</v>
      </c>
      <c r="M413" t="s">
        <v>20</v>
      </c>
    </row>
    <row r="414" spans="1:13" x14ac:dyDescent="0.25">
      <c r="A414">
        <v>1026</v>
      </c>
      <c r="B414" s="1">
        <v>45054</v>
      </c>
      <c r="C414" t="s">
        <v>28</v>
      </c>
      <c r="D414" t="s">
        <v>19</v>
      </c>
      <c r="E414">
        <v>9519.09</v>
      </c>
      <c r="F414">
        <v>20</v>
      </c>
      <c r="G414" t="s">
        <v>25</v>
      </c>
      <c r="H414">
        <v>2985.63</v>
      </c>
      <c r="I414">
        <v>3452.14</v>
      </c>
      <c r="J414" t="s">
        <v>26</v>
      </c>
      <c r="K414">
        <v>0.17</v>
      </c>
      <c r="L414" t="s">
        <v>27</v>
      </c>
      <c r="M414" t="s">
        <v>20</v>
      </c>
    </row>
    <row r="415" spans="1:13" x14ac:dyDescent="0.25">
      <c r="A415">
        <v>1099</v>
      </c>
      <c r="B415" s="1">
        <v>45267</v>
      </c>
      <c r="C415" t="s">
        <v>13</v>
      </c>
      <c r="D415" t="s">
        <v>29</v>
      </c>
      <c r="E415">
        <v>3043.18</v>
      </c>
      <c r="F415">
        <v>22</v>
      </c>
      <c r="G415" t="s">
        <v>15</v>
      </c>
      <c r="H415">
        <v>2471.67</v>
      </c>
      <c r="I415">
        <v>2533.04</v>
      </c>
      <c r="J415" t="s">
        <v>16</v>
      </c>
      <c r="K415">
        <v>0.02</v>
      </c>
      <c r="L415" t="s">
        <v>24</v>
      </c>
      <c r="M415" t="s">
        <v>20</v>
      </c>
    </row>
    <row r="416" spans="1:13" x14ac:dyDescent="0.25">
      <c r="A416">
        <v>1050</v>
      </c>
      <c r="B416" s="1">
        <v>44968</v>
      </c>
      <c r="C416" t="s">
        <v>28</v>
      </c>
      <c r="D416" t="s">
        <v>19</v>
      </c>
      <c r="E416">
        <v>1011.46</v>
      </c>
      <c r="F416">
        <v>48</v>
      </c>
      <c r="G416" t="s">
        <v>15</v>
      </c>
      <c r="H416">
        <v>710.06</v>
      </c>
      <c r="I416">
        <v>851.349999999999</v>
      </c>
      <c r="J416" t="s">
        <v>16</v>
      </c>
      <c r="K416">
        <v>0.04</v>
      </c>
      <c r="L416" t="s">
        <v>24</v>
      </c>
      <c r="M416" t="s">
        <v>18</v>
      </c>
    </row>
    <row r="417" spans="1:13" x14ac:dyDescent="0.25">
      <c r="A417">
        <v>1025</v>
      </c>
      <c r="B417" s="1">
        <v>45282</v>
      </c>
      <c r="C417" t="s">
        <v>13</v>
      </c>
      <c r="D417" t="s">
        <v>22</v>
      </c>
      <c r="E417">
        <v>6030.54</v>
      </c>
      <c r="F417">
        <v>11</v>
      </c>
      <c r="G417" t="s">
        <v>23</v>
      </c>
      <c r="H417">
        <v>1250.5899999999999</v>
      </c>
      <c r="I417">
        <v>1515.48999999999</v>
      </c>
      <c r="J417" t="s">
        <v>16</v>
      </c>
      <c r="K417">
        <v>0.21</v>
      </c>
      <c r="L417" t="s">
        <v>24</v>
      </c>
      <c r="M417" t="s">
        <v>20</v>
      </c>
    </row>
    <row r="418" spans="1:13" x14ac:dyDescent="0.25">
      <c r="A418">
        <v>1024</v>
      </c>
      <c r="B418" s="1">
        <v>44967</v>
      </c>
      <c r="C418" t="s">
        <v>21</v>
      </c>
      <c r="D418" t="s">
        <v>29</v>
      </c>
      <c r="E418">
        <v>6274.12</v>
      </c>
      <c r="F418">
        <v>13</v>
      </c>
      <c r="G418" t="s">
        <v>25</v>
      </c>
      <c r="H418">
        <v>1493.88</v>
      </c>
      <c r="I418">
        <v>1781.09</v>
      </c>
      <c r="J418" t="s">
        <v>26</v>
      </c>
      <c r="K418">
        <v>0.04</v>
      </c>
      <c r="L418" t="s">
        <v>17</v>
      </c>
      <c r="M418" t="s">
        <v>20</v>
      </c>
    </row>
    <row r="419" spans="1:13" x14ac:dyDescent="0.25">
      <c r="A419">
        <v>1013</v>
      </c>
      <c r="B419" s="1">
        <v>44960</v>
      </c>
      <c r="C419" t="s">
        <v>13</v>
      </c>
      <c r="D419" t="s">
        <v>14</v>
      </c>
      <c r="E419">
        <v>6520.2</v>
      </c>
      <c r="F419">
        <v>42</v>
      </c>
      <c r="G419" t="s">
        <v>25</v>
      </c>
      <c r="H419">
        <v>4625.33</v>
      </c>
      <c r="I419">
        <v>4642.83</v>
      </c>
      <c r="J419" t="s">
        <v>26</v>
      </c>
      <c r="K419">
        <v>0.19</v>
      </c>
      <c r="L419" t="s">
        <v>27</v>
      </c>
      <c r="M419" t="s">
        <v>18</v>
      </c>
    </row>
    <row r="420" spans="1:13" x14ac:dyDescent="0.25">
      <c r="A420">
        <v>1060</v>
      </c>
      <c r="B420" s="1">
        <v>44943</v>
      </c>
      <c r="C420" t="s">
        <v>13</v>
      </c>
      <c r="D420" t="s">
        <v>22</v>
      </c>
      <c r="E420">
        <v>2747.28</v>
      </c>
      <c r="F420">
        <v>3</v>
      </c>
      <c r="G420" t="s">
        <v>30</v>
      </c>
      <c r="H420">
        <v>1190.4100000000001</v>
      </c>
      <c r="I420">
        <v>1582.89</v>
      </c>
      <c r="J420" t="s">
        <v>26</v>
      </c>
      <c r="K420">
        <v>0.02</v>
      </c>
      <c r="L420" t="s">
        <v>27</v>
      </c>
      <c r="M420" t="s">
        <v>20</v>
      </c>
    </row>
    <row r="421" spans="1:13" x14ac:dyDescent="0.25">
      <c r="A421">
        <v>1007</v>
      </c>
      <c r="B421" s="1">
        <v>45091</v>
      </c>
      <c r="C421" t="s">
        <v>32</v>
      </c>
      <c r="D421" t="s">
        <v>14</v>
      </c>
      <c r="E421">
        <v>249.6</v>
      </c>
      <c r="F421">
        <v>9</v>
      </c>
      <c r="G421" t="s">
        <v>25</v>
      </c>
      <c r="H421">
        <v>1481.76</v>
      </c>
      <c r="I421">
        <v>1668.95</v>
      </c>
      <c r="J421" t="s">
        <v>16</v>
      </c>
      <c r="K421">
        <v>0.12</v>
      </c>
      <c r="L421" t="s">
        <v>27</v>
      </c>
      <c r="M421" t="s">
        <v>20</v>
      </c>
    </row>
    <row r="422" spans="1:13" x14ac:dyDescent="0.25">
      <c r="A422">
        <v>1057</v>
      </c>
      <c r="B422" s="1">
        <v>45079</v>
      </c>
      <c r="C422" t="s">
        <v>13</v>
      </c>
      <c r="D422" t="s">
        <v>22</v>
      </c>
      <c r="E422">
        <v>9653.65</v>
      </c>
      <c r="F422">
        <v>12</v>
      </c>
      <c r="G422" t="s">
        <v>30</v>
      </c>
      <c r="H422">
        <v>1878.3</v>
      </c>
      <c r="I422">
        <v>2087.4499999999998</v>
      </c>
      <c r="J422" t="s">
        <v>26</v>
      </c>
      <c r="K422">
        <v>0.05</v>
      </c>
      <c r="L422" t="s">
        <v>24</v>
      </c>
      <c r="M422" t="s">
        <v>20</v>
      </c>
    </row>
    <row r="423" spans="1:13" x14ac:dyDescent="0.25">
      <c r="A423">
        <v>1036</v>
      </c>
      <c r="B423" s="1">
        <v>45002</v>
      </c>
      <c r="C423" t="s">
        <v>32</v>
      </c>
      <c r="D423" t="s">
        <v>29</v>
      </c>
      <c r="E423">
        <v>2583.84</v>
      </c>
      <c r="F423">
        <v>23</v>
      </c>
      <c r="G423" t="s">
        <v>23</v>
      </c>
      <c r="H423">
        <v>3335.53</v>
      </c>
      <c r="I423">
        <v>3742.12</v>
      </c>
      <c r="J423" t="s">
        <v>26</v>
      </c>
      <c r="K423">
        <v>0.03</v>
      </c>
      <c r="L423" t="s">
        <v>24</v>
      </c>
      <c r="M423" t="s">
        <v>20</v>
      </c>
    </row>
    <row r="424" spans="1:13" x14ac:dyDescent="0.25">
      <c r="A424">
        <v>1045</v>
      </c>
      <c r="B424" s="1">
        <v>45013</v>
      </c>
      <c r="C424" t="s">
        <v>31</v>
      </c>
      <c r="D424" t="s">
        <v>19</v>
      </c>
      <c r="E424">
        <v>6792.66</v>
      </c>
      <c r="F424">
        <v>14</v>
      </c>
      <c r="G424" t="s">
        <v>25</v>
      </c>
      <c r="H424">
        <v>635.28</v>
      </c>
      <c r="I424">
        <v>831.13</v>
      </c>
      <c r="J424" t="s">
        <v>16</v>
      </c>
      <c r="K424">
        <v>0.17</v>
      </c>
      <c r="L424" t="s">
        <v>24</v>
      </c>
      <c r="M424" t="s">
        <v>20</v>
      </c>
    </row>
    <row r="425" spans="1:13" x14ac:dyDescent="0.25">
      <c r="A425">
        <v>1020</v>
      </c>
      <c r="B425" s="1">
        <v>45043</v>
      </c>
      <c r="C425" t="s">
        <v>32</v>
      </c>
      <c r="D425" t="s">
        <v>22</v>
      </c>
      <c r="E425">
        <v>7095.64</v>
      </c>
      <c r="F425">
        <v>33</v>
      </c>
      <c r="G425" t="s">
        <v>15</v>
      </c>
      <c r="H425">
        <v>4772.03</v>
      </c>
      <c r="I425">
        <v>4805.17</v>
      </c>
      <c r="J425" t="s">
        <v>16</v>
      </c>
      <c r="K425">
        <v>0.28000000000000003</v>
      </c>
      <c r="L425" t="s">
        <v>24</v>
      </c>
      <c r="M425" t="s">
        <v>18</v>
      </c>
    </row>
    <row r="426" spans="1:13" x14ac:dyDescent="0.25">
      <c r="A426">
        <v>1065</v>
      </c>
      <c r="B426" s="1">
        <v>45288</v>
      </c>
      <c r="C426" t="s">
        <v>21</v>
      </c>
      <c r="D426" t="s">
        <v>19</v>
      </c>
      <c r="E426">
        <v>6139.07</v>
      </c>
      <c r="F426">
        <v>18</v>
      </c>
      <c r="G426" t="s">
        <v>23</v>
      </c>
      <c r="H426">
        <v>4334.58</v>
      </c>
      <c r="I426">
        <v>4431.04</v>
      </c>
      <c r="J426" t="s">
        <v>26</v>
      </c>
      <c r="K426">
        <v>0.02</v>
      </c>
      <c r="L426" t="s">
        <v>24</v>
      </c>
      <c r="M426" t="s">
        <v>20</v>
      </c>
    </row>
    <row r="427" spans="1:13" x14ac:dyDescent="0.25">
      <c r="A427">
        <v>1008</v>
      </c>
      <c r="B427" s="1">
        <v>45268</v>
      </c>
      <c r="C427" t="s">
        <v>32</v>
      </c>
      <c r="D427" t="s">
        <v>22</v>
      </c>
      <c r="E427">
        <v>3197.78</v>
      </c>
      <c r="F427">
        <v>49</v>
      </c>
      <c r="G427" t="s">
        <v>30</v>
      </c>
      <c r="H427">
        <v>2907.22</v>
      </c>
      <c r="I427">
        <v>3385.6099999999901</v>
      </c>
      <c r="J427" t="s">
        <v>26</v>
      </c>
      <c r="K427">
        <v>0.13</v>
      </c>
      <c r="L427" t="s">
        <v>17</v>
      </c>
      <c r="M427" t="s">
        <v>18</v>
      </c>
    </row>
    <row r="428" spans="1:13" x14ac:dyDescent="0.25">
      <c r="A428">
        <v>1016</v>
      </c>
      <c r="B428" s="1">
        <v>44953</v>
      </c>
      <c r="C428" t="s">
        <v>31</v>
      </c>
      <c r="D428" t="s">
        <v>14</v>
      </c>
      <c r="E428">
        <v>2783.85</v>
      </c>
      <c r="F428">
        <v>41</v>
      </c>
      <c r="G428" t="s">
        <v>23</v>
      </c>
      <c r="H428">
        <v>3386.49</v>
      </c>
      <c r="I428">
        <v>3430.99</v>
      </c>
      <c r="J428" t="s">
        <v>26</v>
      </c>
      <c r="K428">
        <v>0.21</v>
      </c>
      <c r="L428" t="s">
        <v>24</v>
      </c>
      <c r="M428" t="s">
        <v>20</v>
      </c>
    </row>
    <row r="429" spans="1:13" x14ac:dyDescent="0.25">
      <c r="A429">
        <v>1014</v>
      </c>
      <c r="B429" s="1">
        <v>45239</v>
      </c>
      <c r="C429" t="s">
        <v>21</v>
      </c>
      <c r="D429" t="s">
        <v>14</v>
      </c>
      <c r="E429">
        <v>6016.92</v>
      </c>
      <c r="F429">
        <v>9</v>
      </c>
      <c r="G429" t="s">
        <v>30</v>
      </c>
      <c r="H429">
        <v>132.47</v>
      </c>
      <c r="I429">
        <v>316.39</v>
      </c>
      <c r="J429" t="s">
        <v>26</v>
      </c>
      <c r="K429">
        <v>0.14000000000000001</v>
      </c>
      <c r="L429" t="s">
        <v>27</v>
      </c>
      <c r="M429" t="s">
        <v>18</v>
      </c>
    </row>
    <row r="430" spans="1:13" x14ac:dyDescent="0.25">
      <c r="A430">
        <v>1076</v>
      </c>
      <c r="B430" s="1">
        <v>45213</v>
      </c>
      <c r="C430" t="s">
        <v>28</v>
      </c>
      <c r="D430" t="s">
        <v>22</v>
      </c>
      <c r="E430">
        <v>8674.35</v>
      </c>
      <c r="F430">
        <v>23</v>
      </c>
      <c r="G430" t="s">
        <v>23</v>
      </c>
      <c r="H430">
        <v>1727.78</v>
      </c>
      <c r="I430">
        <v>1984.34</v>
      </c>
      <c r="J430" t="s">
        <v>16</v>
      </c>
      <c r="K430">
        <v>0.24</v>
      </c>
      <c r="L430" t="s">
        <v>24</v>
      </c>
      <c r="M430" t="s">
        <v>18</v>
      </c>
    </row>
    <row r="431" spans="1:13" x14ac:dyDescent="0.25">
      <c r="A431">
        <v>1087</v>
      </c>
      <c r="B431" s="1">
        <v>45060</v>
      </c>
      <c r="C431" t="s">
        <v>28</v>
      </c>
      <c r="D431" t="s">
        <v>19</v>
      </c>
      <c r="E431">
        <v>9472.66</v>
      </c>
      <c r="F431">
        <v>10</v>
      </c>
      <c r="G431" t="s">
        <v>30</v>
      </c>
      <c r="H431">
        <v>3988.52</v>
      </c>
      <c r="I431">
        <v>4240.2299999999996</v>
      </c>
      <c r="J431" t="s">
        <v>26</v>
      </c>
      <c r="K431">
        <v>0.05</v>
      </c>
      <c r="L431" t="s">
        <v>27</v>
      </c>
      <c r="M431" t="s">
        <v>18</v>
      </c>
    </row>
    <row r="432" spans="1:13" x14ac:dyDescent="0.25">
      <c r="A432">
        <v>1015</v>
      </c>
      <c r="B432" s="1">
        <v>45145</v>
      </c>
      <c r="C432" t="s">
        <v>32</v>
      </c>
      <c r="D432" t="s">
        <v>29</v>
      </c>
      <c r="E432">
        <v>1148.47</v>
      </c>
      <c r="F432">
        <v>19</v>
      </c>
      <c r="G432" t="s">
        <v>25</v>
      </c>
      <c r="H432">
        <v>433.54</v>
      </c>
      <c r="I432">
        <v>445.48</v>
      </c>
      <c r="J432" t="s">
        <v>26</v>
      </c>
      <c r="K432">
        <v>0.28999999999999998</v>
      </c>
      <c r="L432" t="s">
        <v>24</v>
      </c>
      <c r="M432" t="s">
        <v>20</v>
      </c>
    </row>
    <row r="433" spans="1:13" x14ac:dyDescent="0.25">
      <c r="A433">
        <v>1092</v>
      </c>
      <c r="B433" s="1">
        <v>45094</v>
      </c>
      <c r="C433" t="s">
        <v>32</v>
      </c>
      <c r="D433" t="s">
        <v>29</v>
      </c>
      <c r="E433">
        <v>1632.8</v>
      </c>
      <c r="F433">
        <v>47</v>
      </c>
      <c r="G433" t="s">
        <v>15</v>
      </c>
      <c r="H433">
        <v>1447.45</v>
      </c>
      <c r="I433">
        <v>1703.02</v>
      </c>
      <c r="J433" t="s">
        <v>16</v>
      </c>
      <c r="K433">
        <v>0.12</v>
      </c>
      <c r="L433" t="s">
        <v>24</v>
      </c>
      <c r="M433" t="s">
        <v>20</v>
      </c>
    </row>
    <row r="434" spans="1:13" x14ac:dyDescent="0.25">
      <c r="A434">
        <v>1098</v>
      </c>
      <c r="B434" s="1">
        <v>45024</v>
      </c>
      <c r="C434" t="s">
        <v>31</v>
      </c>
      <c r="D434" t="s">
        <v>14</v>
      </c>
      <c r="E434">
        <v>9452.89</v>
      </c>
      <c r="F434">
        <v>5</v>
      </c>
      <c r="G434" t="s">
        <v>30</v>
      </c>
      <c r="H434">
        <v>2947.22</v>
      </c>
      <c r="I434">
        <v>3145.27</v>
      </c>
      <c r="J434" t="s">
        <v>26</v>
      </c>
      <c r="K434">
        <v>0.1</v>
      </c>
      <c r="L434" t="s">
        <v>27</v>
      </c>
      <c r="M434" t="s">
        <v>20</v>
      </c>
    </row>
    <row r="435" spans="1:13" x14ac:dyDescent="0.25">
      <c r="A435">
        <v>1066</v>
      </c>
      <c r="B435" s="1">
        <v>45194</v>
      </c>
      <c r="C435" t="s">
        <v>31</v>
      </c>
      <c r="D435" t="s">
        <v>29</v>
      </c>
      <c r="E435">
        <v>7391.7</v>
      </c>
      <c r="F435">
        <v>47</v>
      </c>
      <c r="G435" t="s">
        <v>23</v>
      </c>
      <c r="H435">
        <v>1319.24</v>
      </c>
      <c r="I435">
        <v>1805.56</v>
      </c>
      <c r="J435" t="s">
        <v>26</v>
      </c>
      <c r="K435">
        <v>0.26</v>
      </c>
      <c r="L435" t="s">
        <v>27</v>
      </c>
      <c r="M435" t="s">
        <v>20</v>
      </c>
    </row>
    <row r="436" spans="1:13" x14ac:dyDescent="0.25">
      <c r="A436">
        <v>1032</v>
      </c>
      <c r="B436" s="1">
        <v>45163</v>
      </c>
      <c r="C436" t="s">
        <v>13</v>
      </c>
      <c r="D436" t="s">
        <v>14</v>
      </c>
      <c r="E436">
        <v>8841.64</v>
      </c>
      <c r="F436">
        <v>23</v>
      </c>
      <c r="G436" t="s">
        <v>30</v>
      </c>
      <c r="H436">
        <v>4673.1899999999996</v>
      </c>
      <c r="I436">
        <v>4761.1799999999903</v>
      </c>
      <c r="J436" t="s">
        <v>16</v>
      </c>
      <c r="K436">
        <v>0.17</v>
      </c>
      <c r="L436" t="s">
        <v>27</v>
      </c>
      <c r="M436" t="s">
        <v>20</v>
      </c>
    </row>
    <row r="437" spans="1:13" x14ac:dyDescent="0.25">
      <c r="A437">
        <v>1087</v>
      </c>
      <c r="B437" s="1">
        <v>45235</v>
      </c>
      <c r="C437" t="s">
        <v>31</v>
      </c>
      <c r="D437" t="s">
        <v>29</v>
      </c>
      <c r="E437">
        <v>2106.06</v>
      </c>
      <c r="F437">
        <v>30</v>
      </c>
      <c r="G437" t="s">
        <v>30</v>
      </c>
      <c r="H437">
        <v>698.74</v>
      </c>
      <c r="I437">
        <v>882.28</v>
      </c>
      <c r="J437" t="s">
        <v>16</v>
      </c>
      <c r="K437">
        <v>0.15</v>
      </c>
      <c r="L437" t="s">
        <v>27</v>
      </c>
      <c r="M437" t="s">
        <v>18</v>
      </c>
    </row>
    <row r="438" spans="1:13" x14ac:dyDescent="0.25">
      <c r="A438">
        <v>1063</v>
      </c>
      <c r="B438" s="1">
        <v>45099</v>
      </c>
      <c r="C438" t="s">
        <v>13</v>
      </c>
      <c r="D438" t="s">
        <v>22</v>
      </c>
      <c r="E438">
        <v>5917.1</v>
      </c>
      <c r="F438">
        <v>25</v>
      </c>
      <c r="G438" t="s">
        <v>30</v>
      </c>
      <c r="H438">
        <v>3997.1</v>
      </c>
      <c r="I438">
        <v>4212.6499999999996</v>
      </c>
      <c r="J438" t="s">
        <v>26</v>
      </c>
      <c r="K438">
        <v>0.22</v>
      </c>
      <c r="L438" t="s">
        <v>17</v>
      </c>
      <c r="M438" t="s">
        <v>18</v>
      </c>
    </row>
    <row r="439" spans="1:13" x14ac:dyDescent="0.25">
      <c r="A439">
        <v>1086</v>
      </c>
      <c r="B439" s="1">
        <v>45116</v>
      </c>
      <c r="C439" t="s">
        <v>21</v>
      </c>
      <c r="D439" t="s">
        <v>14</v>
      </c>
      <c r="E439">
        <v>7041.28</v>
      </c>
      <c r="F439">
        <v>28</v>
      </c>
      <c r="G439" t="s">
        <v>23</v>
      </c>
      <c r="H439">
        <v>2564.35</v>
      </c>
      <c r="I439">
        <v>2765.79</v>
      </c>
      <c r="J439" t="s">
        <v>16</v>
      </c>
      <c r="K439">
        <v>0.17</v>
      </c>
      <c r="L439" t="s">
        <v>27</v>
      </c>
      <c r="M439" t="s">
        <v>18</v>
      </c>
    </row>
    <row r="440" spans="1:13" x14ac:dyDescent="0.25">
      <c r="A440">
        <v>1051</v>
      </c>
      <c r="B440" s="1">
        <v>45048</v>
      </c>
      <c r="C440" t="s">
        <v>32</v>
      </c>
      <c r="D440" t="s">
        <v>14</v>
      </c>
      <c r="E440">
        <v>6833.11</v>
      </c>
      <c r="F440">
        <v>34</v>
      </c>
      <c r="G440" t="s">
        <v>15</v>
      </c>
      <c r="H440">
        <v>3764.14</v>
      </c>
      <c r="I440">
        <v>4100.3999999999996</v>
      </c>
      <c r="J440" t="s">
        <v>16</v>
      </c>
      <c r="K440">
        <v>0.05</v>
      </c>
      <c r="L440" t="s">
        <v>24</v>
      </c>
      <c r="M440" t="s">
        <v>20</v>
      </c>
    </row>
    <row r="441" spans="1:13" x14ac:dyDescent="0.25">
      <c r="A441">
        <v>1025</v>
      </c>
      <c r="B441" s="1">
        <v>44972</v>
      </c>
      <c r="C441" t="s">
        <v>21</v>
      </c>
      <c r="D441" t="s">
        <v>22</v>
      </c>
      <c r="E441">
        <v>4140.7</v>
      </c>
      <c r="F441">
        <v>45</v>
      </c>
      <c r="G441" t="s">
        <v>25</v>
      </c>
      <c r="H441">
        <v>1588.04</v>
      </c>
      <c r="I441">
        <v>1703.6399999999901</v>
      </c>
      <c r="J441" t="s">
        <v>26</v>
      </c>
      <c r="K441">
        <v>0.2</v>
      </c>
      <c r="L441" t="s">
        <v>24</v>
      </c>
      <c r="M441" t="s">
        <v>20</v>
      </c>
    </row>
    <row r="442" spans="1:13" x14ac:dyDescent="0.25">
      <c r="A442">
        <v>1058</v>
      </c>
      <c r="B442" s="1">
        <v>44990</v>
      </c>
      <c r="C442" t="s">
        <v>31</v>
      </c>
      <c r="D442" t="s">
        <v>14</v>
      </c>
      <c r="E442">
        <v>252.41</v>
      </c>
      <c r="F442">
        <v>48</v>
      </c>
      <c r="G442" t="s">
        <v>15</v>
      </c>
      <c r="H442">
        <v>2596.7199999999998</v>
      </c>
      <c r="I442">
        <v>2715.0499999999902</v>
      </c>
      <c r="J442" t="s">
        <v>16</v>
      </c>
      <c r="K442">
        <v>0.04</v>
      </c>
      <c r="L442" t="s">
        <v>17</v>
      </c>
      <c r="M442" t="s">
        <v>18</v>
      </c>
    </row>
    <row r="443" spans="1:13" x14ac:dyDescent="0.25">
      <c r="A443">
        <v>1063</v>
      </c>
      <c r="B443" s="1">
        <v>45056</v>
      </c>
      <c r="C443" t="s">
        <v>21</v>
      </c>
      <c r="D443" t="s">
        <v>29</v>
      </c>
      <c r="E443">
        <v>5870.97</v>
      </c>
      <c r="F443">
        <v>47</v>
      </c>
      <c r="G443" t="s">
        <v>30</v>
      </c>
      <c r="H443">
        <v>4291.33</v>
      </c>
      <c r="I443">
        <v>4658.6400000000003</v>
      </c>
      <c r="J443" t="s">
        <v>26</v>
      </c>
      <c r="K443">
        <v>0.24</v>
      </c>
      <c r="L443" t="s">
        <v>27</v>
      </c>
      <c r="M443" t="s">
        <v>20</v>
      </c>
    </row>
    <row r="444" spans="1:13" x14ac:dyDescent="0.25">
      <c r="A444">
        <v>1062</v>
      </c>
      <c r="B444" s="1">
        <v>45236</v>
      </c>
      <c r="C444" t="s">
        <v>21</v>
      </c>
      <c r="D444" t="s">
        <v>29</v>
      </c>
      <c r="E444">
        <v>2605.71</v>
      </c>
      <c r="F444">
        <v>25</v>
      </c>
      <c r="G444" t="s">
        <v>23</v>
      </c>
      <c r="H444">
        <v>2361.0500000000002</v>
      </c>
      <c r="I444">
        <v>2616.19</v>
      </c>
      <c r="J444" t="s">
        <v>26</v>
      </c>
      <c r="K444">
        <v>0.3</v>
      </c>
      <c r="L444" t="s">
        <v>24</v>
      </c>
      <c r="M444" t="s">
        <v>20</v>
      </c>
    </row>
    <row r="445" spans="1:13" x14ac:dyDescent="0.25">
      <c r="A445">
        <v>1022</v>
      </c>
      <c r="B445" s="1">
        <v>45289</v>
      </c>
      <c r="C445" t="s">
        <v>21</v>
      </c>
      <c r="D445" t="s">
        <v>14</v>
      </c>
      <c r="E445">
        <v>4557.5200000000004</v>
      </c>
      <c r="F445">
        <v>10</v>
      </c>
      <c r="G445" t="s">
        <v>15</v>
      </c>
      <c r="H445">
        <v>1830.61</v>
      </c>
      <c r="I445">
        <v>2044.04</v>
      </c>
      <c r="J445" t="s">
        <v>26</v>
      </c>
      <c r="K445">
        <v>0.11</v>
      </c>
      <c r="L445" t="s">
        <v>17</v>
      </c>
      <c r="M445" t="s">
        <v>18</v>
      </c>
    </row>
    <row r="446" spans="1:13" x14ac:dyDescent="0.25">
      <c r="A446">
        <v>1058</v>
      </c>
      <c r="B446" s="1">
        <v>45119</v>
      </c>
      <c r="C446" t="s">
        <v>31</v>
      </c>
      <c r="D446" t="s">
        <v>29</v>
      </c>
      <c r="E446">
        <v>9580.0499999999993</v>
      </c>
      <c r="F446">
        <v>14</v>
      </c>
      <c r="G446" t="s">
        <v>30</v>
      </c>
      <c r="H446">
        <v>2703.97</v>
      </c>
      <c r="I446">
        <v>2796.8799999999901</v>
      </c>
      <c r="J446" t="s">
        <v>26</v>
      </c>
      <c r="K446">
        <v>0.13</v>
      </c>
      <c r="L446" t="s">
        <v>24</v>
      </c>
      <c r="M446" t="s">
        <v>18</v>
      </c>
    </row>
    <row r="447" spans="1:13" x14ac:dyDescent="0.25">
      <c r="A447">
        <v>1058</v>
      </c>
      <c r="B447" s="1">
        <v>45233</v>
      </c>
      <c r="C447" t="s">
        <v>21</v>
      </c>
      <c r="D447" t="s">
        <v>19</v>
      </c>
      <c r="E447">
        <v>4050.45</v>
      </c>
      <c r="F447">
        <v>42</v>
      </c>
      <c r="G447" t="s">
        <v>25</v>
      </c>
      <c r="H447">
        <v>3600.95</v>
      </c>
      <c r="I447">
        <v>3702.8399999999901</v>
      </c>
      <c r="J447" t="s">
        <v>16</v>
      </c>
      <c r="K447">
        <v>0.01</v>
      </c>
      <c r="L447" t="s">
        <v>17</v>
      </c>
      <c r="M447" t="s">
        <v>20</v>
      </c>
    </row>
    <row r="448" spans="1:13" x14ac:dyDescent="0.25">
      <c r="A448">
        <v>1086</v>
      </c>
      <c r="B448" s="1">
        <v>45107</v>
      </c>
      <c r="C448" t="s">
        <v>13</v>
      </c>
      <c r="D448" t="s">
        <v>14</v>
      </c>
      <c r="E448">
        <v>8414.0400000000009</v>
      </c>
      <c r="F448">
        <v>46</v>
      </c>
      <c r="G448" t="s">
        <v>25</v>
      </c>
      <c r="H448">
        <v>2245.64</v>
      </c>
      <c r="I448">
        <v>2260.81</v>
      </c>
      <c r="J448" t="s">
        <v>26</v>
      </c>
      <c r="K448">
        <v>0</v>
      </c>
      <c r="L448" t="s">
        <v>17</v>
      </c>
      <c r="M448" t="s">
        <v>20</v>
      </c>
    </row>
    <row r="449" spans="1:13" x14ac:dyDescent="0.25">
      <c r="A449">
        <v>1049</v>
      </c>
      <c r="B449" s="1">
        <v>45218</v>
      </c>
      <c r="C449" t="s">
        <v>31</v>
      </c>
      <c r="D449" t="s">
        <v>22</v>
      </c>
      <c r="E449">
        <v>1966.55</v>
      </c>
      <c r="F449">
        <v>30</v>
      </c>
      <c r="G449" t="s">
        <v>25</v>
      </c>
      <c r="H449">
        <v>4697.4399999999996</v>
      </c>
      <c r="I449">
        <v>4752.24</v>
      </c>
      <c r="J449" t="s">
        <v>26</v>
      </c>
      <c r="K449">
        <v>0.28000000000000003</v>
      </c>
      <c r="L449" t="s">
        <v>27</v>
      </c>
      <c r="M449" t="s">
        <v>18</v>
      </c>
    </row>
    <row r="450" spans="1:13" x14ac:dyDescent="0.25">
      <c r="A450">
        <v>1052</v>
      </c>
      <c r="B450" s="1">
        <v>45208</v>
      </c>
      <c r="C450" t="s">
        <v>21</v>
      </c>
      <c r="D450" t="s">
        <v>19</v>
      </c>
      <c r="E450">
        <v>6757.36</v>
      </c>
      <c r="F450">
        <v>41</v>
      </c>
      <c r="G450" t="s">
        <v>30</v>
      </c>
      <c r="H450">
        <v>1509.98</v>
      </c>
      <c r="I450">
        <v>1792.83</v>
      </c>
      <c r="J450" t="s">
        <v>26</v>
      </c>
      <c r="K450">
        <v>0.04</v>
      </c>
      <c r="L450" t="s">
        <v>17</v>
      </c>
      <c r="M450" t="s">
        <v>20</v>
      </c>
    </row>
    <row r="451" spans="1:13" x14ac:dyDescent="0.25">
      <c r="A451">
        <v>1042</v>
      </c>
      <c r="B451" s="1">
        <v>44955</v>
      </c>
      <c r="C451" t="s">
        <v>31</v>
      </c>
      <c r="D451" t="s">
        <v>14</v>
      </c>
      <c r="E451">
        <v>9772.3700000000008</v>
      </c>
      <c r="F451">
        <v>25</v>
      </c>
      <c r="G451" t="s">
        <v>23</v>
      </c>
      <c r="H451">
        <v>2403.54</v>
      </c>
      <c r="I451">
        <v>2850.56</v>
      </c>
      <c r="J451" t="s">
        <v>26</v>
      </c>
      <c r="K451">
        <v>0.13</v>
      </c>
      <c r="L451" t="s">
        <v>24</v>
      </c>
      <c r="M451" t="s">
        <v>18</v>
      </c>
    </row>
    <row r="452" spans="1:13" x14ac:dyDescent="0.25">
      <c r="A452">
        <v>1070</v>
      </c>
      <c r="B452" s="1">
        <v>45075</v>
      </c>
      <c r="C452" t="s">
        <v>28</v>
      </c>
      <c r="D452" t="s">
        <v>22</v>
      </c>
      <c r="E452">
        <v>1108.74</v>
      </c>
      <c r="F452">
        <v>14</v>
      </c>
      <c r="G452" t="s">
        <v>15</v>
      </c>
      <c r="H452">
        <v>3796.79</v>
      </c>
      <c r="I452">
        <v>3947.5</v>
      </c>
      <c r="J452" t="s">
        <v>16</v>
      </c>
      <c r="K452">
        <v>0.24</v>
      </c>
      <c r="L452" t="s">
        <v>24</v>
      </c>
      <c r="M452" t="s">
        <v>18</v>
      </c>
    </row>
    <row r="453" spans="1:13" x14ac:dyDescent="0.25">
      <c r="A453">
        <v>1015</v>
      </c>
      <c r="B453" s="1">
        <v>45193</v>
      </c>
      <c r="C453" t="s">
        <v>13</v>
      </c>
      <c r="D453" t="s">
        <v>29</v>
      </c>
      <c r="E453">
        <v>182.37</v>
      </c>
      <c r="F453">
        <v>35</v>
      </c>
      <c r="G453" t="s">
        <v>25</v>
      </c>
      <c r="H453">
        <v>3461.15</v>
      </c>
      <c r="I453">
        <v>3631.75</v>
      </c>
      <c r="J453" t="s">
        <v>16</v>
      </c>
      <c r="K453">
        <v>0.27</v>
      </c>
      <c r="L453" t="s">
        <v>27</v>
      </c>
      <c r="M453" t="s">
        <v>18</v>
      </c>
    </row>
    <row r="454" spans="1:13" x14ac:dyDescent="0.25">
      <c r="A454">
        <v>1054</v>
      </c>
      <c r="B454" s="1">
        <v>45222</v>
      </c>
      <c r="C454" t="s">
        <v>21</v>
      </c>
      <c r="D454" t="s">
        <v>22</v>
      </c>
      <c r="E454">
        <v>4392.47</v>
      </c>
      <c r="F454">
        <v>48</v>
      </c>
      <c r="G454" t="s">
        <v>30</v>
      </c>
      <c r="H454">
        <v>4325.0200000000004</v>
      </c>
      <c r="I454">
        <v>4391.67</v>
      </c>
      <c r="J454" t="s">
        <v>16</v>
      </c>
      <c r="K454">
        <v>0.16</v>
      </c>
      <c r="L454" t="s">
        <v>27</v>
      </c>
      <c r="M454" t="s">
        <v>20</v>
      </c>
    </row>
    <row r="455" spans="1:13" x14ac:dyDescent="0.25">
      <c r="A455">
        <v>1060</v>
      </c>
      <c r="B455" s="1">
        <v>44937</v>
      </c>
      <c r="C455" t="s">
        <v>28</v>
      </c>
      <c r="D455" t="s">
        <v>19</v>
      </c>
      <c r="E455">
        <v>1016.99</v>
      </c>
      <c r="F455">
        <v>34</v>
      </c>
      <c r="G455" t="s">
        <v>30</v>
      </c>
      <c r="H455">
        <v>4984.21</v>
      </c>
      <c r="I455">
        <v>5184.6400000000003</v>
      </c>
      <c r="J455" t="s">
        <v>26</v>
      </c>
      <c r="K455">
        <v>0.17</v>
      </c>
      <c r="L455" t="s">
        <v>17</v>
      </c>
      <c r="M455" t="s">
        <v>18</v>
      </c>
    </row>
    <row r="456" spans="1:13" x14ac:dyDescent="0.25">
      <c r="A456">
        <v>1097</v>
      </c>
      <c r="B456" s="1">
        <v>45090</v>
      </c>
      <c r="C456" t="s">
        <v>28</v>
      </c>
      <c r="D456" t="s">
        <v>29</v>
      </c>
      <c r="E456">
        <v>7509.01</v>
      </c>
      <c r="F456">
        <v>10</v>
      </c>
      <c r="G456" t="s">
        <v>15</v>
      </c>
      <c r="H456">
        <v>2162.9499999999998</v>
      </c>
      <c r="I456">
        <v>2191.1899999999901</v>
      </c>
      <c r="J456" t="s">
        <v>16</v>
      </c>
      <c r="K456">
        <v>0.2</v>
      </c>
      <c r="L456" t="s">
        <v>27</v>
      </c>
      <c r="M456" t="s">
        <v>18</v>
      </c>
    </row>
    <row r="457" spans="1:13" x14ac:dyDescent="0.25">
      <c r="A457">
        <v>1008</v>
      </c>
      <c r="B457" s="1">
        <v>45039</v>
      </c>
      <c r="C457" t="s">
        <v>31</v>
      </c>
      <c r="D457" t="s">
        <v>14</v>
      </c>
      <c r="E457">
        <v>9154.0300000000007</v>
      </c>
      <c r="F457">
        <v>35</v>
      </c>
      <c r="G457" t="s">
        <v>25</v>
      </c>
      <c r="H457">
        <v>600.20000000000005</v>
      </c>
      <c r="I457">
        <v>1059.82</v>
      </c>
      <c r="J457" t="s">
        <v>16</v>
      </c>
      <c r="K457">
        <v>0.28999999999999998</v>
      </c>
      <c r="L457" t="s">
        <v>24</v>
      </c>
      <c r="M457" t="s">
        <v>20</v>
      </c>
    </row>
    <row r="458" spans="1:13" x14ac:dyDescent="0.25">
      <c r="A458">
        <v>1053</v>
      </c>
      <c r="B458" s="1">
        <v>45113</v>
      </c>
      <c r="C458" t="s">
        <v>28</v>
      </c>
      <c r="D458" t="s">
        <v>29</v>
      </c>
      <c r="E458">
        <v>4396.8100000000004</v>
      </c>
      <c r="F458">
        <v>11</v>
      </c>
      <c r="G458" t="s">
        <v>30</v>
      </c>
      <c r="H458">
        <v>200.56</v>
      </c>
      <c r="I458">
        <v>540.38</v>
      </c>
      <c r="J458" t="s">
        <v>26</v>
      </c>
      <c r="K458">
        <v>0.18</v>
      </c>
      <c r="L458" t="s">
        <v>24</v>
      </c>
      <c r="M458" t="s">
        <v>18</v>
      </c>
    </row>
    <row r="459" spans="1:13" x14ac:dyDescent="0.25">
      <c r="A459">
        <v>1060</v>
      </c>
      <c r="B459" s="1">
        <v>45221</v>
      </c>
      <c r="C459" t="s">
        <v>13</v>
      </c>
      <c r="D459" t="s">
        <v>14</v>
      </c>
      <c r="E459">
        <v>2661.25</v>
      </c>
      <c r="F459">
        <v>11</v>
      </c>
      <c r="G459" t="s">
        <v>15</v>
      </c>
      <c r="H459">
        <v>3648.04</v>
      </c>
      <c r="I459">
        <v>4143.51</v>
      </c>
      <c r="J459" t="s">
        <v>16</v>
      </c>
      <c r="K459">
        <v>0.17</v>
      </c>
      <c r="L459" t="s">
        <v>27</v>
      </c>
      <c r="M459" t="s">
        <v>20</v>
      </c>
    </row>
    <row r="460" spans="1:13" x14ac:dyDescent="0.25">
      <c r="A460">
        <v>1005</v>
      </c>
      <c r="B460" s="1">
        <v>45158</v>
      </c>
      <c r="C460" t="s">
        <v>13</v>
      </c>
      <c r="D460" t="s">
        <v>14</v>
      </c>
      <c r="E460">
        <v>4400.59</v>
      </c>
      <c r="F460">
        <v>21</v>
      </c>
      <c r="G460" t="s">
        <v>23</v>
      </c>
      <c r="H460">
        <v>4376.37</v>
      </c>
      <c r="I460">
        <v>4818.95</v>
      </c>
      <c r="J460" t="s">
        <v>26</v>
      </c>
      <c r="K460">
        <v>0</v>
      </c>
      <c r="L460" t="s">
        <v>27</v>
      </c>
      <c r="M460" t="s">
        <v>20</v>
      </c>
    </row>
    <row r="461" spans="1:13" x14ac:dyDescent="0.25">
      <c r="A461">
        <v>1068</v>
      </c>
      <c r="B461" s="1">
        <v>45153</v>
      </c>
      <c r="C461" t="s">
        <v>32</v>
      </c>
      <c r="D461" t="s">
        <v>22</v>
      </c>
      <c r="E461">
        <v>7262.13</v>
      </c>
      <c r="F461">
        <v>21</v>
      </c>
      <c r="G461" t="s">
        <v>23</v>
      </c>
      <c r="H461">
        <v>1142.53</v>
      </c>
      <c r="I461">
        <v>1384.3</v>
      </c>
      <c r="J461" t="s">
        <v>16</v>
      </c>
      <c r="K461">
        <v>0.02</v>
      </c>
      <c r="L461" t="s">
        <v>27</v>
      </c>
      <c r="M461" t="s">
        <v>20</v>
      </c>
    </row>
    <row r="462" spans="1:13" x14ac:dyDescent="0.25">
      <c r="A462">
        <v>1006</v>
      </c>
      <c r="B462" s="1">
        <v>45236</v>
      </c>
      <c r="C462" t="s">
        <v>13</v>
      </c>
      <c r="D462" t="s">
        <v>22</v>
      </c>
      <c r="E462">
        <v>189.64</v>
      </c>
      <c r="F462">
        <v>22</v>
      </c>
      <c r="G462" t="s">
        <v>23</v>
      </c>
      <c r="H462">
        <v>834.32</v>
      </c>
      <c r="I462">
        <v>1098.97</v>
      </c>
      <c r="J462" t="s">
        <v>16</v>
      </c>
      <c r="K462">
        <v>0.17</v>
      </c>
      <c r="L462" t="s">
        <v>17</v>
      </c>
      <c r="M462" t="s">
        <v>18</v>
      </c>
    </row>
    <row r="463" spans="1:13" x14ac:dyDescent="0.25">
      <c r="A463">
        <v>1096</v>
      </c>
      <c r="B463" s="1">
        <v>45024</v>
      </c>
      <c r="C463" t="s">
        <v>28</v>
      </c>
      <c r="D463" t="s">
        <v>22</v>
      </c>
      <c r="E463">
        <v>5935.59</v>
      </c>
      <c r="F463">
        <v>45</v>
      </c>
      <c r="G463" t="s">
        <v>25</v>
      </c>
      <c r="H463">
        <v>357.92</v>
      </c>
      <c r="I463">
        <v>461.3</v>
      </c>
      <c r="J463" t="s">
        <v>16</v>
      </c>
      <c r="K463">
        <v>0.28000000000000003</v>
      </c>
      <c r="L463" t="s">
        <v>17</v>
      </c>
      <c r="M463" t="s">
        <v>18</v>
      </c>
    </row>
    <row r="464" spans="1:13" x14ac:dyDescent="0.25">
      <c r="A464">
        <v>1094</v>
      </c>
      <c r="B464" s="1">
        <v>44981</v>
      </c>
      <c r="C464" t="s">
        <v>13</v>
      </c>
      <c r="D464" t="s">
        <v>19</v>
      </c>
      <c r="E464">
        <v>6171.59</v>
      </c>
      <c r="F464">
        <v>7</v>
      </c>
      <c r="G464" t="s">
        <v>15</v>
      </c>
      <c r="H464">
        <v>4122.38</v>
      </c>
      <c r="I464">
        <v>4358.78</v>
      </c>
      <c r="J464" t="s">
        <v>16</v>
      </c>
      <c r="K464">
        <v>0.26</v>
      </c>
      <c r="L464" t="s">
        <v>24</v>
      </c>
      <c r="M464" t="s">
        <v>20</v>
      </c>
    </row>
    <row r="465" spans="1:13" x14ac:dyDescent="0.25">
      <c r="A465">
        <v>1047</v>
      </c>
      <c r="B465" s="1">
        <v>45037</v>
      </c>
      <c r="C465" t="s">
        <v>31</v>
      </c>
      <c r="D465" t="s">
        <v>19</v>
      </c>
      <c r="E465">
        <v>6413.11</v>
      </c>
      <c r="F465">
        <v>17</v>
      </c>
      <c r="G465" t="s">
        <v>15</v>
      </c>
      <c r="H465">
        <v>1591.34</v>
      </c>
      <c r="I465">
        <v>2043.82</v>
      </c>
      <c r="J465" t="s">
        <v>26</v>
      </c>
      <c r="K465">
        <v>0.28999999999999998</v>
      </c>
      <c r="L465" t="s">
        <v>17</v>
      </c>
      <c r="M465" t="s">
        <v>20</v>
      </c>
    </row>
    <row r="466" spans="1:13" x14ac:dyDescent="0.25">
      <c r="A466">
        <v>1099</v>
      </c>
      <c r="B466" s="1">
        <v>45078</v>
      </c>
      <c r="C466" t="s">
        <v>32</v>
      </c>
      <c r="D466" t="s">
        <v>22</v>
      </c>
      <c r="E466">
        <v>2496.02</v>
      </c>
      <c r="F466">
        <v>2</v>
      </c>
      <c r="G466" t="s">
        <v>30</v>
      </c>
      <c r="H466">
        <v>2038.4</v>
      </c>
      <c r="I466">
        <v>2073.3200000000002</v>
      </c>
      <c r="J466" t="s">
        <v>26</v>
      </c>
      <c r="K466">
        <v>0.16</v>
      </c>
      <c r="L466" t="s">
        <v>17</v>
      </c>
      <c r="M466" t="s">
        <v>20</v>
      </c>
    </row>
    <row r="467" spans="1:13" x14ac:dyDescent="0.25">
      <c r="A467">
        <v>1055</v>
      </c>
      <c r="B467" s="1">
        <v>45172</v>
      </c>
      <c r="C467" t="s">
        <v>28</v>
      </c>
      <c r="D467" t="s">
        <v>19</v>
      </c>
      <c r="E467">
        <v>7169.12</v>
      </c>
      <c r="F467">
        <v>12</v>
      </c>
      <c r="G467" t="s">
        <v>30</v>
      </c>
      <c r="H467">
        <v>2538.61</v>
      </c>
      <c r="I467">
        <v>2971.75</v>
      </c>
      <c r="J467" t="s">
        <v>16</v>
      </c>
      <c r="K467">
        <v>0.24</v>
      </c>
      <c r="L467" t="s">
        <v>17</v>
      </c>
      <c r="M467" t="s">
        <v>18</v>
      </c>
    </row>
    <row r="468" spans="1:13" x14ac:dyDescent="0.25">
      <c r="A468">
        <v>1040</v>
      </c>
      <c r="B468" s="1">
        <v>44995</v>
      </c>
      <c r="C468" t="s">
        <v>32</v>
      </c>
      <c r="D468" t="s">
        <v>29</v>
      </c>
      <c r="E468">
        <v>1004.78</v>
      </c>
      <c r="F468">
        <v>42</v>
      </c>
      <c r="G468" t="s">
        <v>30</v>
      </c>
      <c r="H468">
        <v>4205.29</v>
      </c>
      <c r="I468">
        <v>4382.3500000000004</v>
      </c>
      <c r="J468" t="s">
        <v>26</v>
      </c>
      <c r="K468">
        <v>0.25</v>
      </c>
      <c r="L468" t="s">
        <v>17</v>
      </c>
      <c r="M468" t="s">
        <v>20</v>
      </c>
    </row>
    <row r="469" spans="1:13" x14ac:dyDescent="0.25">
      <c r="A469">
        <v>1052</v>
      </c>
      <c r="B469" s="1">
        <v>45238</v>
      </c>
      <c r="C469" t="s">
        <v>28</v>
      </c>
      <c r="D469" t="s">
        <v>29</v>
      </c>
      <c r="E469">
        <v>2072.7800000000002</v>
      </c>
      <c r="F469">
        <v>18</v>
      </c>
      <c r="G469" t="s">
        <v>15</v>
      </c>
      <c r="H469">
        <v>3271.62</v>
      </c>
      <c r="I469">
        <v>3722.38</v>
      </c>
      <c r="J469" t="s">
        <v>16</v>
      </c>
      <c r="K469">
        <v>0.19</v>
      </c>
      <c r="L469" t="s">
        <v>24</v>
      </c>
      <c r="M469" t="s">
        <v>20</v>
      </c>
    </row>
    <row r="470" spans="1:13" x14ac:dyDescent="0.25">
      <c r="A470">
        <v>1016</v>
      </c>
      <c r="B470" s="1">
        <v>45215</v>
      </c>
      <c r="C470" t="s">
        <v>31</v>
      </c>
      <c r="D470" t="s">
        <v>19</v>
      </c>
      <c r="E470">
        <v>8786.9500000000007</v>
      </c>
      <c r="F470">
        <v>11</v>
      </c>
      <c r="G470" t="s">
        <v>30</v>
      </c>
      <c r="H470">
        <v>3094.57</v>
      </c>
      <c r="I470">
        <v>3565.6</v>
      </c>
      <c r="J470" t="s">
        <v>16</v>
      </c>
      <c r="K470">
        <v>0.1</v>
      </c>
      <c r="L470" t="s">
        <v>27</v>
      </c>
      <c r="M470" t="s">
        <v>20</v>
      </c>
    </row>
    <row r="471" spans="1:13" x14ac:dyDescent="0.25">
      <c r="A471">
        <v>1013</v>
      </c>
      <c r="B471" s="1">
        <v>45176</v>
      </c>
      <c r="C471" t="s">
        <v>32</v>
      </c>
      <c r="D471" t="s">
        <v>19</v>
      </c>
      <c r="E471">
        <v>7413.36</v>
      </c>
      <c r="F471">
        <v>16</v>
      </c>
      <c r="G471" t="s">
        <v>15</v>
      </c>
      <c r="H471">
        <v>919.58</v>
      </c>
      <c r="I471">
        <v>1258.3</v>
      </c>
      <c r="J471" t="s">
        <v>16</v>
      </c>
      <c r="K471">
        <v>0.14000000000000001</v>
      </c>
      <c r="L471" t="s">
        <v>24</v>
      </c>
      <c r="M471" t="s">
        <v>18</v>
      </c>
    </row>
    <row r="472" spans="1:13" x14ac:dyDescent="0.25">
      <c r="A472">
        <v>1030</v>
      </c>
      <c r="B472" s="1">
        <v>44962</v>
      </c>
      <c r="C472" t="s">
        <v>21</v>
      </c>
      <c r="D472" t="s">
        <v>29</v>
      </c>
      <c r="E472">
        <v>236.08</v>
      </c>
      <c r="F472">
        <v>49</v>
      </c>
      <c r="G472" t="s">
        <v>15</v>
      </c>
      <c r="H472">
        <v>2590.29</v>
      </c>
      <c r="I472">
        <v>2925.86</v>
      </c>
      <c r="J472" t="s">
        <v>16</v>
      </c>
      <c r="K472">
        <v>0.26</v>
      </c>
      <c r="L472" t="s">
        <v>17</v>
      </c>
      <c r="M472" t="s">
        <v>20</v>
      </c>
    </row>
    <row r="473" spans="1:13" x14ac:dyDescent="0.25">
      <c r="A473">
        <v>1019</v>
      </c>
      <c r="B473" s="1">
        <v>45165</v>
      </c>
      <c r="C473" t="s">
        <v>28</v>
      </c>
      <c r="D473" t="s">
        <v>14</v>
      </c>
      <c r="E473">
        <v>2558.92</v>
      </c>
      <c r="F473">
        <v>18</v>
      </c>
      <c r="G473" t="s">
        <v>23</v>
      </c>
      <c r="H473">
        <v>3591.14</v>
      </c>
      <c r="I473">
        <v>3822.99</v>
      </c>
      <c r="J473" t="s">
        <v>16</v>
      </c>
      <c r="K473">
        <v>0.09</v>
      </c>
      <c r="L473" t="s">
        <v>27</v>
      </c>
      <c r="M473" t="s">
        <v>18</v>
      </c>
    </row>
    <row r="474" spans="1:13" x14ac:dyDescent="0.25">
      <c r="A474">
        <v>1017</v>
      </c>
      <c r="B474" s="1">
        <v>45074</v>
      </c>
      <c r="C474" t="s">
        <v>21</v>
      </c>
      <c r="D474" t="s">
        <v>29</v>
      </c>
      <c r="E474">
        <v>2222.62</v>
      </c>
      <c r="F474">
        <v>35</v>
      </c>
      <c r="G474" t="s">
        <v>30</v>
      </c>
      <c r="H474">
        <v>4867.6400000000003</v>
      </c>
      <c r="I474">
        <v>5287.05</v>
      </c>
      <c r="J474" t="s">
        <v>16</v>
      </c>
      <c r="K474">
        <v>0.28000000000000003</v>
      </c>
      <c r="L474" t="s">
        <v>27</v>
      </c>
      <c r="M474" t="s">
        <v>18</v>
      </c>
    </row>
    <row r="475" spans="1:13" x14ac:dyDescent="0.25">
      <c r="A475">
        <v>1063</v>
      </c>
      <c r="B475" s="1">
        <v>45153</v>
      </c>
      <c r="C475" t="s">
        <v>32</v>
      </c>
      <c r="D475" t="s">
        <v>29</v>
      </c>
      <c r="E475">
        <v>2780.98</v>
      </c>
      <c r="F475">
        <v>26</v>
      </c>
      <c r="G475" t="s">
        <v>23</v>
      </c>
      <c r="H475">
        <v>1046.96</v>
      </c>
      <c r="I475">
        <v>1528.15</v>
      </c>
      <c r="J475" t="s">
        <v>26</v>
      </c>
      <c r="K475">
        <v>7.0000000000000007E-2</v>
      </c>
      <c r="L475" t="s">
        <v>27</v>
      </c>
      <c r="M475" t="s">
        <v>20</v>
      </c>
    </row>
    <row r="476" spans="1:13" x14ac:dyDescent="0.25">
      <c r="A476">
        <v>1019</v>
      </c>
      <c r="B476" s="1">
        <v>45170</v>
      </c>
      <c r="C476" t="s">
        <v>21</v>
      </c>
      <c r="D476" t="s">
        <v>19</v>
      </c>
      <c r="E476">
        <v>2550.84</v>
      </c>
      <c r="F476">
        <v>16</v>
      </c>
      <c r="G476" t="s">
        <v>25</v>
      </c>
      <c r="H476">
        <v>97.24</v>
      </c>
      <c r="I476">
        <v>487.03</v>
      </c>
      <c r="J476" t="s">
        <v>26</v>
      </c>
      <c r="K476">
        <v>0.22</v>
      </c>
      <c r="L476" t="s">
        <v>24</v>
      </c>
      <c r="M476" t="s">
        <v>20</v>
      </c>
    </row>
    <row r="477" spans="1:13" x14ac:dyDescent="0.25">
      <c r="A477">
        <v>1092</v>
      </c>
      <c r="B477" s="1">
        <v>45263</v>
      </c>
      <c r="C477" t="s">
        <v>21</v>
      </c>
      <c r="D477" t="s">
        <v>29</v>
      </c>
      <c r="E477">
        <v>719.01</v>
      </c>
      <c r="F477">
        <v>6</v>
      </c>
      <c r="G477" t="s">
        <v>25</v>
      </c>
      <c r="H477">
        <v>422.74</v>
      </c>
      <c r="I477">
        <v>737.49</v>
      </c>
      <c r="J477" t="s">
        <v>16</v>
      </c>
      <c r="K477">
        <v>0.19</v>
      </c>
      <c r="L477" t="s">
        <v>27</v>
      </c>
      <c r="M477" t="s">
        <v>20</v>
      </c>
    </row>
    <row r="478" spans="1:13" x14ac:dyDescent="0.25">
      <c r="A478">
        <v>1058</v>
      </c>
      <c r="B478" s="1">
        <v>45291</v>
      </c>
      <c r="C478" t="s">
        <v>32</v>
      </c>
      <c r="D478" t="s">
        <v>19</v>
      </c>
      <c r="E478">
        <v>4643.51</v>
      </c>
      <c r="F478">
        <v>44</v>
      </c>
      <c r="G478" t="s">
        <v>25</v>
      </c>
      <c r="H478">
        <v>1910.47</v>
      </c>
      <c r="I478">
        <v>2217.8000000000002</v>
      </c>
      <c r="J478" t="s">
        <v>26</v>
      </c>
      <c r="K478">
        <v>0.22</v>
      </c>
      <c r="L478" t="s">
        <v>24</v>
      </c>
      <c r="M478" t="s">
        <v>18</v>
      </c>
    </row>
    <row r="479" spans="1:13" x14ac:dyDescent="0.25">
      <c r="A479">
        <v>1055</v>
      </c>
      <c r="B479" s="1">
        <v>45127</v>
      </c>
      <c r="C479" t="s">
        <v>31</v>
      </c>
      <c r="D479" t="s">
        <v>19</v>
      </c>
      <c r="E479">
        <v>7354.06</v>
      </c>
      <c r="F479">
        <v>43</v>
      </c>
      <c r="G479" t="s">
        <v>15</v>
      </c>
      <c r="H479">
        <v>4111.7</v>
      </c>
      <c r="I479">
        <v>4537.9399999999996</v>
      </c>
      <c r="J479" t="s">
        <v>16</v>
      </c>
      <c r="K479">
        <v>0.13</v>
      </c>
      <c r="L479" t="s">
        <v>24</v>
      </c>
      <c r="M479" t="s">
        <v>18</v>
      </c>
    </row>
    <row r="480" spans="1:13" x14ac:dyDescent="0.25">
      <c r="A480">
        <v>1090</v>
      </c>
      <c r="B480" s="1">
        <v>45080</v>
      </c>
      <c r="C480" t="s">
        <v>21</v>
      </c>
      <c r="D480" t="s">
        <v>22</v>
      </c>
      <c r="E480">
        <v>6106.64</v>
      </c>
      <c r="F480">
        <v>47</v>
      </c>
      <c r="G480" t="s">
        <v>15</v>
      </c>
      <c r="H480">
        <v>85.35</v>
      </c>
      <c r="I480">
        <v>360.539999999999</v>
      </c>
      <c r="J480" t="s">
        <v>26</v>
      </c>
      <c r="K480">
        <v>0.28000000000000003</v>
      </c>
      <c r="L480" t="s">
        <v>17</v>
      </c>
      <c r="M480" t="s">
        <v>18</v>
      </c>
    </row>
    <row r="481" spans="1:13" x14ac:dyDescent="0.25">
      <c r="A481">
        <v>1090</v>
      </c>
      <c r="B481" s="1">
        <v>44999</v>
      </c>
      <c r="C481" t="s">
        <v>21</v>
      </c>
      <c r="D481" t="s">
        <v>29</v>
      </c>
      <c r="E481">
        <v>6761.43</v>
      </c>
      <c r="F481">
        <v>47</v>
      </c>
      <c r="G481" t="s">
        <v>15</v>
      </c>
      <c r="H481">
        <v>2310.8200000000002</v>
      </c>
      <c r="I481">
        <v>2714.71</v>
      </c>
      <c r="J481" t="s">
        <v>26</v>
      </c>
      <c r="K481">
        <v>0.19</v>
      </c>
      <c r="L481" t="s">
        <v>17</v>
      </c>
      <c r="M481" t="s">
        <v>20</v>
      </c>
    </row>
    <row r="482" spans="1:13" x14ac:dyDescent="0.25">
      <c r="A482">
        <v>1062</v>
      </c>
      <c r="B482" s="1">
        <v>45127</v>
      </c>
      <c r="C482" t="s">
        <v>31</v>
      </c>
      <c r="D482" t="s">
        <v>14</v>
      </c>
      <c r="E482">
        <v>903.38</v>
      </c>
      <c r="F482">
        <v>48</v>
      </c>
      <c r="G482" t="s">
        <v>30</v>
      </c>
      <c r="H482">
        <v>1679.69</v>
      </c>
      <c r="I482">
        <v>1939.04</v>
      </c>
      <c r="J482" t="s">
        <v>26</v>
      </c>
      <c r="K482">
        <v>0.09</v>
      </c>
      <c r="L482" t="s">
        <v>27</v>
      </c>
      <c r="M482" t="s">
        <v>18</v>
      </c>
    </row>
    <row r="483" spans="1:13" x14ac:dyDescent="0.25">
      <c r="A483">
        <v>1023</v>
      </c>
      <c r="B483" s="1">
        <v>45222</v>
      </c>
      <c r="C483" t="s">
        <v>21</v>
      </c>
      <c r="D483" t="s">
        <v>22</v>
      </c>
      <c r="E483">
        <v>9519.76</v>
      </c>
      <c r="F483">
        <v>42</v>
      </c>
      <c r="G483" t="s">
        <v>23</v>
      </c>
      <c r="H483">
        <v>309.77999999999997</v>
      </c>
      <c r="I483">
        <v>350.38</v>
      </c>
      <c r="J483" t="s">
        <v>16</v>
      </c>
      <c r="K483">
        <v>0.19</v>
      </c>
      <c r="L483" t="s">
        <v>27</v>
      </c>
      <c r="M483" t="s">
        <v>20</v>
      </c>
    </row>
    <row r="484" spans="1:13" x14ac:dyDescent="0.25">
      <c r="A484">
        <v>1009</v>
      </c>
      <c r="B484" s="1">
        <v>44943</v>
      </c>
      <c r="C484" t="s">
        <v>21</v>
      </c>
      <c r="D484" t="s">
        <v>19</v>
      </c>
      <c r="E484">
        <v>8401.07</v>
      </c>
      <c r="F484">
        <v>12</v>
      </c>
      <c r="G484" t="s">
        <v>15</v>
      </c>
      <c r="H484">
        <v>2278.67</v>
      </c>
      <c r="I484">
        <v>2476.8000000000002</v>
      </c>
      <c r="J484" t="s">
        <v>26</v>
      </c>
      <c r="K484">
        <v>0.09</v>
      </c>
      <c r="L484" t="s">
        <v>17</v>
      </c>
      <c r="M484" t="s">
        <v>20</v>
      </c>
    </row>
    <row r="485" spans="1:13" x14ac:dyDescent="0.25">
      <c r="A485">
        <v>1012</v>
      </c>
      <c r="B485" s="1">
        <v>45055</v>
      </c>
      <c r="C485" t="s">
        <v>21</v>
      </c>
      <c r="D485" t="s">
        <v>19</v>
      </c>
      <c r="E485">
        <v>8070.39</v>
      </c>
      <c r="F485">
        <v>13</v>
      </c>
      <c r="G485" t="s">
        <v>23</v>
      </c>
      <c r="H485">
        <v>1311.01</v>
      </c>
      <c r="I485">
        <v>1538.79</v>
      </c>
      <c r="J485" t="s">
        <v>16</v>
      </c>
      <c r="K485">
        <v>0.09</v>
      </c>
      <c r="L485" t="s">
        <v>24</v>
      </c>
      <c r="M485" t="s">
        <v>20</v>
      </c>
    </row>
    <row r="486" spans="1:13" x14ac:dyDescent="0.25">
      <c r="A486">
        <v>1001</v>
      </c>
      <c r="B486" s="1">
        <v>45143</v>
      </c>
      <c r="C486" t="s">
        <v>13</v>
      </c>
      <c r="D486" t="s">
        <v>14</v>
      </c>
      <c r="E486">
        <v>8247.5400000000009</v>
      </c>
      <c r="F486">
        <v>4</v>
      </c>
      <c r="G486" t="s">
        <v>23</v>
      </c>
      <c r="H486">
        <v>1791.83</v>
      </c>
      <c r="I486">
        <v>1871.22</v>
      </c>
      <c r="J486" t="s">
        <v>16</v>
      </c>
      <c r="K486">
        <v>0.12</v>
      </c>
      <c r="L486" t="s">
        <v>24</v>
      </c>
      <c r="M486" t="s">
        <v>18</v>
      </c>
    </row>
    <row r="487" spans="1:13" x14ac:dyDescent="0.25">
      <c r="A487">
        <v>1058</v>
      </c>
      <c r="B487" s="1">
        <v>44987</v>
      </c>
      <c r="C487" t="s">
        <v>31</v>
      </c>
      <c r="D487" t="s">
        <v>19</v>
      </c>
      <c r="E487">
        <v>9333.83</v>
      </c>
      <c r="F487">
        <v>39</v>
      </c>
      <c r="G487" t="s">
        <v>23</v>
      </c>
      <c r="H487">
        <v>3542.8</v>
      </c>
      <c r="I487">
        <v>3603.02</v>
      </c>
      <c r="J487" t="s">
        <v>16</v>
      </c>
      <c r="K487">
        <v>0.26</v>
      </c>
      <c r="L487" t="s">
        <v>17</v>
      </c>
      <c r="M487" t="s">
        <v>18</v>
      </c>
    </row>
    <row r="488" spans="1:13" x14ac:dyDescent="0.25">
      <c r="A488">
        <v>1001</v>
      </c>
      <c r="B488" s="1">
        <v>45030</v>
      </c>
      <c r="C488" t="s">
        <v>21</v>
      </c>
      <c r="D488" t="s">
        <v>29</v>
      </c>
      <c r="E488">
        <v>5488.11</v>
      </c>
      <c r="F488">
        <v>2</v>
      </c>
      <c r="G488" t="s">
        <v>30</v>
      </c>
      <c r="H488">
        <v>2631.68</v>
      </c>
      <c r="I488">
        <v>2904.06</v>
      </c>
      <c r="J488" t="s">
        <v>26</v>
      </c>
      <c r="K488">
        <v>0.15</v>
      </c>
      <c r="L488" t="s">
        <v>24</v>
      </c>
      <c r="M488" t="s">
        <v>18</v>
      </c>
    </row>
    <row r="489" spans="1:13" x14ac:dyDescent="0.25">
      <c r="A489">
        <v>1034</v>
      </c>
      <c r="B489" s="1">
        <v>44968</v>
      </c>
      <c r="C489" t="s">
        <v>31</v>
      </c>
      <c r="D489" t="s">
        <v>22</v>
      </c>
      <c r="E489">
        <v>2082.79</v>
      </c>
      <c r="F489">
        <v>26</v>
      </c>
      <c r="G489" t="s">
        <v>30</v>
      </c>
      <c r="H489">
        <v>667</v>
      </c>
      <c r="I489">
        <v>718.72</v>
      </c>
      <c r="J489" t="s">
        <v>26</v>
      </c>
      <c r="K489">
        <v>0.2</v>
      </c>
      <c r="L489" t="s">
        <v>17</v>
      </c>
      <c r="M489" t="s">
        <v>20</v>
      </c>
    </row>
    <row r="490" spans="1:13" x14ac:dyDescent="0.25">
      <c r="A490">
        <v>1096</v>
      </c>
      <c r="B490" s="1">
        <v>44951</v>
      </c>
      <c r="C490" t="s">
        <v>28</v>
      </c>
      <c r="D490" t="s">
        <v>19</v>
      </c>
      <c r="E490">
        <v>6206.16</v>
      </c>
      <c r="F490">
        <v>27</v>
      </c>
      <c r="G490" t="s">
        <v>25</v>
      </c>
      <c r="H490">
        <v>4809</v>
      </c>
      <c r="I490">
        <v>4967.4399999999996</v>
      </c>
      <c r="J490" t="s">
        <v>26</v>
      </c>
      <c r="K490">
        <v>0.12</v>
      </c>
      <c r="L490" t="s">
        <v>17</v>
      </c>
      <c r="M490" t="s">
        <v>18</v>
      </c>
    </row>
    <row r="491" spans="1:13" x14ac:dyDescent="0.25">
      <c r="A491">
        <v>1048</v>
      </c>
      <c r="B491" s="1">
        <v>44965</v>
      </c>
      <c r="C491" t="s">
        <v>28</v>
      </c>
      <c r="D491" t="s">
        <v>19</v>
      </c>
      <c r="E491">
        <v>7454.53</v>
      </c>
      <c r="F491">
        <v>27</v>
      </c>
      <c r="G491" t="s">
        <v>25</v>
      </c>
      <c r="H491">
        <v>3197.76</v>
      </c>
      <c r="I491">
        <v>3572.61</v>
      </c>
      <c r="J491" t="s">
        <v>16</v>
      </c>
      <c r="K491">
        <v>0.08</v>
      </c>
      <c r="L491" t="s">
        <v>27</v>
      </c>
      <c r="M491" t="s">
        <v>18</v>
      </c>
    </row>
    <row r="492" spans="1:13" x14ac:dyDescent="0.25">
      <c r="A492">
        <v>1089</v>
      </c>
      <c r="B492" s="1">
        <v>45217</v>
      </c>
      <c r="C492" t="s">
        <v>21</v>
      </c>
      <c r="D492" t="s">
        <v>14</v>
      </c>
      <c r="E492">
        <v>7405.38</v>
      </c>
      <c r="F492">
        <v>15</v>
      </c>
      <c r="G492" t="s">
        <v>23</v>
      </c>
      <c r="H492">
        <v>3841.05</v>
      </c>
      <c r="I492">
        <v>4323.62</v>
      </c>
      <c r="J492" t="s">
        <v>16</v>
      </c>
      <c r="K492">
        <v>0.28999999999999998</v>
      </c>
      <c r="L492" t="s">
        <v>27</v>
      </c>
      <c r="M492" t="s">
        <v>20</v>
      </c>
    </row>
    <row r="493" spans="1:13" x14ac:dyDescent="0.25">
      <c r="A493">
        <v>1001</v>
      </c>
      <c r="B493" s="1">
        <v>45057</v>
      </c>
      <c r="C493" t="s">
        <v>31</v>
      </c>
      <c r="D493" t="s">
        <v>29</v>
      </c>
      <c r="E493">
        <v>5262.35</v>
      </c>
      <c r="F493">
        <v>8</v>
      </c>
      <c r="G493" t="s">
        <v>25</v>
      </c>
      <c r="H493">
        <v>442.11</v>
      </c>
      <c r="I493">
        <v>803.87</v>
      </c>
      <c r="J493" t="s">
        <v>26</v>
      </c>
      <c r="K493">
        <v>0.18</v>
      </c>
      <c r="L493" t="s">
        <v>17</v>
      </c>
      <c r="M493" t="s">
        <v>20</v>
      </c>
    </row>
    <row r="494" spans="1:13" x14ac:dyDescent="0.25">
      <c r="A494">
        <v>1016</v>
      </c>
      <c r="B494" s="1">
        <v>45155</v>
      </c>
      <c r="C494" t="s">
        <v>31</v>
      </c>
      <c r="D494" t="s">
        <v>19</v>
      </c>
      <c r="E494">
        <v>777.74</v>
      </c>
      <c r="F494">
        <v>7</v>
      </c>
      <c r="G494" t="s">
        <v>23</v>
      </c>
      <c r="H494">
        <v>282.94</v>
      </c>
      <c r="I494">
        <v>779.32999999999902</v>
      </c>
      <c r="J494" t="s">
        <v>16</v>
      </c>
      <c r="K494">
        <v>0.28000000000000003</v>
      </c>
      <c r="L494" t="s">
        <v>27</v>
      </c>
      <c r="M494" t="s">
        <v>18</v>
      </c>
    </row>
    <row r="495" spans="1:13" x14ac:dyDescent="0.25">
      <c r="A495">
        <v>1061</v>
      </c>
      <c r="B495" s="1">
        <v>45034</v>
      </c>
      <c r="C495" t="s">
        <v>31</v>
      </c>
      <c r="D495" t="s">
        <v>14</v>
      </c>
      <c r="E495">
        <v>3774.02</v>
      </c>
      <c r="F495">
        <v>47</v>
      </c>
      <c r="G495" t="s">
        <v>30</v>
      </c>
      <c r="H495">
        <v>146.27000000000001</v>
      </c>
      <c r="I495">
        <v>498.46</v>
      </c>
      <c r="J495" t="s">
        <v>26</v>
      </c>
      <c r="K495">
        <v>0.06</v>
      </c>
      <c r="L495" t="s">
        <v>17</v>
      </c>
      <c r="M495" t="s">
        <v>20</v>
      </c>
    </row>
    <row r="496" spans="1:13" x14ac:dyDescent="0.25">
      <c r="A496">
        <v>1064</v>
      </c>
      <c r="B496" s="1">
        <v>45098</v>
      </c>
      <c r="C496" t="s">
        <v>13</v>
      </c>
      <c r="D496" t="s">
        <v>19</v>
      </c>
      <c r="E496">
        <v>9215.59</v>
      </c>
      <c r="F496">
        <v>46</v>
      </c>
      <c r="G496" t="s">
        <v>30</v>
      </c>
      <c r="H496">
        <v>984.53</v>
      </c>
      <c r="I496">
        <v>1138.49</v>
      </c>
      <c r="J496" t="s">
        <v>26</v>
      </c>
      <c r="K496">
        <v>0.04</v>
      </c>
      <c r="L496" t="s">
        <v>24</v>
      </c>
      <c r="M496" t="s">
        <v>18</v>
      </c>
    </row>
    <row r="497" spans="1:13" x14ac:dyDescent="0.25">
      <c r="A497">
        <v>1063</v>
      </c>
      <c r="B497" s="1">
        <v>45028</v>
      </c>
      <c r="C497" t="s">
        <v>28</v>
      </c>
      <c r="D497" t="s">
        <v>14</v>
      </c>
      <c r="E497">
        <v>5886.04</v>
      </c>
      <c r="F497">
        <v>40</v>
      </c>
      <c r="G497" t="s">
        <v>30</v>
      </c>
      <c r="H497">
        <v>2101.3200000000002</v>
      </c>
      <c r="I497">
        <v>2440.63</v>
      </c>
      <c r="J497" t="s">
        <v>26</v>
      </c>
      <c r="K497">
        <v>0.26</v>
      </c>
      <c r="L497" t="s">
        <v>24</v>
      </c>
      <c r="M497" t="s">
        <v>20</v>
      </c>
    </row>
    <row r="498" spans="1:13" x14ac:dyDescent="0.25">
      <c r="A498">
        <v>1069</v>
      </c>
      <c r="B498" s="1">
        <v>45280</v>
      </c>
      <c r="C498" t="s">
        <v>31</v>
      </c>
      <c r="D498" t="s">
        <v>14</v>
      </c>
      <c r="E498">
        <v>5429.49</v>
      </c>
      <c r="F498">
        <v>12</v>
      </c>
      <c r="G498" t="s">
        <v>15</v>
      </c>
      <c r="H498">
        <v>4682.34</v>
      </c>
      <c r="I498">
        <v>5036.3999999999996</v>
      </c>
      <c r="J498" t="s">
        <v>26</v>
      </c>
      <c r="K498">
        <v>0.2</v>
      </c>
      <c r="L498" t="s">
        <v>24</v>
      </c>
      <c r="M498" t="s">
        <v>20</v>
      </c>
    </row>
    <row r="499" spans="1:13" x14ac:dyDescent="0.25">
      <c r="A499">
        <v>1022</v>
      </c>
      <c r="B499" s="1">
        <v>44938</v>
      </c>
      <c r="C499" t="s">
        <v>31</v>
      </c>
      <c r="D499" t="s">
        <v>29</v>
      </c>
      <c r="E499">
        <v>2761.65</v>
      </c>
      <c r="F499">
        <v>13</v>
      </c>
      <c r="G499" t="s">
        <v>23</v>
      </c>
      <c r="H499">
        <v>2312.4499999999998</v>
      </c>
      <c r="I499">
        <v>2504.6</v>
      </c>
      <c r="J499" t="s">
        <v>16</v>
      </c>
      <c r="K499">
        <v>0.06</v>
      </c>
      <c r="L499" t="s">
        <v>24</v>
      </c>
      <c r="M499" t="s">
        <v>18</v>
      </c>
    </row>
    <row r="500" spans="1:13" x14ac:dyDescent="0.25">
      <c r="A500">
        <v>1093</v>
      </c>
      <c r="B500" s="1">
        <v>45201</v>
      </c>
      <c r="C500" t="s">
        <v>13</v>
      </c>
      <c r="D500" t="s">
        <v>19</v>
      </c>
      <c r="E500">
        <v>3747.64</v>
      </c>
      <c r="F500">
        <v>43</v>
      </c>
      <c r="G500" t="s">
        <v>30</v>
      </c>
      <c r="H500">
        <v>1486.76</v>
      </c>
      <c r="I500">
        <v>1505.44</v>
      </c>
      <c r="J500" t="s">
        <v>26</v>
      </c>
      <c r="K500">
        <v>0.08</v>
      </c>
      <c r="L500" t="s">
        <v>17</v>
      </c>
      <c r="M500" t="s">
        <v>20</v>
      </c>
    </row>
    <row r="501" spans="1:13" x14ac:dyDescent="0.25">
      <c r="A501">
        <v>1067</v>
      </c>
      <c r="B501" s="1">
        <v>45027</v>
      </c>
      <c r="C501" t="s">
        <v>13</v>
      </c>
      <c r="D501" t="s">
        <v>29</v>
      </c>
      <c r="E501">
        <v>8963.93</v>
      </c>
      <c r="F501">
        <v>17</v>
      </c>
      <c r="G501" t="s">
        <v>23</v>
      </c>
      <c r="H501">
        <v>2831.58</v>
      </c>
      <c r="I501">
        <v>3186.15</v>
      </c>
      <c r="J501" t="s">
        <v>26</v>
      </c>
      <c r="K501">
        <v>0.24</v>
      </c>
      <c r="L501" t="s">
        <v>24</v>
      </c>
      <c r="M501" t="s">
        <v>20</v>
      </c>
    </row>
    <row r="502" spans="1:13" x14ac:dyDescent="0.25">
      <c r="A502">
        <v>1076</v>
      </c>
      <c r="B502" s="1">
        <v>44970</v>
      </c>
      <c r="C502" t="s">
        <v>31</v>
      </c>
      <c r="D502" t="s">
        <v>14</v>
      </c>
      <c r="E502">
        <v>6697.98</v>
      </c>
      <c r="F502">
        <v>17</v>
      </c>
      <c r="G502" t="s">
        <v>25</v>
      </c>
      <c r="H502">
        <v>604.08000000000004</v>
      </c>
      <c r="I502">
        <v>624.71</v>
      </c>
      <c r="J502" t="s">
        <v>26</v>
      </c>
      <c r="K502">
        <v>0.14000000000000001</v>
      </c>
      <c r="L502" t="s">
        <v>24</v>
      </c>
      <c r="M502" t="s">
        <v>20</v>
      </c>
    </row>
    <row r="503" spans="1:13" x14ac:dyDescent="0.25">
      <c r="A503">
        <v>1026</v>
      </c>
      <c r="B503" s="1">
        <v>45231</v>
      </c>
      <c r="C503" t="s">
        <v>32</v>
      </c>
      <c r="D503" t="s">
        <v>22</v>
      </c>
      <c r="E503">
        <v>7895.13</v>
      </c>
      <c r="F503">
        <v>36</v>
      </c>
      <c r="G503" t="s">
        <v>25</v>
      </c>
      <c r="H503">
        <v>3067.05</v>
      </c>
      <c r="I503">
        <v>3386.33</v>
      </c>
      <c r="J503" t="s">
        <v>26</v>
      </c>
      <c r="K503">
        <v>0.2</v>
      </c>
      <c r="L503" t="s">
        <v>24</v>
      </c>
      <c r="M503" t="s">
        <v>18</v>
      </c>
    </row>
    <row r="504" spans="1:13" x14ac:dyDescent="0.25">
      <c r="A504">
        <v>1016</v>
      </c>
      <c r="B504" s="1">
        <v>44943</v>
      </c>
      <c r="C504" t="s">
        <v>31</v>
      </c>
      <c r="D504" t="s">
        <v>19</v>
      </c>
      <c r="E504">
        <v>4598.0200000000004</v>
      </c>
      <c r="F504">
        <v>21</v>
      </c>
      <c r="G504" t="s">
        <v>30</v>
      </c>
      <c r="H504">
        <v>2863.74</v>
      </c>
      <c r="I504">
        <v>2953.91</v>
      </c>
      <c r="J504" t="s">
        <v>26</v>
      </c>
      <c r="K504">
        <v>0.1</v>
      </c>
      <c r="L504" t="s">
        <v>24</v>
      </c>
      <c r="M504" t="s">
        <v>20</v>
      </c>
    </row>
    <row r="505" spans="1:13" x14ac:dyDescent="0.25">
      <c r="A505">
        <v>1051</v>
      </c>
      <c r="B505" s="1">
        <v>45256</v>
      </c>
      <c r="C505" t="s">
        <v>31</v>
      </c>
      <c r="D505" t="s">
        <v>22</v>
      </c>
      <c r="E505">
        <v>6339.45</v>
      </c>
      <c r="F505">
        <v>8</v>
      </c>
      <c r="G505" t="s">
        <v>23</v>
      </c>
      <c r="H505">
        <v>3970.37</v>
      </c>
      <c r="I505">
        <v>4257.5199999999904</v>
      </c>
      <c r="J505" t="s">
        <v>26</v>
      </c>
      <c r="K505">
        <v>0.11</v>
      </c>
      <c r="L505" t="s">
        <v>17</v>
      </c>
      <c r="M505" t="s">
        <v>20</v>
      </c>
    </row>
    <row r="506" spans="1:13" x14ac:dyDescent="0.25">
      <c r="A506">
        <v>1086</v>
      </c>
      <c r="B506" s="1">
        <v>44983</v>
      </c>
      <c r="C506" t="s">
        <v>13</v>
      </c>
      <c r="D506" t="s">
        <v>19</v>
      </c>
      <c r="E506">
        <v>2559</v>
      </c>
      <c r="F506">
        <v>5</v>
      </c>
      <c r="G506" t="s">
        <v>30</v>
      </c>
      <c r="H506">
        <v>4934.1000000000004</v>
      </c>
      <c r="I506">
        <v>5191.0200000000004</v>
      </c>
      <c r="J506" t="s">
        <v>26</v>
      </c>
      <c r="K506">
        <v>0.3</v>
      </c>
      <c r="L506" t="s">
        <v>24</v>
      </c>
      <c r="M506" t="s">
        <v>18</v>
      </c>
    </row>
    <row r="507" spans="1:13" x14ac:dyDescent="0.25">
      <c r="A507">
        <v>1057</v>
      </c>
      <c r="B507" s="1">
        <v>45237</v>
      </c>
      <c r="C507" t="s">
        <v>13</v>
      </c>
      <c r="D507" t="s">
        <v>29</v>
      </c>
      <c r="E507">
        <v>7084.06</v>
      </c>
      <c r="F507">
        <v>26</v>
      </c>
      <c r="G507" t="s">
        <v>25</v>
      </c>
      <c r="H507">
        <v>1291.82</v>
      </c>
      <c r="I507">
        <v>1308.4399999999901</v>
      </c>
      <c r="J507" t="s">
        <v>16</v>
      </c>
      <c r="K507">
        <v>7.0000000000000007E-2</v>
      </c>
      <c r="L507" t="s">
        <v>27</v>
      </c>
      <c r="M507" t="s">
        <v>18</v>
      </c>
    </row>
    <row r="508" spans="1:13" x14ac:dyDescent="0.25">
      <c r="A508">
        <v>1029</v>
      </c>
      <c r="B508" s="1">
        <v>45229</v>
      </c>
      <c r="C508" t="s">
        <v>31</v>
      </c>
      <c r="D508" t="s">
        <v>29</v>
      </c>
      <c r="E508">
        <v>4333.25</v>
      </c>
      <c r="F508">
        <v>16</v>
      </c>
      <c r="G508" t="s">
        <v>30</v>
      </c>
      <c r="H508">
        <v>2572.8000000000002</v>
      </c>
      <c r="I508">
        <v>2760.6</v>
      </c>
      <c r="J508" t="s">
        <v>16</v>
      </c>
      <c r="K508">
        <v>0.15</v>
      </c>
      <c r="L508" t="s">
        <v>27</v>
      </c>
      <c r="M508" t="s">
        <v>20</v>
      </c>
    </row>
    <row r="509" spans="1:13" x14ac:dyDescent="0.25">
      <c r="A509">
        <v>1078</v>
      </c>
      <c r="B509" s="1">
        <v>44938</v>
      </c>
      <c r="C509" t="s">
        <v>31</v>
      </c>
      <c r="D509" t="s">
        <v>29</v>
      </c>
      <c r="E509">
        <v>4481.2</v>
      </c>
      <c r="F509">
        <v>36</v>
      </c>
      <c r="G509" t="s">
        <v>23</v>
      </c>
      <c r="H509">
        <v>4548.88</v>
      </c>
      <c r="I509">
        <v>4853.41</v>
      </c>
      <c r="J509" t="s">
        <v>16</v>
      </c>
      <c r="K509">
        <v>0.25</v>
      </c>
      <c r="L509" t="s">
        <v>27</v>
      </c>
      <c r="M509" t="s">
        <v>20</v>
      </c>
    </row>
    <row r="510" spans="1:13" x14ac:dyDescent="0.25">
      <c r="A510">
        <v>1092</v>
      </c>
      <c r="B510" s="1">
        <v>45244</v>
      </c>
      <c r="C510" t="s">
        <v>31</v>
      </c>
      <c r="D510" t="s">
        <v>29</v>
      </c>
      <c r="E510">
        <v>6528.29</v>
      </c>
      <c r="F510">
        <v>28</v>
      </c>
      <c r="G510" t="s">
        <v>25</v>
      </c>
      <c r="H510">
        <v>3936.69</v>
      </c>
      <c r="I510">
        <v>4362.51</v>
      </c>
      <c r="J510" t="s">
        <v>16</v>
      </c>
      <c r="K510">
        <v>7.0000000000000007E-2</v>
      </c>
      <c r="L510" t="s">
        <v>27</v>
      </c>
      <c r="M510" t="s">
        <v>20</v>
      </c>
    </row>
    <row r="511" spans="1:13" x14ac:dyDescent="0.25">
      <c r="A511">
        <v>1069</v>
      </c>
      <c r="B511" s="1">
        <v>45006</v>
      </c>
      <c r="C511" t="s">
        <v>13</v>
      </c>
      <c r="D511" t="s">
        <v>29</v>
      </c>
      <c r="E511">
        <v>9369.18</v>
      </c>
      <c r="F511">
        <v>29</v>
      </c>
      <c r="G511" t="s">
        <v>15</v>
      </c>
      <c r="H511">
        <v>2462.66</v>
      </c>
      <c r="I511">
        <v>2908.0899999999901</v>
      </c>
      <c r="J511" t="s">
        <v>26</v>
      </c>
      <c r="K511">
        <v>0.12</v>
      </c>
      <c r="L511" t="s">
        <v>27</v>
      </c>
      <c r="M511" t="s">
        <v>18</v>
      </c>
    </row>
    <row r="512" spans="1:13" x14ac:dyDescent="0.25">
      <c r="A512">
        <v>1047</v>
      </c>
      <c r="B512" s="1">
        <v>45142</v>
      </c>
      <c r="C512" t="s">
        <v>31</v>
      </c>
      <c r="D512" t="s">
        <v>22</v>
      </c>
      <c r="E512">
        <v>733.66</v>
      </c>
      <c r="F512">
        <v>47</v>
      </c>
      <c r="G512" t="s">
        <v>25</v>
      </c>
      <c r="H512">
        <v>4729.59</v>
      </c>
      <c r="I512">
        <v>4976.68</v>
      </c>
      <c r="J512" t="s">
        <v>16</v>
      </c>
      <c r="K512">
        <v>0.18</v>
      </c>
      <c r="L512" t="s">
        <v>27</v>
      </c>
      <c r="M512" t="s">
        <v>20</v>
      </c>
    </row>
    <row r="513" spans="1:13" x14ac:dyDescent="0.25">
      <c r="A513">
        <v>1094</v>
      </c>
      <c r="B513" s="1">
        <v>45265</v>
      </c>
      <c r="C513" t="s">
        <v>31</v>
      </c>
      <c r="D513" t="s">
        <v>29</v>
      </c>
      <c r="E513">
        <v>8264.9599999999991</v>
      </c>
      <c r="F513">
        <v>12</v>
      </c>
      <c r="G513" t="s">
        <v>15</v>
      </c>
      <c r="H513">
        <v>333.32</v>
      </c>
      <c r="I513">
        <v>700.25</v>
      </c>
      <c r="J513" t="s">
        <v>16</v>
      </c>
      <c r="K513">
        <v>0.14000000000000001</v>
      </c>
      <c r="L513" t="s">
        <v>17</v>
      </c>
      <c r="M513" t="s">
        <v>18</v>
      </c>
    </row>
    <row r="514" spans="1:13" x14ac:dyDescent="0.25">
      <c r="A514">
        <v>1062</v>
      </c>
      <c r="B514" s="1">
        <v>45190</v>
      </c>
      <c r="C514" t="s">
        <v>21</v>
      </c>
      <c r="D514" t="s">
        <v>14</v>
      </c>
      <c r="E514">
        <v>2994.59</v>
      </c>
      <c r="F514">
        <v>37</v>
      </c>
      <c r="G514" t="s">
        <v>30</v>
      </c>
      <c r="H514">
        <v>4658.4399999999996</v>
      </c>
      <c r="I514">
        <v>4823.5</v>
      </c>
      <c r="J514" t="s">
        <v>16</v>
      </c>
      <c r="K514">
        <v>0.14000000000000001</v>
      </c>
      <c r="L514" t="s">
        <v>27</v>
      </c>
      <c r="M514" t="s">
        <v>18</v>
      </c>
    </row>
    <row r="515" spans="1:13" x14ac:dyDescent="0.25">
      <c r="A515">
        <v>1069</v>
      </c>
      <c r="B515" s="1">
        <v>45075</v>
      </c>
      <c r="C515" t="s">
        <v>32</v>
      </c>
      <c r="D515" t="s">
        <v>14</v>
      </c>
      <c r="E515">
        <v>4494.8</v>
      </c>
      <c r="F515">
        <v>30</v>
      </c>
      <c r="G515" t="s">
        <v>30</v>
      </c>
      <c r="H515">
        <v>300.01</v>
      </c>
      <c r="I515">
        <v>477.67999999999898</v>
      </c>
      <c r="J515" t="s">
        <v>26</v>
      </c>
      <c r="K515">
        <v>0.11</v>
      </c>
      <c r="L515" t="s">
        <v>24</v>
      </c>
      <c r="M515" t="s">
        <v>20</v>
      </c>
    </row>
    <row r="516" spans="1:13" x14ac:dyDescent="0.25">
      <c r="A516">
        <v>1076</v>
      </c>
      <c r="B516" s="1">
        <v>45007</v>
      </c>
      <c r="C516" t="s">
        <v>28</v>
      </c>
      <c r="D516" t="s">
        <v>22</v>
      </c>
      <c r="E516">
        <v>316.94</v>
      </c>
      <c r="F516">
        <v>23</v>
      </c>
      <c r="G516" t="s">
        <v>23</v>
      </c>
      <c r="H516">
        <v>2759.16</v>
      </c>
      <c r="I516">
        <v>2864.45</v>
      </c>
      <c r="J516" t="s">
        <v>16</v>
      </c>
      <c r="K516">
        <v>0.18</v>
      </c>
      <c r="L516" t="s">
        <v>27</v>
      </c>
      <c r="M516" t="s">
        <v>20</v>
      </c>
    </row>
    <row r="517" spans="1:13" x14ac:dyDescent="0.25">
      <c r="A517">
        <v>1016</v>
      </c>
      <c r="B517" s="1">
        <v>45141</v>
      </c>
      <c r="C517" t="s">
        <v>32</v>
      </c>
      <c r="D517" t="s">
        <v>19</v>
      </c>
      <c r="E517">
        <v>3080.36</v>
      </c>
      <c r="F517">
        <v>16</v>
      </c>
      <c r="G517" t="s">
        <v>15</v>
      </c>
      <c r="H517">
        <v>4457.68</v>
      </c>
      <c r="I517">
        <v>4743.03</v>
      </c>
      <c r="J517" t="s">
        <v>16</v>
      </c>
      <c r="K517">
        <v>0.19</v>
      </c>
      <c r="L517" t="s">
        <v>17</v>
      </c>
      <c r="M517" t="s">
        <v>18</v>
      </c>
    </row>
    <row r="518" spans="1:13" x14ac:dyDescent="0.25">
      <c r="A518">
        <v>1090</v>
      </c>
      <c r="B518" s="1">
        <v>45124</v>
      </c>
      <c r="C518" t="s">
        <v>21</v>
      </c>
      <c r="D518" t="s">
        <v>14</v>
      </c>
      <c r="E518">
        <v>5076.05</v>
      </c>
      <c r="F518">
        <v>14</v>
      </c>
      <c r="G518" t="s">
        <v>30</v>
      </c>
      <c r="H518">
        <v>1350.47</v>
      </c>
      <c r="I518">
        <v>1514.61</v>
      </c>
      <c r="J518" t="s">
        <v>26</v>
      </c>
      <c r="K518">
        <v>0.2</v>
      </c>
      <c r="L518" t="s">
        <v>27</v>
      </c>
      <c r="M518" t="s">
        <v>20</v>
      </c>
    </row>
    <row r="519" spans="1:13" x14ac:dyDescent="0.25">
      <c r="A519">
        <v>1090</v>
      </c>
      <c r="B519" s="1">
        <v>45126</v>
      </c>
      <c r="C519" t="s">
        <v>28</v>
      </c>
      <c r="D519" t="s">
        <v>19</v>
      </c>
      <c r="E519">
        <v>656.14</v>
      </c>
      <c r="F519">
        <v>10</v>
      </c>
      <c r="G519" t="s">
        <v>15</v>
      </c>
      <c r="H519">
        <v>2387.63</v>
      </c>
      <c r="I519">
        <v>2438.9699999999998</v>
      </c>
      <c r="J519" t="s">
        <v>16</v>
      </c>
      <c r="K519">
        <v>0.02</v>
      </c>
      <c r="L519" t="s">
        <v>24</v>
      </c>
      <c r="M519" t="s">
        <v>20</v>
      </c>
    </row>
    <row r="520" spans="1:13" x14ac:dyDescent="0.25">
      <c r="A520">
        <v>1048</v>
      </c>
      <c r="B520" s="1">
        <v>44951</v>
      </c>
      <c r="C520" t="s">
        <v>31</v>
      </c>
      <c r="D520" t="s">
        <v>22</v>
      </c>
      <c r="E520">
        <v>4961.8500000000004</v>
      </c>
      <c r="F520">
        <v>7</v>
      </c>
      <c r="G520" t="s">
        <v>30</v>
      </c>
      <c r="H520">
        <v>1655.43</v>
      </c>
      <c r="I520">
        <v>2001.08</v>
      </c>
      <c r="J520" t="s">
        <v>26</v>
      </c>
      <c r="K520">
        <v>0.19</v>
      </c>
      <c r="L520" t="s">
        <v>24</v>
      </c>
      <c r="M520" t="s">
        <v>18</v>
      </c>
    </row>
    <row r="521" spans="1:13" x14ac:dyDescent="0.25">
      <c r="A521">
        <v>1085</v>
      </c>
      <c r="B521" s="1">
        <v>45015</v>
      </c>
      <c r="C521" t="s">
        <v>21</v>
      </c>
      <c r="D521" t="s">
        <v>19</v>
      </c>
      <c r="E521">
        <v>9278.4</v>
      </c>
      <c r="F521">
        <v>45</v>
      </c>
      <c r="G521" t="s">
        <v>25</v>
      </c>
      <c r="H521">
        <v>4763.1099999999997</v>
      </c>
      <c r="I521">
        <v>5119.91</v>
      </c>
      <c r="J521" t="s">
        <v>16</v>
      </c>
      <c r="K521">
        <v>0.28999999999999998</v>
      </c>
      <c r="L521" t="s">
        <v>17</v>
      </c>
      <c r="M521" t="s">
        <v>20</v>
      </c>
    </row>
    <row r="522" spans="1:13" x14ac:dyDescent="0.25">
      <c r="A522">
        <v>1039</v>
      </c>
      <c r="B522" s="1">
        <v>45194</v>
      </c>
      <c r="C522" t="s">
        <v>31</v>
      </c>
      <c r="D522" t="s">
        <v>19</v>
      </c>
      <c r="E522">
        <v>1143.3900000000001</v>
      </c>
      <c r="F522">
        <v>37</v>
      </c>
      <c r="G522" t="s">
        <v>30</v>
      </c>
      <c r="H522">
        <v>4127.05</v>
      </c>
      <c r="I522">
        <v>4313.45</v>
      </c>
      <c r="J522" t="s">
        <v>26</v>
      </c>
      <c r="K522">
        <v>0.16</v>
      </c>
      <c r="L522" t="s">
        <v>17</v>
      </c>
      <c r="M522" t="s">
        <v>18</v>
      </c>
    </row>
    <row r="523" spans="1:13" x14ac:dyDescent="0.25">
      <c r="A523">
        <v>1100</v>
      </c>
      <c r="B523" s="1">
        <v>45069</v>
      </c>
      <c r="C523" t="s">
        <v>13</v>
      </c>
      <c r="D523" t="s">
        <v>19</v>
      </c>
      <c r="E523">
        <v>7667.96</v>
      </c>
      <c r="F523">
        <v>29</v>
      </c>
      <c r="G523" t="s">
        <v>23</v>
      </c>
      <c r="H523">
        <v>3559.56</v>
      </c>
      <c r="I523">
        <v>3607.15</v>
      </c>
      <c r="J523" t="s">
        <v>16</v>
      </c>
      <c r="K523">
        <v>0.21</v>
      </c>
      <c r="L523" t="s">
        <v>17</v>
      </c>
      <c r="M523" t="s">
        <v>20</v>
      </c>
    </row>
    <row r="524" spans="1:13" x14ac:dyDescent="0.25">
      <c r="A524">
        <v>1033</v>
      </c>
      <c r="B524" s="1">
        <v>44985</v>
      </c>
      <c r="C524" t="s">
        <v>21</v>
      </c>
      <c r="D524" t="s">
        <v>19</v>
      </c>
      <c r="E524">
        <v>4155.74</v>
      </c>
      <c r="F524">
        <v>3</v>
      </c>
      <c r="G524" t="s">
        <v>25</v>
      </c>
      <c r="H524">
        <v>2958.75</v>
      </c>
      <c r="I524">
        <v>3177.64</v>
      </c>
      <c r="J524" t="s">
        <v>16</v>
      </c>
      <c r="K524">
        <v>0.17</v>
      </c>
      <c r="L524" t="s">
        <v>17</v>
      </c>
      <c r="M524" t="s">
        <v>18</v>
      </c>
    </row>
    <row r="525" spans="1:13" x14ac:dyDescent="0.25">
      <c r="A525">
        <v>1094</v>
      </c>
      <c r="B525" s="1">
        <v>45291</v>
      </c>
      <c r="C525" t="s">
        <v>13</v>
      </c>
      <c r="D525" t="s">
        <v>22</v>
      </c>
      <c r="E525">
        <v>6586.22</v>
      </c>
      <c r="F525">
        <v>15</v>
      </c>
      <c r="G525" t="s">
        <v>23</v>
      </c>
      <c r="H525">
        <v>4111.93</v>
      </c>
      <c r="I525">
        <v>4338.67</v>
      </c>
      <c r="J525" t="s">
        <v>16</v>
      </c>
      <c r="K525">
        <v>0.26</v>
      </c>
      <c r="L525" t="s">
        <v>27</v>
      </c>
      <c r="M525" t="s">
        <v>18</v>
      </c>
    </row>
    <row r="526" spans="1:13" x14ac:dyDescent="0.25">
      <c r="A526">
        <v>1023</v>
      </c>
      <c r="B526" s="1">
        <v>44952</v>
      </c>
      <c r="C526" t="s">
        <v>21</v>
      </c>
      <c r="D526" t="s">
        <v>14</v>
      </c>
      <c r="E526">
        <v>2676.34</v>
      </c>
      <c r="F526">
        <v>36</v>
      </c>
      <c r="G526" t="s">
        <v>25</v>
      </c>
      <c r="H526">
        <v>1991.72</v>
      </c>
      <c r="I526">
        <v>2329.37</v>
      </c>
      <c r="J526" t="s">
        <v>26</v>
      </c>
      <c r="K526">
        <v>0.28000000000000003</v>
      </c>
      <c r="L526" t="s">
        <v>27</v>
      </c>
      <c r="M526" t="s">
        <v>20</v>
      </c>
    </row>
    <row r="527" spans="1:13" x14ac:dyDescent="0.25">
      <c r="A527">
        <v>1010</v>
      </c>
      <c r="B527" s="1">
        <v>44973</v>
      </c>
      <c r="C527" t="s">
        <v>21</v>
      </c>
      <c r="D527" t="s">
        <v>29</v>
      </c>
      <c r="E527">
        <v>1678.97</v>
      </c>
      <c r="F527">
        <v>47</v>
      </c>
      <c r="G527" t="s">
        <v>15</v>
      </c>
      <c r="H527">
        <v>2265.38</v>
      </c>
      <c r="I527">
        <v>2429.9299999999998</v>
      </c>
      <c r="J527" t="s">
        <v>16</v>
      </c>
      <c r="K527">
        <v>0.06</v>
      </c>
      <c r="L527" t="s">
        <v>24</v>
      </c>
      <c r="M527" t="s">
        <v>18</v>
      </c>
    </row>
    <row r="528" spans="1:13" x14ac:dyDescent="0.25">
      <c r="A528">
        <v>1069</v>
      </c>
      <c r="B528" s="1">
        <v>45214</v>
      </c>
      <c r="C528" t="s">
        <v>13</v>
      </c>
      <c r="D528" t="s">
        <v>19</v>
      </c>
      <c r="E528">
        <v>1688.58</v>
      </c>
      <c r="F528">
        <v>46</v>
      </c>
      <c r="G528" t="s">
        <v>23</v>
      </c>
      <c r="H528">
        <v>3663.51</v>
      </c>
      <c r="I528">
        <v>4007.98</v>
      </c>
      <c r="J528" t="s">
        <v>26</v>
      </c>
      <c r="K528">
        <v>0.13</v>
      </c>
      <c r="L528" t="s">
        <v>17</v>
      </c>
      <c r="M528" t="s">
        <v>18</v>
      </c>
    </row>
    <row r="529" spans="1:13" x14ac:dyDescent="0.25">
      <c r="A529">
        <v>1100</v>
      </c>
      <c r="B529" s="1">
        <v>45192</v>
      </c>
      <c r="C529" t="s">
        <v>28</v>
      </c>
      <c r="D529" t="s">
        <v>14</v>
      </c>
      <c r="E529">
        <v>797.87</v>
      </c>
      <c r="F529">
        <v>19</v>
      </c>
      <c r="G529" t="s">
        <v>30</v>
      </c>
      <c r="H529">
        <v>1820.89</v>
      </c>
      <c r="I529">
        <v>2257.92</v>
      </c>
      <c r="J529" t="s">
        <v>26</v>
      </c>
      <c r="K529">
        <v>0.12</v>
      </c>
      <c r="L529" t="s">
        <v>17</v>
      </c>
      <c r="M529" t="s">
        <v>20</v>
      </c>
    </row>
    <row r="530" spans="1:13" x14ac:dyDescent="0.25">
      <c r="A530">
        <v>1034</v>
      </c>
      <c r="B530" s="1">
        <v>44942</v>
      </c>
      <c r="C530" t="s">
        <v>32</v>
      </c>
      <c r="D530" t="s">
        <v>14</v>
      </c>
      <c r="E530">
        <v>1937.9</v>
      </c>
      <c r="F530">
        <v>13</v>
      </c>
      <c r="G530" t="s">
        <v>15</v>
      </c>
      <c r="H530">
        <v>366.31</v>
      </c>
      <c r="I530">
        <v>492.68</v>
      </c>
      <c r="J530" t="s">
        <v>26</v>
      </c>
      <c r="K530">
        <v>0.12</v>
      </c>
      <c r="L530" t="s">
        <v>27</v>
      </c>
      <c r="M530" t="s">
        <v>20</v>
      </c>
    </row>
    <row r="531" spans="1:13" x14ac:dyDescent="0.25">
      <c r="A531">
        <v>1052</v>
      </c>
      <c r="B531" s="1">
        <v>45125</v>
      </c>
      <c r="C531" t="s">
        <v>31</v>
      </c>
      <c r="D531" t="s">
        <v>22</v>
      </c>
      <c r="E531">
        <v>6675.77</v>
      </c>
      <c r="F531">
        <v>42</v>
      </c>
      <c r="G531" t="s">
        <v>30</v>
      </c>
      <c r="H531">
        <v>417.96</v>
      </c>
      <c r="I531">
        <v>907.63</v>
      </c>
      <c r="J531" t="s">
        <v>26</v>
      </c>
      <c r="K531">
        <v>0.04</v>
      </c>
      <c r="L531" t="s">
        <v>17</v>
      </c>
      <c r="M531" t="s">
        <v>20</v>
      </c>
    </row>
    <row r="532" spans="1:13" x14ac:dyDescent="0.25">
      <c r="A532">
        <v>1095</v>
      </c>
      <c r="B532" s="1">
        <v>45208</v>
      </c>
      <c r="C532" t="s">
        <v>21</v>
      </c>
      <c r="D532" t="s">
        <v>14</v>
      </c>
      <c r="E532">
        <v>8828.74</v>
      </c>
      <c r="F532">
        <v>21</v>
      </c>
      <c r="G532" t="s">
        <v>25</v>
      </c>
      <c r="H532">
        <v>621.04999999999995</v>
      </c>
      <c r="I532">
        <v>820.36999999999898</v>
      </c>
      <c r="J532" t="s">
        <v>16</v>
      </c>
      <c r="K532">
        <v>0.24</v>
      </c>
      <c r="L532" t="s">
        <v>24</v>
      </c>
      <c r="M532" t="s">
        <v>18</v>
      </c>
    </row>
    <row r="533" spans="1:13" x14ac:dyDescent="0.25">
      <c r="A533">
        <v>1010</v>
      </c>
      <c r="B533" s="1">
        <v>45012</v>
      </c>
      <c r="C533" t="s">
        <v>31</v>
      </c>
      <c r="D533" t="s">
        <v>22</v>
      </c>
      <c r="E533">
        <v>8159.84</v>
      </c>
      <c r="F533">
        <v>37</v>
      </c>
      <c r="G533" t="s">
        <v>25</v>
      </c>
      <c r="H533">
        <v>4354.92</v>
      </c>
      <c r="I533">
        <v>4495.88</v>
      </c>
      <c r="J533" t="s">
        <v>16</v>
      </c>
      <c r="K533">
        <v>0.01</v>
      </c>
      <c r="L533" t="s">
        <v>24</v>
      </c>
      <c r="M533" t="s">
        <v>18</v>
      </c>
    </row>
    <row r="534" spans="1:13" x14ac:dyDescent="0.25">
      <c r="A534">
        <v>1019</v>
      </c>
      <c r="B534" s="1">
        <v>45176</v>
      </c>
      <c r="C534" t="s">
        <v>13</v>
      </c>
      <c r="D534" t="s">
        <v>19</v>
      </c>
      <c r="E534">
        <v>6882.83</v>
      </c>
      <c r="F534">
        <v>27</v>
      </c>
      <c r="G534" t="s">
        <v>30</v>
      </c>
      <c r="H534">
        <v>2387.52</v>
      </c>
      <c r="I534">
        <v>2604.06</v>
      </c>
      <c r="J534" t="s">
        <v>16</v>
      </c>
      <c r="K534">
        <v>0.16</v>
      </c>
      <c r="L534" t="s">
        <v>17</v>
      </c>
      <c r="M534" t="s">
        <v>18</v>
      </c>
    </row>
    <row r="535" spans="1:13" x14ac:dyDescent="0.25">
      <c r="A535">
        <v>1058</v>
      </c>
      <c r="B535" s="1">
        <v>45196</v>
      </c>
      <c r="C535" t="s">
        <v>31</v>
      </c>
      <c r="D535" t="s">
        <v>19</v>
      </c>
      <c r="E535">
        <v>1193.28</v>
      </c>
      <c r="F535">
        <v>29</v>
      </c>
      <c r="G535" t="s">
        <v>30</v>
      </c>
      <c r="H535">
        <v>3578.77</v>
      </c>
      <c r="I535">
        <v>3635.02</v>
      </c>
      <c r="J535" t="s">
        <v>26</v>
      </c>
      <c r="K535">
        <v>0.2</v>
      </c>
      <c r="L535" t="s">
        <v>24</v>
      </c>
      <c r="M535" t="s">
        <v>20</v>
      </c>
    </row>
    <row r="536" spans="1:13" x14ac:dyDescent="0.25">
      <c r="A536">
        <v>1096</v>
      </c>
      <c r="B536" s="1">
        <v>45261</v>
      </c>
      <c r="C536" t="s">
        <v>13</v>
      </c>
      <c r="D536" t="s">
        <v>29</v>
      </c>
      <c r="E536">
        <v>2962.96</v>
      </c>
      <c r="F536">
        <v>20</v>
      </c>
      <c r="G536" t="s">
        <v>15</v>
      </c>
      <c r="H536">
        <v>1994.9</v>
      </c>
      <c r="I536">
        <v>2066.5</v>
      </c>
      <c r="J536" t="s">
        <v>16</v>
      </c>
      <c r="K536">
        <v>0.06</v>
      </c>
      <c r="L536" t="s">
        <v>24</v>
      </c>
      <c r="M536" t="s">
        <v>18</v>
      </c>
    </row>
    <row r="537" spans="1:13" x14ac:dyDescent="0.25">
      <c r="A537">
        <v>1001</v>
      </c>
      <c r="B537" s="1">
        <v>45043</v>
      </c>
      <c r="C537" t="s">
        <v>31</v>
      </c>
      <c r="D537" t="s">
        <v>29</v>
      </c>
      <c r="E537">
        <v>3167.09</v>
      </c>
      <c r="F537">
        <v>25</v>
      </c>
      <c r="G537" t="s">
        <v>30</v>
      </c>
      <c r="H537">
        <v>1330.62</v>
      </c>
      <c r="I537">
        <v>1543.6899999999901</v>
      </c>
      <c r="J537" t="s">
        <v>26</v>
      </c>
      <c r="K537">
        <v>0.27</v>
      </c>
      <c r="L537" t="s">
        <v>27</v>
      </c>
      <c r="M537" t="s">
        <v>18</v>
      </c>
    </row>
    <row r="538" spans="1:13" x14ac:dyDescent="0.25">
      <c r="A538">
        <v>1069</v>
      </c>
      <c r="B538" s="1">
        <v>44933</v>
      </c>
      <c r="C538" t="s">
        <v>32</v>
      </c>
      <c r="D538" t="s">
        <v>29</v>
      </c>
      <c r="E538">
        <v>2574.5700000000002</v>
      </c>
      <c r="F538">
        <v>6</v>
      </c>
      <c r="G538" t="s">
        <v>23</v>
      </c>
      <c r="H538">
        <v>1768.6</v>
      </c>
      <c r="I538">
        <v>2152.1999999999998</v>
      </c>
      <c r="J538" t="s">
        <v>26</v>
      </c>
      <c r="K538">
        <v>0.25</v>
      </c>
      <c r="L538" t="s">
        <v>24</v>
      </c>
      <c r="M538" t="s">
        <v>20</v>
      </c>
    </row>
    <row r="539" spans="1:13" x14ac:dyDescent="0.25">
      <c r="A539">
        <v>1004</v>
      </c>
      <c r="B539" s="1">
        <v>45063</v>
      </c>
      <c r="C539" t="s">
        <v>32</v>
      </c>
      <c r="D539" t="s">
        <v>14</v>
      </c>
      <c r="E539">
        <v>5198.5600000000004</v>
      </c>
      <c r="F539">
        <v>36</v>
      </c>
      <c r="G539" t="s">
        <v>23</v>
      </c>
      <c r="H539">
        <v>3981.2</v>
      </c>
      <c r="I539">
        <v>4432.3499999999904</v>
      </c>
      <c r="J539" t="s">
        <v>26</v>
      </c>
      <c r="K539">
        <v>0.14000000000000001</v>
      </c>
      <c r="L539" t="s">
        <v>17</v>
      </c>
      <c r="M539" t="s">
        <v>18</v>
      </c>
    </row>
    <row r="540" spans="1:13" x14ac:dyDescent="0.25">
      <c r="A540">
        <v>1016</v>
      </c>
      <c r="B540" s="1">
        <v>45102</v>
      </c>
      <c r="C540" t="s">
        <v>32</v>
      </c>
      <c r="D540" t="s">
        <v>19</v>
      </c>
      <c r="E540">
        <v>5401.98</v>
      </c>
      <c r="F540">
        <v>2</v>
      </c>
      <c r="G540" t="s">
        <v>30</v>
      </c>
      <c r="H540">
        <v>3144.82</v>
      </c>
      <c r="I540">
        <v>3480.58</v>
      </c>
      <c r="J540" t="s">
        <v>16</v>
      </c>
      <c r="K540">
        <v>0.12</v>
      </c>
      <c r="L540" t="s">
        <v>17</v>
      </c>
      <c r="M540" t="s">
        <v>20</v>
      </c>
    </row>
    <row r="541" spans="1:13" x14ac:dyDescent="0.25">
      <c r="A541">
        <v>1024</v>
      </c>
      <c r="B541" s="1">
        <v>45254</v>
      </c>
      <c r="C541" t="s">
        <v>32</v>
      </c>
      <c r="D541" t="s">
        <v>22</v>
      </c>
      <c r="E541">
        <v>3633.17</v>
      </c>
      <c r="F541">
        <v>22</v>
      </c>
      <c r="G541" t="s">
        <v>23</v>
      </c>
      <c r="H541">
        <v>4691.32</v>
      </c>
      <c r="I541">
        <v>4752.88</v>
      </c>
      <c r="J541" t="s">
        <v>16</v>
      </c>
      <c r="K541">
        <v>7.0000000000000007E-2</v>
      </c>
      <c r="L541" t="s">
        <v>24</v>
      </c>
      <c r="M541" t="s">
        <v>20</v>
      </c>
    </row>
    <row r="542" spans="1:13" x14ac:dyDescent="0.25">
      <c r="A542">
        <v>1080</v>
      </c>
      <c r="B542" s="1">
        <v>45241</v>
      </c>
      <c r="C542" t="s">
        <v>32</v>
      </c>
      <c r="D542" t="s">
        <v>29</v>
      </c>
      <c r="E542">
        <v>3602.51</v>
      </c>
      <c r="F542">
        <v>32</v>
      </c>
      <c r="G542" t="s">
        <v>30</v>
      </c>
      <c r="H542">
        <v>3414.54</v>
      </c>
      <c r="I542">
        <v>3753.83</v>
      </c>
      <c r="J542" t="s">
        <v>26</v>
      </c>
      <c r="K542">
        <v>0.22</v>
      </c>
      <c r="L542" t="s">
        <v>17</v>
      </c>
      <c r="M542" t="s">
        <v>20</v>
      </c>
    </row>
    <row r="543" spans="1:13" x14ac:dyDescent="0.25">
      <c r="A543">
        <v>1002</v>
      </c>
      <c r="B543" s="1">
        <v>45141</v>
      </c>
      <c r="C543" t="s">
        <v>32</v>
      </c>
      <c r="D543" t="s">
        <v>22</v>
      </c>
      <c r="E543">
        <v>8302.7000000000007</v>
      </c>
      <c r="F543">
        <v>16</v>
      </c>
      <c r="G543" t="s">
        <v>15</v>
      </c>
      <c r="H543">
        <v>2872.4</v>
      </c>
      <c r="I543">
        <v>3193.76</v>
      </c>
      <c r="J543" t="s">
        <v>16</v>
      </c>
      <c r="K543">
        <v>0.04</v>
      </c>
      <c r="L543" t="s">
        <v>27</v>
      </c>
      <c r="M543" t="s">
        <v>18</v>
      </c>
    </row>
    <row r="544" spans="1:13" x14ac:dyDescent="0.25">
      <c r="A544">
        <v>1092</v>
      </c>
      <c r="B544" s="1">
        <v>45008</v>
      </c>
      <c r="C544" t="s">
        <v>13</v>
      </c>
      <c r="D544" t="s">
        <v>22</v>
      </c>
      <c r="E544">
        <v>7914</v>
      </c>
      <c r="F544">
        <v>18</v>
      </c>
      <c r="G544" t="s">
        <v>23</v>
      </c>
      <c r="H544">
        <v>3070.47</v>
      </c>
      <c r="I544">
        <v>3475.29</v>
      </c>
      <c r="J544" t="s">
        <v>16</v>
      </c>
      <c r="K544">
        <v>0.2</v>
      </c>
      <c r="L544" t="s">
        <v>24</v>
      </c>
      <c r="M544" t="s">
        <v>18</v>
      </c>
    </row>
    <row r="545" spans="1:13" x14ac:dyDescent="0.25">
      <c r="A545">
        <v>1032</v>
      </c>
      <c r="B545" s="1">
        <v>45149</v>
      </c>
      <c r="C545" t="s">
        <v>21</v>
      </c>
      <c r="D545" t="s">
        <v>29</v>
      </c>
      <c r="E545">
        <v>3147.18</v>
      </c>
      <c r="F545">
        <v>5</v>
      </c>
      <c r="G545" t="s">
        <v>23</v>
      </c>
      <c r="H545">
        <v>4714.74</v>
      </c>
      <c r="I545">
        <v>5129.1099999999997</v>
      </c>
      <c r="J545" t="s">
        <v>26</v>
      </c>
      <c r="K545">
        <v>0.25</v>
      </c>
      <c r="L545" t="s">
        <v>24</v>
      </c>
      <c r="M545" t="s">
        <v>18</v>
      </c>
    </row>
    <row r="546" spans="1:13" x14ac:dyDescent="0.25">
      <c r="A546">
        <v>1091</v>
      </c>
      <c r="B546" s="1">
        <v>45029</v>
      </c>
      <c r="C546" t="s">
        <v>31</v>
      </c>
      <c r="D546" t="s">
        <v>19</v>
      </c>
      <c r="E546">
        <v>9146.51</v>
      </c>
      <c r="F546">
        <v>36</v>
      </c>
      <c r="G546" t="s">
        <v>30</v>
      </c>
      <c r="H546">
        <v>3951.59</v>
      </c>
      <c r="I546">
        <v>4387.01</v>
      </c>
      <c r="J546" t="s">
        <v>26</v>
      </c>
      <c r="K546">
        <v>7.0000000000000007E-2</v>
      </c>
      <c r="L546" t="s">
        <v>24</v>
      </c>
      <c r="M546" t="s">
        <v>20</v>
      </c>
    </row>
    <row r="547" spans="1:13" x14ac:dyDescent="0.25">
      <c r="A547">
        <v>1084</v>
      </c>
      <c r="B547" s="1">
        <v>45199</v>
      </c>
      <c r="C547" t="s">
        <v>32</v>
      </c>
      <c r="D547" t="s">
        <v>29</v>
      </c>
      <c r="E547">
        <v>9532.8700000000008</v>
      </c>
      <c r="F547">
        <v>30</v>
      </c>
      <c r="G547" t="s">
        <v>23</v>
      </c>
      <c r="H547">
        <v>169</v>
      </c>
      <c r="I547">
        <v>381.91999999999899</v>
      </c>
      <c r="J547" t="s">
        <v>16</v>
      </c>
      <c r="K547">
        <v>0.26</v>
      </c>
      <c r="L547" t="s">
        <v>17</v>
      </c>
      <c r="M547" t="s">
        <v>20</v>
      </c>
    </row>
    <row r="548" spans="1:13" x14ac:dyDescent="0.25">
      <c r="A548">
        <v>1024</v>
      </c>
      <c r="B548" s="1">
        <v>44940</v>
      </c>
      <c r="C548" t="s">
        <v>13</v>
      </c>
      <c r="D548" t="s">
        <v>22</v>
      </c>
      <c r="E548">
        <v>3334.75</v>
      </c>
      <c r="F548">
        <v>45</v>
      </c>
      <c r="G548" t="s">
        <v>25</v>
      </c>
      <c r="H548">
        <v>2693.99</v>
      </c>
      <c r="I548">
        <v>3045.9399999999901</v>
      </c>
      <c r="J548" t="s">
        <v>26</v>
      </c>
      <c r="K548">
        <v>0.01</v>
      </c>
      <c r="L548" t="s">
        <v>17</v>
      </c>
      <c r="M548" t="s">
        <v>20</v>
      </c>
    </row>
    <row r="549" spans="1:13" x14ac:dyDescent="0.25">
      <c r="A549">
        <v>1012</v>
      </c>
      <c r="B549" s="1">
        <v>45085</v>
      </c>
      <c r="C549" t="s">
        <v>13</v>
      </c>
      <c r="D549" t="s">
        <v>29</v>
      </c>
      <c r="E549">
        <v>3608.81</v>
      </c>
      <c r="F549">
        <v>19</v>
      </c>
      <c r="G549" t="s">
        <v>15</v>
      </c>
      <c r="H549">
        <v>3457.28</v>
      </c>
      <c r="I549">
        <v>3598.72</v>
      </c>
      <c r="J549" t="s">
        <v>26</v>
      </c>
      <c r="K549">
        <v>0.27</v>
      </c>
      <c r="L549" t="s">
        <v>24</v>
      </c>
      <c r="M549" t="s">
        <v>18</v>
      </c>
    </row>
    <row r="550" spans="1:13" x14ac:dyDescent="0.25">
      <c r="A550">
        <v>1050</v>
      </c>
      <c r="B550" s="1">
        <v>45078</v>
      </c>
      <c r="C550" t="s">
        <v>13</v>
      </c>
      <c r="D550" t="s">
        <v>22</v>
      </c>
      <c r="E550">
        <v>5105.78</v>
      </c>
      <c r="F550">
        <v>23</v>
      </c>
      <c r="G550" t="s">
        <v>15</v>
      </c>
      <c r="H550">
        <v>3756.06</v>
      </c>
      <c r="I550">
        <v>4255.7299999999996</v>
      </c>
      <c r="J550" t="s">
        <v>16</v>
      </c>
      <c r="K550">
        <v>0.04</v>
      </c>
      <c r="L550" t="s">
        <v>17</v>
      </c>
      <c r="M550" t="s">
        <v>18</v>
      </c>
    </row>
    <row r="551" spans="1:13" x14ac:dyDescent="0.25">
      <c r="A551">
        <v>1035</v>
      </c>
      <c r="B551" s="1">
        <v>45034</v>
      </c>
      <c r="C551" t="s">
        <v>21</v>
      </c>
      <c r="D551" t="s">
        <v>22</v>
      </c>
      <c r="E551">
        <v>9417.1</v>
      </c>
      <c r="F551">
        <v>34</v>
      </c>
      <c r="G551" t="s">
        <v>23</v>
      </c>
      <c r="H551">
        <v>1105.05</v>
      </c>
      <c r="I551">
        <v>1200.96</v>
      </c>
      <c r="J551" t="s">
        <v>16</v>
      </c>
      <c r="K551">
        <v>0.19</v>
      </c>
      <c r="L551" t="s">
        <v>17</v>
      </c>
      <c r="M551" t="s">
        <v>18</v>
      </c>
    </row>
    <row r="552" spans="1:13" x14ac:dyDescent="0.25">
      <c r="A552">
        <v>1033</v>
      </c>
      <c r="B552" s="1">
        <v>45114</v>
      </c>
      <c r="C552" t="s">
        <v>31</v>
      </c>
      <c r="D552" t="s">
        <v>29</v>
      </c>
      <c r="E552">
        <v>8775.56</v>
      </c>
      <c r="F552">
        <v>13</v>
      </c>
      <c r="G552" t="s">
        <v>23</v>
      </c>
      <c r="H552">
        <v>4342.53</v>
      </c>
      <c r="I552">
        <v>4357.49</v>
      </c>
      <c r="J552" t="s">
        <v>26</v>
      </c>
      <c r="K552">
        <v>0.08</v>
      </c>
      <c r="L552" t="s">
        <v>24</v>
      </c>
      <c r="M552" t="s">
        <v>18</v>
      </c>
    </row>
    <row r="553" spans="1:13" x14ac:dyDescent="0.25">
      <c r="A553">
        <v>1033</v>
      </c>
      <c r="B553" s="1">
        <v>45227</v>
      </c>
      <c r="C553" t="s">
        <v>21</v>
      </c>
      <c r="D553" t="s">
        <v>14</v>
      </c>
      <c r="E553">
        <v>1115.42</v>
      </c>
      <c r="F553">
        <v>43</v>
      </c>
      <c r="G553" t="s">
        <v>25</v>
      </c>
      <c r="H553">
        <v>4781.42</v>
      </c>
      <c r="I553">
        <v>4864.34</v>
      </c>
      <c r="J553" t="s">
        <v>16</v>
      </c>
      <c r="K553">
        <v>0.25</v>
      </c>
      <c r="L553" t="s">
        <v>24</v>
      </c>
      <c r="M553" t="s">
        <v>18</v>
      </c>
    </row>
    <row r="554" spans="1:13" x14ac:dyDescent="0.25">
      <c r="A554">
        <v>1061</v>
      </c>
      <c r="B554" s="1">
        <v>45024</v>
      </c>
      <c r="C554" t="s">
        <v>28</v>
      </c>
      <c r="D554" t="s">
        <v>29</v>
      </c>
      <c r="E554">
        <v>3988.03</v>
      </c>
      <c r="F554">
        <v>29</v>
      </c>
      <c r="G554" t="s">
        <v>25</v>
      </c>
      <c r="H554">
        <v>1221.74</v>
      </c>
      <c r="I554">
        <v>1611.92</v>
      </c>
      <c r="J554" t="s">
        <v>26</v>
      </c>
      <c r="K554">
        <v>0.15</v>
      </c>
      <c r="L554" t="s">
        <v>17</v>
      </c>
      <c r="M554" t="s">
        <v>20</v>
      </c>
    </row>
    <row r="555" spans="1:13" x14ac:dyDescent="0.25">
      <c r="A555">
        <v>1051</v>
      </c>
      <c r="B555" s="1">
        <v>45057</v>
      </c>
      <c r="C555" t="s">
        <v>13</v>
      </c>
      <c r="D555" t="s">
        <v>14</v>
      </c>
      <c r="E555">
        <v>5578.37</v>
      </c>
      <c r="F555">
        <v>36</v>
      </c>
      <c r="G555" t="s">
        <v>23</v>
      </c>
      <c r="H555">
        <v>4418.95</v>
      </c>
      <c r="I555">
        <v>4647.87</v>
      </c>
      <c r="J555" t="s">
        <v>26</v>
      </c>
      <c r="K555">
        <v>0.04</v>
      </c>
      <c r="L555" t="s">
        <v>24</v>
      </c>
      <c r="M555" t="s">
        <v>18</v>
      </c>
    </row>
    <row r="556" spans="1:13" x14ac:dyDescent="0.25">
      <c r="A556">
        <v>1043</v>
      </c>
      <c r="B556" s="1">
        <v>45219</v>
      </c>
      <c r="C556" t="s">
        <v>28</v>
      </c>
      <c r="D556" t="s">
        <v>22</v>
      </c>
      <c r="E556">
        <v>5081.01</v>
      </c>
      <c r="F556">
        <v>22</v>
      </c>
      <c r="G556" t="s">
        <v>23</v>
      </c>
      <c r="H556">
        <v>530.04</v>
      </c>
      <c r="I556">
        <v>759.31999999999903</v>
      </c>
      <c r="J556" t="s">
        <v>16</v>
      </c>
      <c r="K556">
        <v>0.17</v>
      </c>
      <c r="L556" t="s">
        <v>24</v>
      </c>
      <c r="M556" t="s">
        <v>20</v>
      </c>
    </row>
    <row r="557" spans="1:13" x14ac:dyDescent="0.25">
      <c r="A557">
        <v>1012</v>
      </c>
      <c r="B557" s="1">
        <v>45097</v>
      </c>
      <c r="C557" t="s">
        <v>32</v>
      </c>
      <c r="D557" t="s">
        <v>22</v>
      </c>
      <c r="E557">
        <v>2019.24</v>
      </c>
      <c r="F557">
        <v>47</v>
      </c>
      <c r="G557" t="s">
        <v>25</v>
      </c>
      <c r="H557">
        <v>325.75</v>
      </c>
      <c r="I557">
        <v>803.71</v>
      </c>
      <c r="J557" t="s">
        <v>26</v>
      </c>
      <c r="K557">
        <v>0.12</v>
      </c>
      <c r="L557" t="s">
        <v>24</v>
      </c>
      <c r="M557" t="s">
        <v>20</v>
      </c>
    </row>
    <row r="558" spans="1:13" x14ac:dyDescent="0.25">
      <c r="A558">
        <v>1067</v>
      </c>
      <c r="B558" s="1">
        <v>45109</v>
      </c>
      <c r="C558" t="s">
        <v>32</v>
      </c>
      <c r="D558" t="s">
        <v>14</v>
      </c>
      <c r="E558">
        <v>8602.2900000000009</v>
      </c>
      <c r="F558">
        <v>36</v>
      </c>
      <c r="G558" t="s">
        <v>30</v>
      </c>
      <c r="H558">
        <v>689.66</v>
      </c>
      <c r="I558">
        <v>1150.28</v>
      </c>
      <c r="J558" t="s">
        <v>26</v>
      </c>
      <c r="K558">
        <v>0.2</v>
      </c>
      <c r="L558" t="s">
        <v>24</v>
      </c>
      <c r="M558" t="s">
        <v>18</v>
      </c>
    </row>
    <row r="559" spans="1:13" x14ac:dyDescent="0.25">
      <c r="A559">
        <v>1065</v>
      </c>
      <c r="B559" s="1">
        <v>45290</v>
      </c>
      <c r="C559" t="s">
        <v>21</v>
      </c>
      <c r="D559" t="s">
        <v>22</v>
      </c>
      <c r="E559">
        <v>6801.71</v>
      </c>
      <c r="F559">
        <v>9</v>
      </c>
      <c r="G559" t="s">
        <v>25</v>
      </c>
      <c r="H559">
        <v>335.82</v>
      </c>
      <c r="I559">
        <v>498.31</v>
      </c>
      <c r="J559" t="s">
        <v>26</v>
      </c>
      <c r="K559">
        <v>0.26</v>
      </c>
      <c r="L559" t="s">
        <v>17</v>
      </c>
      <c r="M559" t="s">
        <v>20</v>
      </c>
    </row>
    <row r="560" spans="1:13" x14ac:dyDescent="0.25">
      <c r="A560">
        <v>1033</v>
      </c>
      <c r="B560" s="1">
        <v>44965</v>
      </c>
      <c r="C560" t="s">
        <v>31</v>
      </c>
      <c r="D560" t="s">
        <v>14</v>
      </c>
      <c r="E560">
        <v>8395.2900000000009</v>
      </c>
      <c r="F560">
        <v>39</v>
      </c>
      <c r="G560" t="s">
        <v>30</v>
      </c>
      <c r="H560">
        <v>4232.8100000000004</v>
      </c>
      <c r="I560">
        <v>4345.25</v>
      </c>
      <c r="J560" t="s">
        <v>16</v>
      </c>
      <c r="K560">
        <v>0.12</v>
      </c>
      <c r="L560" t="s">
        <v>24</v>
      </c>
      <c r="M560" t="s">
        <v>18</v>
      </c>
    </row>
    <row r="561" spans="1:13" x14ac:dyDescent="0.25">
      <c r="A561">
        <v>1040</v>
      </c>
      <c r="B561" s="1">
        <v>44941</v>
      </c>
      <c r="C561" t="s">
        <v>28</v>
      </c>
      <c r="D561" t="s">
        <v>14</v>
      </c>
      <c r="E561">
        <v>8601.77</v>
      </c>
      <c r="F561">
        <v>19</v>
      </c>
      <c r="G561" t="s">
        <v>15</v>
      </c>
      <c r="H561">
        <v>342.3</v>
      </c>
      <c r="I561">
        <v>768.06</v>
      </c>
      <c r="J561" t="s">
        <v>16</v>
      </c>
      <c r="K561">
        <v>0.09</v>
      </c>
      <c r="L561" t="s">
        <v>27</v>
      </c>
      <c r="M561" t="s">
        <v>18</v>
      </c>
    </row>
    <row r="562" spans="1:13" x14ac:dyDescent="0.25">
      <c r="A562">
        <v>1074</v>
      </c>
      <c r="B562" s="1">
        <v>44930</v>
      </c>
      <c r="C562" t="s">
        <v>31</v>
      </c>
      <c r="D562" t="s">
        <v>22</v>
      </c>
      <c r="E562">
        <v>7508.72</v>
      </c>
      <c r="F562">
        <v>38</v>
      </c>
      <c r="G562" t="s">
        <v>15</v>
      </c>
      <c r="H562">
        <v>1394.74</v>
      </c>
      <c r="I562">
        <v>1848.69</v>
      </c>
      <c r="J562" t="s">
        <v>16</v>
      </c>
      <c r="K562">
        <v>0</v>
      </c>
      <c r="L562" t="s">
        <v>24</v>
      </c>
      <c r="M562" t="s">
        <v>20</v>
      </c>
    </row>
    <row r="563" spans="1:13" x14ac:dyDescent="0.25">
      <c r="A563">
        <v>1043</v>
      </c>
      <c r="B563" s="1">
        <v>45275</v>
      </c>
      <c r="C563" t="s">
        <v>21</v>
      </c>
      <c r="D563" t="s">
        <v>19</v>
      </c>
      <c r="E563">
        <v>4448.18</v>
      </c>
      <c r="F563">
        <v>6</v>
      </c>
      <c r="G563" t="s">
        <v>25</v>
      </c>
      <c r="H563">
        <v>563.59</v>
      </c>
      <c r="I563">
        <v>838.97</v>
      </c>
      <c r="J563" t="s">
        <v>26</v>
      </c>
      <c r="K563">
        <v>0.17</v>
      </c>
      <c r="L563" t="s">
        <v>27</v>
      </c>
      <c r="M563" t="s">
        <v>18</v>
      </c>
    </row>
    <row r="564" spans="1:13" x14ac:dyDescent="0.25">
      <c r="A564">
        <v>1044</v>
      </c>
      <c r="B564" s="1">
        <v>45136</v>
      </c>
      <c r="C564" t="s">
        <v>32</v>
      </c>
      <c r="D564" t="s">
        <v>14</v>
      </c>
      <c r="E564">
        <v>6144.41</v>
      </c>
      <c r="F564">
        <v>47</v>
      </c>
      <c r="G564" t="s">
        <v>30</v>
      </c>
      <c r="H564">
        <v>1512.34</v>
      </c>
      <c r="I564">
        <v>1830.76</v>
      </c>
      <c r="J564" t="s">
        <v>26</v>
      </c>
      <c r="K564">
        <v>0.12</v>
      </c>
      <c r="L564" t="s">
        <v>24</v>
      </c>
      <c r="M564" t="s">
        <v>18</v>
      </c>
    </row>
    <row r="565" spans="1:13" x14ac:dyDescent="0.25">
      <c r="A565">
        <v>1029</v>
      </c>
      <c r="B565" s="1">
        <v>45087</v>
      </c>
      <c r="C565" t="s">
        <v>31</v>
      </c>
      <c r="D565" t="s">
        <v>29</v>
      </c>
      <c r="E565">
        <v>1687.62</v>
      </c>
      <c r="F565">
        <v>15</v>
      </c>
      <c r="G565" t="s">
        <v>25</v>
      </c>
      <c r="H565">
        <v>498.27</v>
      </c>
      <c r="I565">
        <v>634.16</v>
      </c>
      <c r="J565" t="s">
        <v>16</v>
      </c>
      <c r="K565">
        <v>0.11</v>
      </c>
      <c r="L565" t="s">
        <v>27</v>
      </c>
      <c r="M565" t="s">
        <v>20</v>
      </c>
    </row>
    <row r="566" spans="1:13" x14ac:dyDescent="0.25">
      <c r="A566">
        <v>1013</v>
      </c>
      <c r="B566" s="1">
        <v>44942</v>
      </c>
      <c r="C566" t="s">
        <v>31</v>
      </c>
      <c r="D566" t="s">
        <v>29</v>
      </c>
      <c r="E566">
        <v>6769.09</v>
      </c>
      <c r="F566">
        <v>20</v>
      </c>
      <c r="G566" t="s">
        <v>25</v>
      </c>
      <c r="H566">
        <v>3356.62</v>
      </c>
      <c r="I566">
        <v>3759.0099999999902</v>
      </c>
      <c r="J566" t="s">
        <v>16</v>
      </c>
      <c r="K566">
        <v>0.05</v>
      </c>
      <c r="L566" t="s">
        <v>27</v>
      </c>
      <c r="M566" t="s">
        <v>20</v>
      </c>
    </row>
    <row r="567" spans="1:13" x14ac:dyDescent="0.25">
      <c r="A567">
        <v>1012</v>
      </c>
      <c r="B567" s="1">
        <v>45034</v>
      </c>
      <c r="C567" t="s">
        <v>32</v>
      </c>
      <c r="D567" t="s">
        <v>22</v>
      </c>
      <c r="E567">
        <v>1874.61</v>
      </c>
      <c r="F567">
        <v>9</v>
      </c>
      <c r="G567" t="s">
        <v>30</v>
      </c>
      <c r="H567">
        <v>709.97</v>
      </c>
      <c r="I567">
        <v>1029.71</v>
      </c>
      <c r="J567" t="s">
        <v>16</v>
      </c>
      <c r="K567">
        <v>0.13</v>
      </c>
      <c r="L567" t="s">
        <v>24</v>
      </c>
      <c r="M567" t="s">
        <v>20</v>
      </c>
    </row>
    <row r="568" spans="1:13" x14ac:dyDescent="0.25">
      <c r="A568">
        <v>1095</v>
      </c>
      <c r="B568" s="1">
        <v>45237</v>
      </c>
      <c r="C568" t="s">
        <v>28</v>
      </c>
      <c r="D568" t="s">
        <v>19</v>
      </c>
      <c r="E568">
        <v>6970.1</v>
      </c>
      <c r="F568">
        <v>32</v>
      </c>
      <c r="G568" t="s">
        <v>25</v>
      </c>
      <c r="H568">
        <v>4266.6400000000003</v>
      </c>
      <c r="I568">
        <v>4523.3599999999997</v>
      </c>
      <c r="J568" t="s">
        <v>26</v>
      </c>
      <c r="K568">
        <v>0.3</v>
      </c>
      <c r="L568" t="s">
        <v>24</v>
      </c>
      <c r="M568" t="s">
        <v>20</v>
      </c>
    </row>
    <row r="569" spans="1:13" x14ac:dyDescent="0.25">
      <c r="A569">
        <v>1046</v>
      </c>
      <c r="B569" s="1">
        <v>45153</v>
      </c>
      <c r="C569" t="s">
        <v>32</v>
      </c>
      <c r="D569" t="s">
        <v>22</v>
      </c>
      <c r="E569">
        <v>2373.02</v>
      </c>
      <c r="F569">
        <v>4</v>
      </c>
      <c r="G569" t="s">
        <v>15</v>
      </c>
      <c r="H569">
        <v>4095.1</v>
      </c>
      <c r="I569">
        <v>4134.55</v>
      </c>
      <c r="J569" t="s">
        <v>16</v>
      </c>
      <c r="K569">
        <v>0.09</v>
      </c>
      <c r="L569" t="s">
        <v>24</v>
      </c>
      <c r="M569" t="s">
        <v>20</v>
      </c>
    </row>
    <row r="570" spans="1:13" x14ac:dyDescent="0.25">
      <c r="A570">
        <v>1002</v>
      </c>
      <c r="B570" s="1">
        <v>45096</v>
      </c>
      <c r="C570" t="s">
        <v>31</v>
      </c>
      <c r="D570" t="s">
        <v>19</v>
      </c>
      <c r="E570">
        <v>1263.76</v>
      </c>
      <c r="F570">
        <v>18</v>
      </c>
      <c r="G570" t="s">
        <v>23</v>
      </c>
      <c r="H570">
        <v>117.63</v>
      </c>
      <c r="I570">
        <v>576.44000000000005</v>
      </c>
      <c r="J570" t="s">
        <v>26</v>
      </c>
      <c r="K570">
        <v>0.18</v>
      </c>
      <c r="L570" t="s">
        <v>27</v>
      </c>
      <c r="M570" t="s">
        <v>20</v>
      </c>
    </row>
    <row r="571" spans="1:13" x14ac:dyDescent="0.25">
      <c r="A571">
        <v>1035</v>
      </c>
      <c r="B571" s="1">
        <v>44960</v>
      </c>
      <c r="C571" t="s">
        <v>28</v>
      </c>
      <c r="D571" t="s">
        <v>14</v>
      </c>
      <c r="E571">
        <v>1736.32</v>
      </c>
      <c r="F571">
        <v>5</v>
      </c>
      <c r="G571" t="s">
        <v>23</v>
      </c>
      <c r="H571">
        <v>4483.8500000000004</v>
      </c>
      <c r="I571">
        <v>4795.42</v>
      </c>
      <c r="J571" t="s">
        <v>16</v>
      </c>
      <c r="K571">
        <v>0.23</v>
      </c>
      <c r="L571" t="s">
        <v>17</v>
      </c>
      <c r="M571" t="s">
        <v>18</v>
      </c>
    </row>
    <row r="572" spans="1:13" x14ac:dyDescent="0.25">
      <c r="A572">
        <v>1087</v>
      </c>
      <c r="B572" s="1">
        <v>45177</v>
      </c>
      <c r="C572" t="s">
        <v>28</v>
      </c>
      <c r="D572" t="s">
        <v>14</v>
      </c>
      <c r="E572">
        <v>119.72</v>
      </c>
      <c r="F572">
        <v>20</v>
      </c>
      <c r="G572" t="s">
        <v>25</v>
      </c>
      <c r="H572">
        <v>193.27</v>
      </c>
      <c r="I572">
        <v>297.69</v>
      </c>
      <c r="J572" t="s">
        <v>26</v>
      </c>
      <c r="K572">
        <v>0.22</v>
      </c>
      <c r="L572" t="s">
        <v>17</v>
      </c>
      <c r="M572" t="s">
        <v>18</v>
      </c>
    </row>
    <row r="573" spans="1:13" x14ac:dyDescent="0.25">
      <c r="A573">
        <v>1081</v>
      </c>
      <c r="B573" s="1">
        <v>45173</v>
      </c>
      <c r="C573" t="s">
        <v>32</v>
      </c>
      <c r="D573" t="s">
        <v>14</v>
      </c>
      <c r="E573">
        <v>7215.52</v>
      </c>
      <c r="F573">
        <v>23</v>
      </c>
      <c r="G573" t="s">
        <v>30</v>
      </c>
      <c r="H573">
        <v>1236.25</v>
      </c>
      <c r="I573">
        <v>1543.38</v>
      </c>
      <c r="J573" t="s">
        <v>26</v>
      </c>
      <c r="K573">
        <v>0.1</v>
      </c>
      <c r="L573" t="s">
        <v>24</v>
      </c>
      <c r="M573" t="s">
        <v>18</v>
      </c>
    </row>
    <row r="574" spans="1:13" x14ac:dyDescent="0.25">
      <c r="A574">
        <v>1090</v>
      </c>
      <c r="B574" s="1">
        <v>45195</v>
      </c>
      <c r="C574" t="s">
        <v>31</v>
      </c>
      <c r="D574" t="s">
        <v>14</v>
      </c>
      <c r="E574">
        <v>7350.77</v>
      </c>
      <c r="F574">
        <v>11</v>
      </c>
      <c r="G574" t="s">
        <v>30</v>
      </c>
      <c r="H574">
        <v>210.33</v>
      </c>
      <c r="I574">
        <v>552.29</v>
      </c>
      <c r="J574" t="s">
        <v>16</v>
      </c>
      <c r="K574">
        <v>0.18</v>
      </c>
      <c r="L574" t="s">
        <v>17</v>
      </c>
      <c r="M574" t="s">
        <v>20</v>
      </c>
    </row>
    <row r="575" spans="1:13" x14ac:dyDescent="0.25">
      <c r="A575">
        <v>1008</v>
      </c>
      <c r="B575" s="1">
        <v>45067</v>
      </c>
      <c r="C575" t="s">
        <v>21</v>
      </c>
      <c r="D575" t="s">
        <v>29</v>
      </c>
      <c r="E575">
        <v>5197.84</v>
      </c>
      <c r="F575">
        <v>37</v>
      </c>
      <c r="G575" t="s">
        <v>15</v>
      </c>
      <c r="H575">
        <v>1712.43</v>
      </c>
      <c r="I575">
        <v>1980.06</v>
      </c>
      <c r="J575" t="s">
        <v>26</v>
      </c>
      <c r="K575">
        <v>0.26</v>
      </c>
      <c r="L575" t="s">
        <v>17</v>
      </c>
      <c r="M575" t="s">
        <v>18</v>
      </c>
    </row>
    <row r="576" spans="1:13" x14ac:dyDescent="0.25">
      <c r="A576">
        <v>1093</v>
      </c>
      <c r="B576" s="1">
        <v>45200</v>
      </c>
      <c r="C576" t="s">
        <v>31</v>
      </c>
      <c r="D576" t="s">
        <v>29</v>
      </c>
      <c r="E576">
        <v>1697.49</v>
      </c>
      <c r="F576">
        <v>22</v>
      </c>
      <c r="G576" t="s">
        <v>30</v>
      </c>
      <c r="H576">
        <v>2593.64</v>
      </c>
      <c r="I576">
        <v>2955.5099999999902</v>
      </c>
      <c r="J576" t="s">
        <v>16</v>
      </c>
      <c r="K576">
        <v>0</v>
      </c>
      <c r="L576" t="s">
        <v>24</v>
      </c>
      <c r="M576" t="s">
        <v>20</v>
      </c>
    </row>
    <row r="577" spans="1:13" x14ac:dyDescent="0.25">
      <c r="A577">
        <v>1026</v>
      </c>
      <c r="B577" s="1">
        <v>45022</v>
      </c>
      <c r="C577" t="s">
        <v>13</v>
      </c>
      <c r="D577" t="s">
        <v>22</v>
      </c>
      <c r="E577">
        <v>927.19</v>
      </c>
      <c r="F577">
        <v>4</v>
      </c>
      <c r="G577" t="s">
        <v>30</v>
      </c>
      <c r="H577">
        <v>3993.39</v>
      </c>
      <c r="I577">
        <v>4288.3</v>
      </c>
      <c r="J577" t="s">
        <v>26</v>
      </c>
      <c r="K577">
        <v>0.13</v>
      </c>
      <c r="L577" t="s">
        <v>27</v>
      </c>
      <c r="M577" t="s">
        <v>18</v>
      </c>
    </row>
    <row r="578" spans="1:13" x14ac:dyDescent="0.25">
      <c r="A578">
        <v>1074</v>
      </c>
      <c r="B578" s="1">
        <v>45153</v>
      </c>
      <c r="C578" t="s">
        <v>21</v>
      </c>
      <c r="D578" t="s">
        <v>19</v>
      </c>
      <c r="E578">
        <v>289.38</v>
      </c>
      <c r="F578">
        <v>29</v>
      </c>
      <c r="G578" t="s">
        <v>15</v>
      </c>
      <c r="H578">
        <v>1723.01</v>
      </c>
      <c r="I578">
        <v>2197.42</v>
      </c>
      <c r="J578" t="s">
        <v>26</v>
      </c>
      <c r="K578">
        <v>7.0000000000000007E-2</v>
      </c>
      <c r="L578" t="s">
        <v>24</v>
      </c>
      <c r="M578" t="s">
        <v>20</v>
      </c>
    </row>
    <row r="579" spans="1:13" x14ac:dyDescent="0.25">
      <c r="A579">
        <v>1090</v>
      </c>
      <c r="B579" s="1">
        <v>44965</v>
      </c>
      <c r="C579" t="s">
        <v>28</v>
      </c>
      <c r="D579" t="s">
        <v>14</v>
      </c>
      <c r="E579">
        <v>1740.91</v>
      </c>
      <c r="F579">
        <v>44</v>
      </c>
      <c r="G579" t="s">
        <v>25</v>
      </c>
      <c r="H579">
        <v>3542.18</v>
      </c>
      <c r="I579">
        <v>3578.49</v>
      </c>
      <c r="J579" t="s">
        <v>16</v>
      </c>
      <c r="K579">
        <v>0.12</v>
      </c>
      <c r="L579" t="s">
        <v>17</v>
      </c>
      <c r="M579" t="s">
        <v>18</v>
      </c>
    </row>
    <row r="580" spans="1:13" x14ac:dyDescent="0.25">
      <c r="A580">
        <v>1034</v>
      </c>
      <c r="B580" s="1">
        <v>45228</v>
      </c>
      <c r="C580" t="s">
        <v>21</v>
      </c>
      <c r="D580" t="s">
        <v>14</v>
      </c>
      <c r="E580">
        <v>8919.4699999999993</v>
      </c>
      <c r="F580">
        <v>34</v>
      </c>
      <c r="G580" t="s">
        <v>23</v>
      </c>
      <c r="H580">
        <v>978.15</v>
      </c>
      <c r="I580">
        <v>1040.21</v>
      </c>
      <c r="J580" t="s">
        <v>26</v>
      </c>
      <c r="K580">
        <v>0.12</v>
      </c>
      <c r="L580" t="s">
        <v>27</v>
      </c>
      <c r="M580" t="s">
        <v>20</v>
      </c>
    </row>
    <row r="581" spans="1:13" x14ac:dyDescent="0.25">
      <c r="A581">
        <v>1007</v>
      </c>
      <c r="B581" s="1">
        <v>44955</v>
      </c>
      <c r="C581" t="s">
        <v>28</v>
      </c>
      <c r="D581" t="s">
        <v>19</v>
      </c>
      <c r="E581">
        <v>2491.21</v>
      </c>
      <c r="F581">
        <v>13</v>
      </c>
      <c r="G581" t="s">
        <v>15</v>
      </c>
      <c r="H581">
        <v>3765.46</v>
      </c>
      <c r="I581">
        <v>3860.56</v>
      </c>
      <c r="J581" t="s">
        <v>16</v>
      </c>
      <c r="K581">
        <v>0.22</v>
      </c>
      <c r="L581" t="s">
        <v>17</v>
      </c>
      <c r="M581" t="s">
        <v>20</v>
      </c>
    </row>
    <row r="582" spans="1:13" x14ac:dyDescent="0.25">
      <c r="A582">
        <v>1068</v>
      </c>
      <c r="B582" s="1">
        <v>45244</v>
      </c>
      <c r="C582" t="s">
        <v>28</v>
      </c>
      <c r="D582" t="s">
        <v>19</v>
      </c>
      <c r="E582">
        <v>3607.29</v>
      </c>
      <c r="F582">
        <v>42</v>
      </c>
      <c r="G582" t="s">
        <v>25</v>
      </c>
      <c r="H582">
        <v>1218.18</v>
      </c>
      <c r="I582">
        <v>1566.36</v>
      </c>
      <c r="J582" t="s">
        <v>16</v>
      </c>
      <c r="K582">
        <v>0.03</v>
      </c>
      <c r="L582" t="s">
        <v>27</v>
      </c>
      <c r="M582" t="s">
        <v>20</v>
      </c>
    </row>
    <row r="583" spans="1:13" x14ac:dyDescent="0.25">
      <c r="A583">
        <v>1058</v>
      </c>
      <c r="B583" s="1">
        <v>45171</v>
      </c>
      <c r="C583" t="s">
        <v>21</v>
      </c>
      <c r="D583" t="s">
        <v>22</v>
      </c>
      <c r="E583">
        <v>1142.92</v>
      </c>
      <c r="F583">
        <v>9</v>
      </c>
      <c r="G583" t="s">
        <v>15</v>
      </c>
      <c r="H583">
        <v>760.55</v>
      </c>
      <c r="I583">
        <v>1086.8899999999901</v>
      </c>
      <c r="J583" t="s">
        <v>16</v>
      </c>
      <c r="K583">
        <v>0.15</v>
      </c>
      <c r="L583" t="s">
        <v>17</v>
      </c>
      <c r="M583" t="s">
        <v>20</v>
      </c>
    </row>
    <row r="584" spans="1:13" x14ac:dyDescent="0.25">
      <c r="A584">
        <v>1075</v>
      </c>
      <c r="B584" s="1">
        <v>45162</v>
      </c>
      <c r="C584" t="s">
        <v>28</v>
      </c>
      <c r="D584" t="s">
        <v>19</v>
      </c>
      <c r="E584">
        <v>2301.38</v>
      </c>
      <c r="F584">
        <v>42</v>
      </c>
      <c r="G584" t="s">
        <v>25</v>
      </c>
      <c r="H584">
        <v>967.77</v>
      </c>
      <c r="I584">
        <v>1414.88</v>
      </c>
      <c r="J584" t="s">
        <v>26</v>
      </c>
      <c r="K584">
        <v>0.17</v>
      </c>
      <c r="L584" t="s">
        <v>24</v>
      </c>
      <c r="M584" t="s">
        <v>18</v>
      </c>
    </row>
    <row r="585" spans="1:13" x14ac:dyDescent="0.25">
      <c r="A585">
        <v>1029</v>
      </c>
      <c r="B585" s="1">
        <v>45111</v>
      </c>
      <c r="C585" t="s">
        <v>28</v>
      </c>
      <c r="D585" t="s">
        <v>14</v>
      </c>
      <c r="E585">
        <v>5240.32</v>
      </c>
      <c r="F585">
        <v>31</v>
      </c>
      <c r="G585" t="s">
        <v>15</v>
      </c>
      <c r="H585">
        <v>951.21</v>
      </c>
      <c r="I585">
        <v>1320.32</v>
      </c>
      <c r="J585" t="s">
        <v>26</v>
      </c>
      <c r="K585">
        <v>0.15</v>
      </c>
      <c r="L585" t="s">
        <v>17</v>
      </c>
      <c r="M585" t="s">
        <v>18</v>
      </c>
    </row>
    <row r="586" spans="1:13" x14ac:dyDescent="0.25">
      <c r="A586">
        <v>1036</v>
      </c>
      <c r="B586" s="1">
        <v>45198</v>
      </c>
      <c r="C586" t="s">
        <v>13</v>
      </c>
      <c r="D586" t="s">
        <v>14</v>
      </c>
      <c r="E586">
        <v>6116.75</v>
      </c>
      <c r="F586">
        <v>7</v>
      </c>
      <c r="G586" t="s">
        <v>25</v>
      </c>
      <c r="H586">
        <v>2588.67</v>
      </c>
      <c r="I586">
        <v>2847.76</v>
      </c>
      <c r="J586" t="s">
        <v>26</v>
      </c>
      <c r="K586">
        <v>0.22</v>
      </c>
      <c r="L586" t="s">
        <v>17</v>
      </c>
      <c r="M586" t="s">
        <v>20</v>
      </c>
    </row>
    <row r="587" spans="1:13" x14ac:dyDescent="0.25">
      <c r="A587">
        <v>1089</v>
      </c>
      <c r="B587" s="1">
        <v>45162</v>
      </c>
      <c r="C587" t="s">
        <v>31</v>
      </c>
      <c r="D587" t="s">
        <v>14</v>
      </c>
      <c r="E587">
        <v>2528.9899999999998</v>
      </c>
      <c r="F587">
        <v>4</v>
      </c>
      <c r="G587" t="s">
        <v>15</v>
      </c>
      <c r="H587">
        <v>4231.75</v>
      </c>
      <c r="I587">
        <v>4727.75</v>
      </c>
      <c r="J587" t="s">
        <v>16</v>
      </c>
      <c r="K587">
        <v>0.12</v>
      </c>
      <c r="L587" t="s">
        <v>27</v>
      </c>
      <c r="M587" t="s">
        <v>20</v>
      </c>
    </row>
    <row r="588" spans="1:13" x14ac:dyDescent="0.25">
      <c r="A588">
        <v>1021</v>
      </c>
      <c r="B588" s="1">
        <v>45165</v>
      </c>
      <c r="C588" t="s">
        <v>31</v>
      </c>
      <c r="D588" t="s">
        <v>14</v>
      </c>
      <c r="E588">
        <v>671.55</v>
      </c>
      <c r="F588">
        <v>19</v>
      </c>
      <c r="G588" t="s">
        <v>25</v>
      </c>
      <c r="H588">
        <v>444.05</v>
      </c>
      <c r="I588">
        <v>584.44000000000005</v>
      </c>
      <c r="J588" t="s">
        <v>16</v>
      </c>
      <c r="K588">
        <v>0.28000000000000003</v>
      </c>
      <c r="L588" t="s">
        <v>17</v>
      </c>
      <c r="M588" t="s">
        <v>20</v>
      </c>
    </row>
    <row r="589" spans="1:13" x14ac:dyDescent="0.25">
      <c r="A589">
        <v>1036</v>
      </c>
      <c r="B589" s="1">
        <v>45192</v>
      </c>
      <c r="C589" t="s">
        <v>13</v>
      </c>
      <c r="D589" t="s">
        <v>14</v>
      </c>
      <c r="E589">
        <v>3971.23</v>
      </c>
      <c r="F589">
        <v>42</v>
      </c>
      <c r="G589" t="s">
        <v>15</v>
      </c>
      <c r="H589">
        <v>3549.43</v>
      </c>
      <c r="I589">
        <v>3967.6899999999901</v>
      </c>
      <c r="J589" t="s">
        <v>26</v>
      </c>
      <c r="K589">
        <v>0.14000000000000001</v>
      </c>
      <c r="L589" t="s">
        <v>24</v>
      </c>
      <c r="M589" t="s">
        <v>18</v>
      </c>
    </row>
    <row r="590" spans="1:13" x14ac:dyDescent="0.25">
      <c r="A590">
        <v>1010</v>
      </c>
      <c r="B590" s="1">
        <v>45285</v>
      </c>
      <c r="C590" t="s">
        <v>21</v>
      </c>
      <c r="D590" t="s">
        <v>22</v>
      </c>
      <c r="E590">
        <v>2418.61</v>
      </c>
      <c r="F590">
        <v>30</v>
      </c>
      <c r="G590" t="s">
        <v>23</v>
      </c>
      <c r="H590">
        <v>3289.01</v>
      </c>
      <c r="I590">
        <v>3508.14</v>
      </c>
      <c r="J590" t="s">
        <v>26</v>
      </c>
      <c r="K590">
        <v>0.17</v>
      </c>
      <c r="L590" t="s">
        <v>24</v>
      </c>
      <c r="M590" t="s">
        <v>20</v>
      </c>
    </row>
    <row r="591" spans="1:13" x14ac:dyDescent="0.25">
      <c r="A591">
        <v>1073</v>
      </c>
      <c r="B591" s="1">
        <v>45266</v>
      </c>
      <c r="C591" t="s">
        <v>32</v>
      </c>
      <c r="D591" t="s">
        <v>14</v>
      </c>
      <c r="E591">
        <v>2273.58</v>
      </c>
      <c r="F591">
        <v>31</v>
      </c>
      <c r="G591" t="s">
        <v>23</v>
      </c>
      <c r="H591">
        <v>4368.97</v>
      </c>
      <c r="I591">
        <v>4696.8500000000004</v>
      </c>
      <c r="J591" t="s">
        <v>16</v>
      </c>
      <c r="K591">
        <v>0.25</v>
      </c>
      <c r="L591" t="s">
        <v>24</v>
      </c>
      <c r="M591" t="s">
        <v>20</v>
      </c>
    </row>
    <row r="592" spans="1:13" x14ac:dyDescent="0.25">
      <c r="A592">
        <v>1024</v>
      </c>
      <c r="B592" s="1">
        <v>44991</v>
      </c>
      <c r="C592" t="s">
        <v>32</v>
      </c>
      <c r="D592" t="s">
        <v>22</v>
      </c>
      <c r="E592">
        <v>9602.64</v>
      </c>
      <c r="F592">
        <v>35</v>
      </c>
      <c r="G592" t="s">
        <v>30</v>
      </c>
      <c r="H592">
        <v>1258.53</v>
      </c>
      <c r="I592">
        <v>1624.8899999999901</v>
      </c>
      <c r="J592" t="s">
        <v>26</v>
      </c>
      <c r="K592">
        <v>0.08</v>
      </c>
      <c r="L592" t="s">
        <v>27</v>
      </c>
      <c r="M592" t="s">
        <v>18</v>
      </c>
    </row>
    <row r="593" spans="1:13" x14ac:dyDescent="0.25">
      <c r="A593">
        <v>1064</v>
      </c>
      <c r="B593" s="1">
        <v>45103</v>
      </c>
      <c r="C593" t="s">
        <v>32</v>
      </c>
      <c r="D593" t="s">
        <v>14</v>
      </c>
      <c r="E593">
        <v>6201.37</v>
      </c>
      <c r="F593">
        <v>21</v>
      </c>
      <c r="G593" t="s">
        <v>25</v>
      </c>
      <c r="H593">
        <v>2278.04</v>
      </c>
      <c r="I593">
        <v>2598.58</v>
      </c>
      <c r="J593" t="s">
        <v>16</v>
      </c>
      <c r="K593">
        <v>0.02</v>
      </c>
      <c r="L593" t="s">
        <v>27</v>
      </c>
      <c r="M593" t="s">
        <v>20</v>
      </c>
    </row>
    <row r="594" spans="1:13" x14ac:dyDescent="0.25">
      <c r="A594">
        <v>1099</v>
      </c>
      <c r="B594" s="1">
        <v>44929</v>
      </c>
      <c r="C594" t="s">
        <v>13</v>
      </c>
      <c r="D594" t="s">
        <v>29</v>
      </c>
      <c r="E594">
        <v>5613.1</v>
      </c>
      <c r="F594">
        <v>31</v>
      </c>
      <c r="G594" t="s">
        <v>15</v>
      </c>
      <c r="H594">
        <v>4632.8500000000004</v>
      </c>
      <c r="I594">
        <v>4711.7</v>
      </c>
      <c r="J594" t="s">
        <v>26</v>
      </c>
      <c r="K594">
        <v>0.21</v>
      </c>
      <c r="L594" t="s">
        <v>17</v>
      </c>
      <c r="M594" t="s">
        <v>20</v>
      </c>
    </row>
    <row r="595" spans="1:13" x14ac:dyDescent="0.25">
      <c r="A595">
        <v>1049</v>
      </c>
      <c r="B595" s="1">
        <v>45068</v>
      </c>
      <c r="C595" t="s">
        <v>13</v>
      </c>
      <c r="D595" t="s">
        <v>29</v>
      </c>
      <c r="E595">
        <v>4216.17</v>
      </c>
      <c r="F595">
        <v>19</v>
      </c>
      <c r="G595" t="s">
        <v>25</v>
      </c>
      <c r="H595">
        <v>3316.97</v>
      </c>
      <c r="I595">
        <v>3544.02</v>
      </c>
      <c r="J595" t="s">
        <v>16</v>
      </c>
      <c r="K595">
        <v>0.14000000000000001</v>
      </c>
      <c r="L595" t="s">
        <v>17</v>
      </c>
      <c r="M595" t="s">
        <v>18</v>
      </c>
    </row>
    <row r="596" spans="1:13" x14ac:dyDescent="0.25">
      <c r="A596">
        <v>1099</v>
      </c>
      <c r="B596" s="1">
        <v>45084</v>
      </c>
      <c r="C596" t="s">
        <v>28</v>
      </c>
      <c r="D596" t="s">
        <v>29</v>
      </c>
      <c r="E596">
        <v>4346.55</v>
      </c>
      <c r="F596">
        <v>31</v>
      </c>
      <c r="G596" t="s">
        <v>23</v>
      </c>
      <c r="H596">
        <v>1974.4</v>
      </c>
      <c r="I596">
        <v>2259.5</v>
      </c>
      <c r="J596" t="s">
        <v>26</v>
      </c>
      <c r="K596">
        <v>0.27</v>
      </c>
      <c r="L596" t="s">
        <v>17</v>
      </c>
      <c r="M596" t="s">
        <v>20</v>
      </c>
    </row>
    <row r="597" spans="1:13" x14ac:dyDescent="0.25">
      <c r="A597">
        <v>1036</v>
      </c>
      <c r="B597" s="1">
        <v>45250</v>
      </c>
      <c r="C597" t="s">
        <v>32</v>
      </c>
      <c r="D597" t="s">
        <v>29</v>
      </c>
      <c r="E597">
        <v>5454.96</v>
      </c>
      <c r="F597">
        <v>32</v>
      </c>
      <c r="G597" t="s">
        <v>25</v>
      </c>
      <c r="H597">
        <v>700.49</v>
      </c>
      <c r="I597">
        <v>1126.52</v>
      </c>
      <c r="J597" t="s">
        <v>26</v>
      </c>
      <c r="K597">
        <v>0.28999999999999998</v>
      </c>
      <c r="L597" t="s">
        <v>27</v>
      </c>
      <c r="M597" t="s">
        <v>20</v>
      </c>
    </row>
    <row r="598" spans="1:13" x14ac:dyDescent="0.25">
      <c r="A598">
        <v>1082</v>
      </c>
      <c r="B598" s="1">
        <v>45072</v>
      </c>
      <c r="C598" t="s">
        <v>21</v>
      </c>
      <c r="D598" t="s">
        <v>22</v>
      </c>
      <c r="E598">
        <v>6994.66</v>
      </c>
      <c r="F598">
        <v>2</v>
      </c>
      <c r="G598" t="s">
        <v>15</v>
      </c>
      <c r="H598">
        <v>1349.3</v>
      </c>
      <c r="I598">
        <v>1576.69</v>
      </c>
      <c r="J598" t="s">
        <v>16</v>
      </c>
      <c r="K598">
        <v>0.12</v>
      </c>
      <c r="L598" t="s">
        <v>27</v>
      </c>
      <c r="M598" t="s">
        <v>18</v>
      </c>
    </row>
    <row r="599" spans="1:13" x14ac:dyDescent="0.25">
      <c r="A599">
        <v>1096</v>
      </c>
      <c r="B599" s="1">
        <v>45219</v>
      </c>
      <c r="C599" t="s">
        <v>21</v>
      </c>
      <c r="D599" t="s">
        <v>22</v>
      </c>
      <c r="E599">
        <v>7051.25</v>
      </c>
      <c r="F599">
        <v>10</v>
      </c>
      <c r="G599" t="s">
        <v>25</v>
      </c>
      <c r="H599">
        <v>2927.02</v>
      </c>
      <c r="I599">
        <v>3387.21</v>
      </c>
      <c r="J599" t="s">
        <v>16</v>
      </c>
      <c r="K599">
        <v>0.12</v>
      </c>
      <c r="L599" t="s">
        <v>17</v>
      </c>
      <c r="M599" t="s">
        <v>20</v>
      </c>
    </row>
    <row r="600" spans="1:13" x14ac:dyDescent="0.25">
      <c r="A600">
        <v>1024</v>
      </c>
      <c r="B600" s="1">
        <v>45079</v>
      </c>
      <c r="C600" t="s">
        <v>32</v>
      </c>
      <c r="D600" t="s">
        <v>19</v>
      </c>
      <c r="E600">
        <v>1799.77</v>
      </c>
      <c r="F600">
        <v>2</v>
      </c>
      <c r="G600" t="s">
        <v>15</v>
      </c>
      <c r="H600">
        <v>3604.93</v>
      </c>
      <c r="I600">
        <v>3830.71</v>
      </c>
      <c r="J600" t="s">
        <v>16</v>
      </c>
      <c r="K600">
        <v>0.12</v>
      </c>
      <c r="L600" t="s">
        <v>27</v>
      </c>
      <c r="M600" t="s">
        <v>18</v>
      </c>
    </row>
    <row r="601" spans="1:13" x14ac:dyDescent="0.25">
      <c r="A601">
        <v>1023</v>
      </c>
      <c r="B601" s="1">
        <v>45119</v>
      </c>
      <c r="C601" t="s">
        <v>32</v>
      </c>
      <c r="D601" t="s">
        <v>14</v>
      </c>
      <c r="E601">
        <v>5051.12</v>
      </c>
      <c r="F601">
        <v>2</v>
      </c>
      <c r="G601" t="s">
        <v>23</v>
      </c>
      <c r="H601">
        <v>665.89</v>
      </c>
      <c r="I601">
        <v>944.79</v>
      </c>
      <c r="J601" t="s">
        <v>26</v>
      </c>
      <c r="K601">
        <v>0.1</v>
      </c>
      <c r="L601" t="s">
        <v>27</v>
      </c>
      <c r="M601" t="s">
        <v>20</v>
      </c>
    </row>
    <row r="602" spans="1:13" x14ac:dyDescent="0.25">
      <c r="A602">
        <v>1062</v>
      </c>
      <c r="B602" s="1">
        <v>44999</v>
      </c>
      <c r="C602" t="s">
        <v>32</v>
      </c>
      <c r="D602" t="s">
        <v>29</v>
      </c>
      <c r="E602">
        <v>4178.3900000000003</v>
      </c>
      <c r="F602">
        <v>24</v>
      </c>
      <c r="G602" t="s">
        <v>23</v>
      </c>
      <c r="H602">
        <v>3018.01</v>
      </c>
      <c r="I602">
        <v>3418.19</v>
      </c>
      <c r="J602" t="s">
        <v>16</v>
      </c>
      <c r="K602">
        <v>0.23</v>
      </c>
      <c r="L602" t="s">
        <v>24</v>
      </c>
      <c r="M602" t="s">
        <v>20</v>
      </c>
    </row>
    <row r="603" spans="1:13" x14ac:dyDescent="0.25">
      <c r="A603">
        <v>1096</v>
      </c>
      <c r="B603" s="1">
        <v>45231</v>
      </c>
      <c r="C603" t="s">
        <v>13</v>
      </c>
      <c r="D603" t="s">
        <v>22</v>
      </c>
      <c r="E603">
        <v>8718.2199999999993</v>
      </c>
      <c r="F603">
        <v>17</v>
      </c>
      <c r="G603" t="s">
        <v>23</v>
      </c>
      <c r="H603">
        <v>2774.24</v>
      </c>
      <c r="I603">
        <v>3069.9399999999901</v>
      </c>
      <c r="J603" t="s">
        <v>16</v>
      </c>
      <c r="K603">
        <v>0.23</v>
      </c>
      <c r="L603" t="s">
        <v>24</v>
      </c>
      <c r="M603" t="s">
        <v>20</v>
      </c>
    </row>
    <row r="604" spans="1:13" x14ac:dyDescent="0.25">
      <c r="A604">
        <v>1037</v>
      </c>
      <c r="B604" s="1">
        <v>45270</v>
      </c>
      <c r="C604" t="s">
        <v>13</v>
      </c>
      <c r="D604" t="s">
        <v>14</v>
      </c>
      <c r="E604">
        <v>6351.05</v>
      </c>
      <c r="F604">
        <v>32</v>
      </c>
      <c r="G604" t="s">
        <v>30</v>
      </c>
      <c r="H604">
        <v>2594.08</v>
      </c>
      <c r="I604">
        <v>3074.59</v>
      </c>
      <c r="J604" t="s">
        <v>26</v>
      </c>
      <c r="K604">
        <v>0.14000000000000001</v>
      </c>
      <c r="L604" t="s">
        <v>17</v>
      </c>
      <c r="M604" t="s">
        <v>20</v>
      </c>
    </row>
    <row r="605" spans="1:13" x14ac:dyDescent="0.25">
      <c r="A605">
        <v>1012</v>
      </c>
      <c r="B605" s="1">
        <v>45066</v>
      </c>
      <c r="C605" t="s">
        <v>13</v>
      </c>
      <c r="D605" t="s">
        <v>14</v>
      </c>
      <c r="E605">
        <v>5371.79</v>
      </c>
      <c r="F605">
        <v>16</v>
      </c>
      <c r="G605" t="s">
        <v>23</v>
      </c>
      <c r="H605">
        <v>3466.11</v>
      </c>
      <c r="I605">
        <v>3799.67</v>
      </c>
      <c r="J605" t="s">
        <v>16</v>
      </c>
      <c r="K605">
        <v>0.01</v>
      </c>
      <c r="L605" t="s">
        <v>17</v>
      </c>
      <c r="M605" t="s">
        <v>20</v>
      </c>
    </row>
    <row r="606" spans="1:13" x14ac:dyDescent="0.25">
      <c r="A606">
        <v>1055</v>
      </c>
      <c r="B606" s="1">
        <v>45113</v>
      </c>
      <c r="C606" t="s">
        <v>31</v>
      </c>
      <c r="D606" t="s">
        <v>22</v>
      </c>
      <c r="E606">
        <v>1242.4100000000001</v>
      </c>
      <c r="F606">
        <v>16</v>
      </c>
      <c r="G606" t="s">
        <v>25</v>
      </c>
      <c r="H606">
        <v>4195.38</v>
      </c>
      <c r="I606">
        <v>4461.51</v>
      </c>
      <c r="J606" t="s">
        <v>16</v>
      </c>
      <c r="K606">
        <v>0.09</v>
      </c>
      <c r="L606" t="s">
        <v>24</v>
      </c>
      <c r="M606" t="s">
        <v>18</v>
      </c>
    </row>
    <row r="607" spans="1:13" x14ac:dyDescent="0.25">
      <c r="A607">
        <v>1013</v>
      </c>
      <c r="B607" s="1">
        <v>45219</v>
      </c>
      <c r="C607" t="s">
        <v>21</v>
      </c>
      <c r="D607" t="s">
        <v>29</v>
      </c>
      <c r="E607">
        <v>6095.82</v>
      </c>
      <c r="F607">
        <v>46</v>
      </c>
      <c r="G607" t="s">
        <v>30</v>
      </c>
      <c r="H607">
        <v>1648.8</v>
      </c>
      <c r="I607">
        <v>1670.36</v>
      </c>
      <c r="J607" t="s">
        <v>16</v>
      </c>
      <c r="K607">
        <v>0.09</v>
      </c>
      <c r="L607" t="s">
        <v>27</v>
      </c>
      <c r="M607" t="s">
        <v>20</v>
      </c>
    </row>
    <row r="608" spans="1:13" x14ac:dyDescent="0.25">
      <c r="A608">
        <v>1023</v>
      </c>
      <c r="B608" s="1">
        <v>44987</v>
      </c>
      <c r="C608" t="s">
        <v>21</v>
      </c>
      <c r="D608" t="s">
        <v>19</v>
      </c>
      <c r="E608">
        <v>1260.32</v>
      </c>
      <c r="F608">
        <v>39</v>
      </c>
      <c r="G608" t="s">
        <v>23</v>
      </c>
      <c r="H608">
        <v>4450.6099999999997</v>
      </c>
      <c r="I608">
        <v>4663.3399999999901</v>
      </c>
      <c r="J608" t="s">
        <v>26</v>
      </c>
      <c r="K608">
        <v>0.24</v>
      </c>
      <c r="L608" t="s">
        <v>17</v>
      </c>
      <c r="M608" t="s">
        <v>20</v>
      </c>
    </row>
    <row r="609" spans="1:13" x14ac:dyDescent="0.25">
      <c r="A609">
        <v>1089</v>
      </c>
      <c r="B609" s="1">
        <v>45124</v>
      </c>
      <c r="C609" t="s">
        <v>28</v>
      </c>
      <c r="D609" t="s">
        <v>14</v>
      </c>
      <c r="E609">
        <v>3438.35</v>
      </c>
      <c r="F609">
        <v>31</v>
      </c>
      <c r="G609" t="s">
        <v>25</v>
      </c>
      <c r="H609">
        <v>845.14</v>
      </c>
      <c r="I609">
        <v>1001.77</v>
      </c>
      <c r="J609" t="s">
        <v>26</v>
      </c>
      <c r="K609">
        <v>0.03</v>
      </c>
      <c r="L609" t="s">
        <v>17</v>
      </c>
      <c r="M609" t="s">
        <v>18</v>
      </c>
    </row>
    <row r="610" spans="1:13" x14ac:dyDescent="0.25">
      <c r="A610">
        <v>1099</v>
      </c>
      <c r="B610" s="1">
        <v>45221</v>
      </c>
      <c r="C610" t="s">
        <v>13</v>
      </c>
      <c r="D610" t="s">
        <v>19</v>
      </c>
      <c r="E610">
        <v>1514.14</v>
      </c>
      <c r="F610">
        <v>43</v>
      </c>
      <c r="G610" t="s">
        <v>25</v>
      </c>
      <c r="H610">
        <v>906.47</v>
      </c>
      <c r="I610">
        <v>1283.04</v>
      </c>
      <c r="J610" t="s">
        <v>26</v>
      </c>
      <c r="K610">
        <v>0.24</v>
      </c>
      <c r="L610" t="s">
        <v>17</v>
      </c>
      <c r="M610" t="s">
        <v>18</v>
      </c>
    </row>
    <row r="611" spans="1:13" x14ac:dyDescent="0.25">
      <c r="A611">
        <v>1030</v>
      </c>
      <c r="B611" s="1">
        <v>45245</v>
      </c>
      <c r="C611" t="s">
        <v>31</v>
      </c>
      <c r="D611" t="s">
        <v>29</v>
      </c>
      <c r="E611">
        <v>6951.53</v>
      </c>
      <c r="F611">
        <v>24</v>
      </c>
      <c r="G611" t="s">
        <v>25</v>
      </c>
      <c r="H611">
        <v>1370.52</v>
      </c>
      <c r="I611">
        <v>1482.58</v>
      </c>
      <c r="J611" t="s">
        <v>16</v>
      </c>
      <c r="K611">
        <v>0.2</v>
      </c>
      <c r="L611" t="s">
        <v>27</v>
      </c>
      <c r="M611" t="s">
        <v>20</v>
      </c>
    </row>
    <row r="612" spans="1:13" x14ac:dyDescent="0.25">
      <c r="A612">
        <v>1017</v>
      </c>
      <c r="B612" s="1">
        <v>45228</v>
      </c>
      <c r="C612" t="s">
        <v>31</v>
      </c>
      <c r="D612" t="s">
        <v>29</v>
      </c>
      <c r="E612">
        <v>2141.9</v>
      </c>
      <c r="F612">
        <v>1</v>
      </c>
      <c r="G612" t="s">
        <v>15</v>
      </c>
      <c r="H612">
        <v>641.67999999999995</v>
      </c>
      <c r="I612">
        <v>752.24</v>
      </c>
      <c r="J612" t="s">
        <v>26</v>
      </c>
      <c r="K612">
        <v>0.22</v>
      </c>
      <c r="L612" t="s">
        <v>24</v>
      </c>
      <c r="M612" t="s">
        <v>18</v>
      </c>
    </row>
    <row r="613" spans="1:13" x14ac:dyDescent="0.25">
      <c r="A613">
        <v>1062</v>
      </c>
      <c r="B613" s="1">
        <v>45270</v>
      </c>
      <c r="C613" t="s">
        <v>21</v>
      </c>
      <c r="D613" t="s">
        <v>19</v>
      </c>
      <c r="E613">
        <v>3979.41</v>
      </c>
      <c r="F613">
        <v>11</v>
      </c>
      <c r="G613" t="s">
        <v>30</v>
      </c>
      <c r="H613">
        <v>1190.08</v>
      </c>
      <c r="I613">
        <v>1292.9399999999901</v>
      </c>
      <c r="J613" t="s">
        <v>16</v>
      </c>
      <c r="K613">
        <v>0.13</v>
      </c>
      <c r="L613" t="s">
        <v>17</v>
      </c>
      <c r="M613" t="s">
        <v>20</v>
      </c>
    </row>
    <row r="614" spans="1:13" x14ac:dyDescent="0.25">
      <c r="A614">
        <v>1084</v>
      </c>
      <c r="B614" s="1">
        <v>44937</v>
      </c>
      <c r="C614" t="s">
        <v>13</v>
      </c>
      <c r="D614" t="s">
        <v>29</v>
      </c>
      <c r="E614">
        <v>8967.18</v>
      </c>
      <c r="F614">
        <v>21</v>
      </c>
      <c r="G614" t="s">
        <v>25</v>
      </c>
      <c r="H614">
        <v>576.74</v>
      </c>
      <c r="I614">
        <v>648.29</v>
      </c>
      <c r="J614" t="s">
        <v>16</v>
      </c>
      <c r="K614">
        <v>0.2</v>
      </c>
      <c r="L614" t="s">
        <v>24</v>
      </c>
      <c r="M614" t="s">
        <v>18</v>
      </c>
    </row>
    <row r="615" spans="1:13" x14ac:dyDescent="0.25">
      <c r="A615">
        <v>1089</v>
      </c>
      <c r="B615" s="1">
        <v>44988</v>
      </c>
      <c r="C615" t="s">
        <v>28</v>
      </c>
      <c r="D615" t="s">
        <v>14</v>
      </c>
      <c r="E615">
        <v>2122.73</v>
      </c>
      <c r="F615">
        <v>4</v>
      </c>
      <c r="G615" t="s">
        <v>15</v>
      </c>
      <c r="H615">
        <v>4117.67</v>
      </c>
      <c r="I615">
        <v>4280.0600000000004</v>
      </c>
      <c r="J615" t="s">
        <v>16</v>
      </c>
      <c r="K615">
        <v>0.18</v>
      </c>
      <c r="L615" t="s">
        <v>24</v>
      </c>
      <c r="M615" t="s">
        <v>18</v>
      </c>
    </row>
    <row r="616" spans="1:13" x14ac:dyDescent="0.25">
      <c r="A616">
        <v>1086</v>
      </c>
      <c r="B616" s="1">
        <v>45259</v>
      </c>
      <c r="C616" t="s">
        <v>13</v>
      </c>
      <c r="D616" t="s">
        <v>19</v>
      </c>
      <c r="E616">
        <v>5127.2700000000004</v>
      </c>
      <c r="F616">
        <v>7</v>
      </c>
      <c r="G616" t="s">
        <v>23</v>
      </c>
      <c r="H616">
        <v>737.9</v>
      </c>
      <c r="I616">
        <v>1182</v>
      </c>
      <c r="J616" t="s">
        <v>26</v>
      </c>
      <c r="K616">
        <v>0.23</v>
      </c>
      <c r="L616" t="s">
        <v>27</v>
      </c>
      <c r="M616" t="s">
        <v>20</v>
      </c>
    </row>
    <row r="617" spans="1:13" x14ac:dyDescent="0.25">
      <c r="A617">
        <v>1013</v>
      </c>
      <c r="B617" s="1">
        <v>45152</v>
      </c>
      <c r="C617" t="s">
        <v>32</v>
      </c>
      <c r="D617" t="s">
        <v>29</v>
      </c>
      <c r="E617">
        <v>4250.79</v>
      </c>
      <c r="F617">
        <v>26</v>
      </c>
      <c r="G617" t="s">
        <v>25</v>
      </c>
      <c r="H617">
        <v>3749.12</v>
      </c>
      <c r="I617">
        <v>4138.83</v>
      </c>
      <c r="J617" t="s">
        <v>26</v>
      </c>
      <c r="K617">
        <v>0.13</v>
      </c>
      <c r="L617" t="s">
        <v>27</v>
      </c>
      <c r="M617" t="s">
        <v>18</v>
      </c>
    </row>
    <row r="618" spans="1:13" x14ac:dyDescent="0.25">
      <c r="A618">
        <v>1059</v>
      </c>
      <c r="B618" s="1">
        <v>45079</v>
      </c>
      <c r="C618" t="s">
        <v>13</v>
      </c>
      <c r="D618" t="s">
        <v>19</v>
      </c>
      <c r="E618">
        <v>279.43</v>
      </c>
      <c r="F618">
        <v>47</v>
      </c>
      <c r="G618" t="s">
        <v>15</v>
      </c>
      <c r="H618">
        <v>287.17</v>
      </c>
      <c r="I618">
        <v>657.44</v>
      </c>
      <c r="J618" t="s">
        <v>16</v>
      </c>
      <c r="K618">
        <v>0.14000000000000001</v>
      </c>
      <c r="L618" t="s">
        <v>27</v>
      </c>
      <c r="M618" t="s">
        <v>20</v>
      </c>
    </row>
    <row r="619" spans="1:13" x14ac:dyDescent="0.25">
      <c r="A619">
        <v>1019</v>
      </c>
      <c r="B619" s="1">
        <v>45125</v>
      </c>
      <c r="C619" t="s">
        <v>32</v>
      </c>
      <c r="D619" t="s">
        <v>14</v>
      </c>
      <c r="E619">
        <v>7948.31</v>
      </c>
      <c r="F619">
        <v>12</v>
      </c>
      <c r="G619" t="s">
        <v>25</v>
      </c>
      <c r="H619">
        <v>4745.18</v>
      </c>
      <c r="I619">
        <v>5145.88</v>
      </c>
      <c r="J619" t="s">
        <v>16</v>
      </c>
      <c r="K619">
        <v>0.19</v>
      </c>
      <c r="L619" t="s">
        <v>27</v>
      </c>
      <c r="M619" t="s">
        <v>18</v>
      </c>
    </row>
    <row r="620" spans="1:13" x14ac:dyDescent="0.25">
      <c r="A620">
        <v>1049</v>
      </c>
      <c r="B620" s="1">
        <v>44978</v>
      </c>
      <c r="C620" t="s">
        <v>32</v>
      </c>
      <c r="D620" t="s">
        <v>29</v>
      </c>
      <c r="E620">
        <v>783.55</v>
      </c>
      <c r="F620">
        <v>31</v>
      </c>
      <c r="G620" t="s">
        <v>30</v>
      </c>
      <c r="H620">
        <v>3570.24</v>
      </c>
      <c r="I620">
        <v>3712.25</v>
      </c>
      <c r="J620" t="s">
        <v>26</v>
      </c>
      <c r="K620">
        <v>0.03</v>
      </c>
      <c r="L620" t="s">
        <v>27</v>
      </c>
      <c r="M620" t="s">
        <v>18</v>
      </c>
    </row>
    <row r="621" spans="1:13" x14ac:dyDescent="0.25">
      <c r="A621">
        <v>1100</v>
      </c>
      <c r="B621" s="1">
        <v>45186</v>
      </c>
      <c r="C621" t="s">
        <v>28</v>
      </c>
      <c r="D621" t="s">
        <v>14</v>
      </c>
      <c r="E621">
        <v>4795.12</v>
      </c>
      <c r="F621">
        <v>17</v>
      </c>
      <c r="G621" t="s">
        <v>30</v>
      </c>
      <c r="H621">
        <v>83.64</v>
      </c>
      <c r="I621">
        <v>528.49</v>
      </c>
      <c r="J621" t="s">
        <v>26</v>
      </c>
      <c r="K621">
        <v>0.13</v>
      </c>
      <c r="L621" t="s">
        <v>27</v>
      </c>
      <c r="M621" t="s">
        <v>18</v>
      </c>
    </row>
    <row r="622" spans="1:13" x14ac:dyDescent="0.25">
      <c r="A622">
        <v>1012</v>
      </c>
      <c r="B622" s="1">
        <v>44985</v>
      </c>
      <c r="C622" t="s">
        <v>21</v>
      </c>
      <c r="D622" t="s">
        <v>29</v>
      </c>
      <c r="E622">
        <v>5650.72</v>
      </c>
      <c r="F622">
        <v>33</v>
      </c>
      <c r="G622" t="s">
        <v>23</v>
      </c>
      <c r="H622">
        <v>3831.09</v>
      </c>
      <c r="I622">
        <v>3908.37</v>
      </c>
      <c r="J622" t="s">
        <v>26</v>
      </c>
      <c r="K622">
        <v>0.28999999999999998</v>
      </c>
      <c r="L622" t="s">
        <v>17</v>
      </c>
      <c r="M622" t="s">
        <v>20</v>
      </c>
    </row>
    <row r="623" spans="1:13" x14ac:dyDescent="0.25">
      <c r="A623">
        <v>1061</v>
      </c>
      <c r="B623" s="1">
        <v>44998</v>
      </c>
      <c r="C623" t="s">
        <v>13</v>
      </c>
      <c r="D623" t="s">
        <v>22</v>
      </c>
      <c r="E623">
        <v>6321.42</v>
      </c>
      <c r="F623">
        <v>11</v>
      </c>
      <c r="G623" t="s">
        <v>25</v>
      </c>
      <c r="H623">
        <v>2594.71</v>
      </c>
      <c r="I623">
        <v>2769.52</v>
      </c>
      <c r="J623" t="s">
        <v>16</v>
      </c>
      <c r="K623">
        <v>0.01</v>
      </c>
      <c r="L623" t="s">
        <v>24</v>
      </c>
      <c r="M623" t="s">
        <v>20</v>
      </c>
    </row>
    <row r="624" spans="1:13" x14ac:dyDescent="0.25">
      <c r="A624">
        <v>1019</v>
      </c>
      <c r="B624" s="1">
        <v>45074</v>
      </c>
      <c r="C624" t="s">
        <v>32</v>
      </c>
      <c r="D624" t="s">
        <v>29</v>
      </c>
      <c r="E624">
        <v>6917.45</v>
      </c>
      <c r="F624">
        <v>28</v>
      </c>
      <c r="G624" t="s">
        <v>15</v>
      </c>
      <c r="H624">
        <v>3907.86</v>
      </c>
      <c r="I624">
        <v>4205.37</v>
      </c>
      <c r="J624" t="s">
        <v>26</v>
      </c>
      <c r="K624">
        <v>0.09</v>
      </c>
      <c r="L624" t="s">
        <v>27</v>
      </c>
      <c r="M624" t="s">
        <v>18</v>
      </c>
    </row>
    <row r="625" spans="1:13" x14ac:dyDescent="0.25">
      <c r="A625">
        <v>1076</v>
      </c>
      <c r="B625" s="1">
        <v>45275</v>
      </c>
      <c r="C625" t="s">
        <v>13</v>
      </c>
      <c r="D625" t="s">
        <v>19</v>
      </c>
      <c r="E625">
        <v>2607.4</v>
      </c>
      <c r="F625">
        <v>32</v>
      </c>
      <c r="G625" t="s">
        <v>23</v>
      </c>
      <c r="H625">
        <v>2636.36</v>
      </c>
      <c r="I625">
        <v>2696.78</v>
      </c>
      <c r="J625" t="s">
        <v>26</v>
      </c>
      <c r="K625">
        <v>0.09</v>
      </c>
      <c r="L625" t="s">
        <v>17</v>
      </c>
      <c r="M625" t="s">
        <v>20</v>
      </c>
    </row>
    <row r="626" spans="1:13" x14ac:dyDescent="0.25">
      <c r="A626">
        <v>1009</v>
      </c>
      <c r="B626" s="1">
        <v>44989</v>
      </c>
      <c r="C626" t="s">
        <v>21</v>
      </c>
      <c r="D626" t="s">
        <v>29</v>
      </c>
      <c r="E626">
        <v>198.79</v>
      </c>
      <c r="F626">
        <v>1</v>
      </c>
      <c r="G626" t="s">
        <v>25</v>
      </c>
      <c r="H626">
        <v>3223.07</v>
      </c>
      <c r="I626">
        <v>3590.83</v>
      </c>
      <c r="J626" t="s">
        <v>26</v>
      </c>
      <c r="K626">
        <v>0.19</v>
      </c>
      <c r="L626" t="s">
        <v>24</v>
      </c>
      <c r="M626" t="s">
        <v>20</v>
      </c>
    </row>
    <row r="627" spans="1:13" x14ac:dyDescent="0.25">
      <c r="A627">
        <v>1071</v>
      </c>
      <c r="B627" s="1">
        <v>45236</v>
      </c>
      <c r="C627" t="s">
        <v>21</v>
      </c>
      <c r="D627" t="s">
        <v>14</v>
      </c>
      <c r="E627">
        <v>7262.09</v>
      </c>
      <c r="F627">
        <v>47</v>
      </c>
      <c r="G627" t="s">
        <v>23</v>
      </c>
      <c r="H627">
        <v>3942.34</v>
      </c>
      <c r="I627">
        <v>4142.09</v>
      </c>
      <c r="J627" t="s">
        <v>16</v>
      </c>
      <c r="K627">
        <v>0.03</v>
      </c>
      <c r="L627" t="s">
        <v>27</v>
      </c>
      <c r="M627" t="s">
        <v>20</v>
      </c>
    </row>
    <row r="628" spans="1:13" x14ac:dyDescent="0.25">
      <c r="A628">
        <v>1028</v>
      </c>
      <c r="B628" s="1">
        <v>45169</v>
      </c>
      <c r="C628" t="s">
        <v>31</v>
      </c>
      <c r="D628" t="s">
        <v>14</v>
      </c>
      <c r="E628">
        <v>5403</v>
      </c>
      <c r="F628">
        <v>28</v>
      </c>
      <c r="G628" t="s">
        <v>15</v>
      </c>
      <c r="H628">
        <v>2055.2800000000002</v>
      </c>
      <c r="I628">
        <v>2449.64</v>
      </c>
      <c r="J628" t="s">
        <v>26</v>
      </c>
      <c r="K628">
        <v>0.19</v>
      </c>
      <c r="L628" t="s">
        <v>27</v>
      </c>
      <c r="M628" t="s">
        <v>18</v>
      </c>
    </row>
    <row r="629" spans="1:13" x14ac:dyDescent="0.25">
      <c r="A629">
        <v>1078</v>
      </c>
      <c r="B629" s="1">
        <v>45292</v>
      </c>
      <c r="C629" t="s">
        <v>21</v>
      </c>
      <c r="D629" t="s">
        <v>29</v>
      </c>
      <c r="E629">
        <v>8377.57</v>
      </c>
      <c r="F629">
        <v>42</v>
      </c>
      <c r="G629" t="s">
        <v>23</v>
      </c>
      <c r="H629">
        <v>63.41</v>
      </c>
      <c r="I629">
        <v>314.93</v>
      </c>
      <c r="J629" t="s">
        <v>16</v>
      </c>
      <c r="K629">
        <v>0.03</v>
      </c>
      <c r="L629" t="s">
        <v>17</v>
      </c>
      <c r="M629" t="s">
        <v>20</v>
      </c>
    </row>
    <row r="630" spans="1:13" x14ac:dyDescent="0.25">
      <c r="A630">
        <v>1095</v>
      </c>
      <c r="B630" s="1">
        <v>45256</v>
      </c>
      <c r="C630" t="s">
        <v>28</v>
      </c>
      <c r="D630" t="s">
        <v>19</v>
      </c>
      <c r="E630">
        <v>8231.74</v>
      </c>
      <c r="F630">
        <v>7</v>
      </c>
      <c r="G630" t="s">
        <v>23</v>
      </c>
      <c r="H630">
        <v>4257.24</v>
      </c>
      <c r="I630">
        <v>4355.87</v>
      </c>
      <c r="J630" t="s">
        <v>16</v>
      </c>
      <c r="K630">
        <v>0.03</v>
      </c>
      <c r="L630" t="s">
        <v>24</v>
      </c>
      <c r="M630" t="s">
        <v>18</v>
      </c>
    </row>
    <row r="631" spans="1:13" x14ac:dyDescent="0.25">
      <c r="A631">
        <v>1052</v>
      </c>
      <c r="B631" s="1">
        <v>45033</v>
      </c>
      <c r="C631" t="s">
        <v>32</v>
      </c>
      <c r="D631" t="s">
        <v>22</v>
      </c>
      <c r="E631">
        <v>8448.93</v>
      </c>
      <c r="F631">
        <v>2</v>
      </c>
      <c r="G631" t="s">
        <v>23</v>
      </c>
      <c r="H631">
        <v>1935.41</v>
      </c>
      <c r="I631">
        <v>2305.44</v>
      </c>
      <c r="J631" t="s">
        <v>16</v>
      </c>
      <c r="K631">
        <v>0.22</v>
      </c>
      <c r="L631" t="s">
        <v>27</v>
      </c>
      <c r="M631" t="s">
        <v>18</v>
      </c>
    </row>
    <row r="632" spans="1:13" x14ac:dyDescent="0.25">
      <c r="A632">
        <v>1083</v>
      </c>
      <c r="B632" s="1">
        <v>45152</v>
      </c>
      <c r="C632" t="s">
        <v>31</v>
      </c>
      <c r="D632" t="s">
        <v>19</v>
      </c>
      <c r="E632">
        <v>4902.4399999999996</v>
      </c>
      <c r="F632">
        <v>42</v>
      </c>
      <c r="G632" t="s">
        <v>25</v>
      </c>
      <c r="H632">
        <v>2505.41</v>
      </c>
      <c r="I632">
        <v>2638.96</v>
      </c>
      <c r="J632" t="s">
        <v>26</v>
      </c>
      <c r="K632">
        <v>0.1</v>
      </c>
      <c r="L632" t="s">
        <v>24</v>
      </c>
      <c r="M632" t="s">
        <v>18</v>
      </c>
    </row>
    <row r="633" spans="1:13" x14ac:dyDescent="0.25">
      <c r="A633">
        <v>1016</v>
      </c>
      <c r="B633" s="1">
        <v>45239</v>
      </c>
      <c r="C633" t="s">
        <v>28</v>
      </c>
      <c r="D633" t="s">
        <v>22</v>
      </c>
      <c r="E633">
        <v>3402.92</v>
      </c>
      <c r="F633">
        <v>24</v>
      </c>
      <c r="G633" t="s">
        <v>15</v>
      </c>
      <c r="H633">
        <v>88.44</v>
      </c>
      <c r="I633">
        <v>338.94</v>
      </c>
      <c r="J633" t="s">
        <v>26</v>
      </c>
      <c r="K633">
        <v>0.28999999999999998</v>
      </c>
      <c r="L633" t="s">
        <v>17</v>
      </c>
      <c r="M633" t="s">
        <v>18</v>
      </c>
    </row>
    <row r="634" spans="1:13" x14ac:dyDescent="0.25">
      <c r="A634">
        <v>1069</v>
      </c>
      <c r="B634" s="1">
        <v>45144</v>
      </c>
      <c r="C634" t="s">
        <v>13</v>
      </c>
      <c r="D634" t="s">
        <v>14</v>
      </c>
      <c r="E634">
        <v>7936.43</v>
      </c>
      <c r="F634">
        <v>4</v>
      </c>
      <c r="G634" t="s">
        <v>30</v>
      </c>
      <c r="H634">
        <v>2485.86</v>
      </c>
      <c r="I634">
        <v>2532.87</v>
      </c>
      <c r="J634" t="s">
        <v>26</v>
      </c>
      <c r="K634">
        <v>0.01</v>
      </c>
      <c r="L634" t="s">
        <v>27</v>
      </c>
      <c r="M634" t="s">
        <v>18</v>
      </c>
    </row>
    <row r="635" spans="1:13" x14ac:dyDescent="0.25">
      <c r="A635">
        <v>1099</v>
      </c>
      <c r="B635" s="1">
        <v>45167</v>
      </c>
      <c r="C635" t="s">
        <v>32</v>
      </c>
      <c r="D635" t="s">
        <v>19</v>
      </c>
      <c r="E635">
        <v>4567.8100000000004</v>
      </c>
      <c r="F635">
        <v>44</v>
      </c>
      <c r="G635" t="s">
        <v>25</v>
      </c>
      <c r="H635">
        <v>4933.1099999999997</v>
      </c>
      <c r="I635">
        <v>5245.86</v>
      </c>
      <c r="J635" t="s">
        <v>16</v>
      </c>
      <c r="K635">
        <v>0.13</v>
      </c>
      <c r="L635" t="s">
        <v>24</v>
      </c>
      <c r="M635" t="s">
        <v>20</v>
      </c>
    </row>
    <row r="636" spans="1:13" x14ac:dyDescent="0.25">
      <c r="A636">
        <v>1012</v>
      </c>
      <c r="B636" s="1">
        <v>45185</v>
      </c>
      <c r="C636" t="s">
        <v>21</v>
      </c>
      <c r="D636" t="s">
        <v>22</v>
      </c>
      <c r="E636">
        <v>1916.08</v>
      </c>
      <c r="F636">
        <v>19</v>
      </c>
      <c r="G636" t="s">
        <v>30</v>
      </c>
      <c r="H636">
        <v>1427.42</v>
      </c>
      <c r="I636">
        <v>1763.69</v>
      </c>
      <c r="J636" t="s">
        <v>26</v>
      </c>
      <c r="K636">
        <v>0.03</v>
      </c>
      <c r="L636" t="s">
        <v>17</v>
      </c>
      <c r="M636" t="s">
        <v>20</v>
      </c>
    </row>
    <row r="637" spans="1:13" x14ac:dyDescent="0.25">
      <c r="A637">
        <v>1025</v>
      </c>
      <c r="B637" s="1">
        <v>45188</v>
      </c>
      <c r="C637" t="s">
        <v>32</v>
      </c>
      <c r="D637" t="s">
        <v>29</v>
      </c>
      <c r="E637">
        <v>8564.24</v>
      </c>
      <c r="F637">
        <v>26</v>
      </c>
      <c r="G637" t="s">
        <v>30</v>
      </c>
      <c r="H637">
        <v>2007.32</v>
      </c>
      <c r="I637">
        <v>2202.87</v>
      </c>
      <c r="J637" t="s">
        <v>16</v>
      </c>
      <c r="K637">
        <v>0.11</v>
      </c>
      <c r="L637" t="s">
        <v>17</v>
      </c>
      <c r="M637" t="s">
        <v>18</v>
      </c>
    </row>
    <row r="638" spans="1:13" x14ac:dyDescent="0.25">
      <c r="A638">
        <v>1052</v>
      </c>
      <c r="B638" s="1">
        <v>44931</v>
      </c>
      <c r="C638" t="s">
        <v>13</v>
      </c>
      <c r="D638" t="s">
        <v>14</v>
      </c>
      <c r="E638">
        <v>8837.34</v>
      </c>
      <c r="F638">
        <v>11</v>
      </c>
      <c r="G638" t="s">
        <v>25</v>
      </c>
      <c r="H638">
        <v>3451.59</v>
      </c>
      <c r="I638">
        <v>3929.26</v>
      </c>
      <c r="J638" t="s">
        <v>26</v>
      </c>
      <c r="K638">
        <v>0.3</v>
      </c>
      <c r="L638" t="s">
        <v>27</v>
      </c>
      <c r="M638" t="s">
        <v>20</v>
      </c>
    </row>
    <row r="639" spans="1:13" x14ac:dyDescent="0.25">
      <c r="A639">
        <v>1085</v>
      </c>
      <c r="B639" s="1">
        <v>45187</v>
      </c>
      <c r="C639" t="s">
        <v>31</v>
      </c>
      <c r="D639" t="s">
        <v>29</v>
      </c>
      <c r="E639">
        <v>4716.47</v>
      </c>
      <c r="F639">
        <v>40</v>
      </c>
      <c r="G639" t="s">
        <v>25</v>
      </c>
      <c r="H639">
        <v>4083.23</v>
      </c>
      <c r="I639">
        <v>4521.57</v>
      </c>
      <c r="J639" t="s">
        <v>26</v>
      </c>
      <c r="K639">
        <v>0.27</v>
      </c>
      <c r="L639" t="s">
        <v>24</v>
      </c>
      <c r="M639" t="s">
        <v>20</v>
      </c>
    </row>
    <row r="640" spans="1:13" x14ac:dyDescent="0.25">
      <c r="A640">
        <v>1100</v>
      </c>
      <c r="B640" s="1">
        <v>44980</v>
      </c>
      <c r="C640" t="s">
        <v>31</v>
      </c>
      <c r="D640" t="s">
        <v>14</v>
      </c>
      <c r="E640">
        <v>849.43</v>
      </c>
      <c r="F640">
        <v>43</v>
      </c>
      <c r="G640" t="s">
        <v>15</v>
      </c>
      <c r="H640">
        <v>2116.09</v>
      </c>
      <c r="I640">
        <v>2472.98</v>
      </c>
      <c r="J640" t="s">
        <v>26</v>
      </c>
      <c r="K640">
        <v>0.01</v>
      </c>
      <c r="L640" t="s">
        <v>27</v>
      </c>
      <c r="M640" t="s">
        <v>20</v>
      </c>
    </row>
    <row r="641" spans="1:13" x14ac:dyDescent="0.25">
      <c r="A641">
        <v>1053</v>
      </c>
      <c r="B641" s="1">
        <v>44973</v>
      </c>
      <c r="C641" t="s">
        <v>31</v>
      </c>
      <c r="D641" t="s">
        <v>19</v>
      </c>
      <c r="E641">
        <v>3939.48</v>
      </c>
      <c r="F641">
        <v>11</v>
      </c>
      <c r="G641" t="s">
        <v>15</v>
      </c>
      <c r="H641">
        <v>1582.86</v>
      </c>
      <c r="I641">
        <v>1942.55</v>
      </c>
      <c r="J641" t="s">
        <v>26</v>
      </c>
      <c r="K641">
        <v>0.17</v>
      </c>
      <c r="L641" t="s">
        <v>27</v>
      </c>
      <c r="M641" t="s">
        <v>20</v>
      </c>
    </row>
    <row r="642" spans="1:13" x14ac:dyDescent="0.25">
      <c r="A642">
        <v>1023</v>
      </c>
      <c r="B642" s="1">
        <v>45141</v>
      </c>
      <c r="C642" t="s">
        <v>21</v>
      </c>
      <c r="D642" t="s">
        <v>19</v>
      </c>
      <c r="E642">
        <v>8055.02</v>
      </c>
      <c r="F642">
        <v>45</v>
      </c>
      <c r="G642" t="s">
        <v>23</v>
      </c>
      <c r="H642">
        <v>4692.24</v>
      </c>
      <c r="I642">
        <v>4825.92</v>
      </c>
      <c r="J642" t="s">
        <v>16</v>
      </c>
      <c r="K642">
        <v>0.19</v>
      </c>
      <c r="L642" t="s">
        <v>24</v>
      </c>
      <c r="M642" t="s">
        <v>20</v>
      </c>
    </row>
    <row r="643" spans="1:13" x14ac:dyDescent="0.25">
      <c r="A643">
        <v>1016</v>
      </c>
      <c r="B643" s="1">
        <v>45103</v>
      </c>
      <c r="C643" t="s">
        <v>28</v>
      </c>
      <c r="D643" t="s">
        <v>14</v>
      </c>
      <c r="E643">
        <v>9027.56</v>
      </c>
      <c r="F643">
        <v>3</v>
      </c>
      <c r="G643" t="s">
        <v>30</v>
      </c>
      <c r="H643">
        <v>3401.87</v>
      </c>
      <c r="I643">
        <v>3733.71</v>
      </c>
      <c r="J643" t="s">
        <v>16</v>
      </c>
      <c r="K643">
        <v>0.06</v>
      </c>
      <c r="L643" t="s">
        <v>24</v>
      </c>
      <c r="M643" t="s">
        <v>20</v>
      </c>
    </row>
    <row r="644" spans="1:13" x14ac:dyDescent="0.25">
      <c r="A644">
        <v>1057</v>
      </c>
      <c r="B644" s="1">
        <v>44935</v>
      </c>
      <c r="C644" t="s">
        <v>28</v>
      </c>
      <c r="D644" t="s">
        <v>14</v>
      </c>
      <c r="E644">
        <v>2114.38</v>
      </c>
      <c r="F644">
        <v>12</v>
      </c>
      <c r="G644" t="s">
        <v>15</v>
      </c>
      <c r="H644">
        <v>639.16</v>
      </c>
      <c r="I644">
        <v>746.28</v>
      </c>
      <c r="J644" t="s">
        <v>16</v>
      </c>
      <c r="K644">
        <v>0.04</v>
      </c>
      <c r="L644" t="s">
        <v>24</v>
      </c>
      <c r="M644" t="s">
        <v>20</v>
      </c>
    </row>
    <row r="645" spans="1:13" x14ac:dyDescent="0.25">
      <c r="A645">
        <v>1039</v>
      </c>
      <c r="B645" s="1">
        <v>45025</v>
      </c>
      <c r="C645" t="s">
        <v>32</v>
      </c>
      <c r="D645" t="s">
        <v>14</v>
      </c>
      <c r="E645">
        <v>763.04</v>
      </c>
      <c r="F645">
        <v>3</v>
      </c>
      <c r="G645" t="s">
        <v>23</v>
      </c>
      <c r="H645">
        <v>391.19</v>
      </c>
      <c r="I645">
        <v>471.75</v>
      </c>
      <c r="J645" t="s">
        <v>16</v>
      </c>
      <c r="K645">
        <v>0.27</v>
      </c>
      <c r="L645" t="s">
        <v>17</v>
      </c>
      <c r="M645" t="s">
        <v>18</v>
      </c>
    </row>
    <row r="646" spans="1:13" x14ac:dyDescent="0.25">
      <c r="A646">
        <v>1053</v>
      </c>
      <c r="B646" s="1">
        <v>44946</v>
      </c>
      <c r="C646" t="s">
        <v>21</v>
      </c>
      <c r="D646" t="s">
        <v>19</v>
      </c>
      <c r="E646">
        <v>8785.77</v>
      </c>
      <c r="F646">
        <v>42</v>
      </c>
      <c r="G646" t="s">
        <v>15</v>
      </c>
      <c r="H646">
        <v>2443.5700000000002</v>
      </c>
      <c r="I646">
        <v>2943.31</v>
      </c>
      <c r="J646" t="s">
        <v>26</v>
      </c>
      <c r="K646">
        <v>0.28999999999999998</v>
      </c>
      <c r="L646" t="s">
        <v>17</v>
      </c>
      <c r="M646" t="s">
        <v>18</v>
      </c>
    </row>
    <row r="647" spans="1:13" x14ac:dyDescent="0.25">
      <c r="A647">
        <v>1042</v>
      </c>
      <c r="B647" s="1">
        <v>45167</v>
      </c>
      <c r="C647" t="s">
        <v>31</v>
      </c>
      <c r="D647" t="s">
        <v>22</v>
      </c>
      <c r="E647">
        <v>3955.11</v>
      </c>
      <c r="F647">
        <v>27</v>
      </c>
      <c r="G647" t="s">
        <v>25</v>
      </c>
      <c r="H647">
        <v>1139.45</v>
      </c>
      <c r="I647">
        <v>1454.41</v>
      </c>
      <c r="J647" t="s">
        <v>16</v>
      </c>
      <c r="K647">
        <v>0.3</v>
      </c>
      <c r="L647" t="s">
        <v>24</v>
      </c>
      <c r="M647" t="s">
        <v>18</v>
      </c>
    </row>
    <row r="648" spans="1:13" x14ac:dyDescent="0.25">
      <c r="A648">
        <v>1058</v>
      </c>
      <c r="B648" s="1">
        <v>44987</v>
      </c>
      <c r="C648" t="s">
        <v>31</v>
      </c>
      <c r="D648" t="s">
        <v>29</v>
      </c>
      <c r="E648">
        <v>5463.43</v>
      </c>
      <c r="F648">
        <v>49</v>
      </c>
      <c r="G648" t="s">
        <v>15</v>
      </c>
      <c r="H648">
        <v>1307.22</v>
      </c>
      <c r="I648">
        <v>1528.4</v>
      </c>
      <c r="J648" t="s">
        <v>16</v>
      </c>
      <c r="K648">
        <v>0.24</v>
      </c>
      <c r="L648" t="s">
        <v>17</v>
      </c>
      <c r="M648" t="s">
        <v>20</v>
      </c>
    </row>
    <row r="649" spans="1:13" x14ac:dyDescent="0.25">
      <c r="A649">
        <v>1039</v>
      </c>
      <c r="B649" s="1">
        <v>45104</v>
      </c>
      <c r="C649" t="s">
        <v>13</v>
      </c>
      <c r="D649" t="s">
        <v>29</v>
      </c>
      <c r="E649">
        <v>9683.85</v>
      </c>
      <c r="F649">
        <v>2</v>
      </c>
      <c r="G649" t="s">
        <v>30</v>
      </c>
      <c r="H649">
        <v>4394.58</v>
      </c>
      <c r="I649">
        <v>4545.78</v>
      </c>
      <c r="J649" t="s">
        <v>16</v>
      </c>
      <c r="K649">
        <v>0.2</v>
      </c>
      <c r="L649" t="s">
        <v>27</v>
      </c>
      <c r="M649" t="s">
        <v>20</v>
      </c>
    </row>
    <row r="650" spans="1:13" x14ac:dyDescent="0.25">
      <c r="A650">
        <v>1014</v>
      </c>
      <c r="B650" s="1">
        <v>45264</v>
      </c>
      <c r="C650" t="s">
        <v>13</v>
      </c>
      <c r="D650" t="s">
        <v>19</v>
      </c>
      <c r="E650">
        <v>758.99</v>
      </c>
      <c r="F650">
        <v>49</v>
      </c>
      <c r="G650" t="s">
        <v>15</v>
      </c>
      <c r="H650">
        <v>493.35</v>
      </c>
      <c r="I650">
        <v>799.27</v>
      </c>
      <c r="J650" t="s">
        <v>26</v>
      </c>
      <c r="K650">
        <v>0.1</v>
      </c>
      <c r="L650" t="s">
        <v>24</v>
      </c>
      <c r="M650" t="s">
        <v>18</v>
      </c>
    </row>
    <row r="651" spans="1:13" x14ac:dyDescent="0.25">
      <c r="A651">
        <v>1095</v>
      </c>
      <c r="B651" s="1">
        <v>44988</v>
      </c>
      <c r="C651" t="s">
        <v>31</v>
      </c>
      <c r="D651" t="s">
        <v>29</v>
      </c>
      <c r="E651">
        <v>6518.35</v>
      </c>
      <c r="F651">
        <v>16</v>
      </c>
      <c r="G651" t="s">
        <v>30</v>
      </c>
      <c r="H651">
        <v>3591.05</v>
      </c>
      <c r="I651">
        <v>3625.35</v>
      </c>
      <c r="J651" t="s">
        <v>16</v>
      </c>
      <c r="K651">
        <v>0.05</v>
      </c>
      <c r="L651" t="s">
        <v>27</v>
      </c>
      <c r="M651" t="s">
        <v>20</v>
      </c>
    </row>
    <row r="652" spans="1:13" x14ac:dyDescent="0.25">
      <c r="A652">
        <v>1005</v>
      </c>
      <c r="B652" s="1">
        <v>45071</v>
      </c>
      <c r="C652" t="s">
        <v>31</v>
      </c>
      <c r="D652" t="s">
        <v>14</v>
      </c>
      <c r="E652">
        <v>833.64</v>
      </c>
      <c r="F652">
        <v>2</v>
      </c>
      <c r="G652" t="s">
        <v>25</v>
      </c>
      <c r="H652">
        <v>1392.15</v>
      </c>
      <c r="I652">
        <v>1448.54</v>
      </c>
      <c r="J652" t="s">
        <v>16</v>
      </c>
      <c r="K652">
        <v>0.02</v>
      </c>
      <c r="L652" t="s">
        <v>24</v>
      </c>
      <c r="M652" t="s">
        <v>20</v>
      </c>
    </row>
    <row r="653" spans="1:13" x14ac:dyDescent="0.25">
      <c r="A653">
        <v>1035</v>
      </c>
      <c r="B653" s="1">
        <v>45142</v>
      </c>
      <c r="C653" t="s">
        <v>21</v>
      </c>
      <c r="D653" t="s">
        <v>22</v>
      </c>
      <c r="E653">
        <v>3817.14</v>
      </c>
      <c r="F653">
        <v>30</v>
      </c>
      <c r="G653" t="s">
        <v>30</v>
      </c>
      <c r="H653">
        <v>3813.62</v>
      </c>
      <c r="I653">
        <v>3839.72</v>
      </c>
      <c r="J653" t="s">
        <v>26</v>
      </c>
      <c r="K653">
        <v>0.21</v>
      </c>
      <c r="L653" t="s">
        <v>27</v>
      </c>
      <c r="M653" t="s">
        <v>18</v>
      </c>
    </row>
    <row r="654" spans="1:13" x14ac:dyDescent="0.25">
      <c r="A654">
        <v>1087</v>
      </c>
      <c r="B654" s="1">
        <v>44929</v>
      </c>
      <c r="C654" t="s">
        <v>28</v>
      </c>
      <c r="D654" t="s">
        <v>29</v>
      </c>
      <c r="E654">
        <v>8057.76</v>
      </c>
      <c r="F654">
        <v>20</v>
      </c>
      <c r="G654" t="s">
        <v>15</v>
      </c>
      <c r="H654">
        <v>3625.94</v>
      </c>
      <c r="I654">
        <v>3880.53</v>
      </c>
      <c r="J654" t="s">
        <v>26</v>
      </c>
      <c r="K654">
        <v>0.24</v>
      </c>
      <c r="L654" t="s">
        <v>24</v>
      </c>
      <c r="M654" t="s">
        <v>18</v>
      </c>
    </row>
    <row r="655" spans="1:13" x14ac:dyDescent="0.25">
      <c r="A655">
        <v>1093</v>
      </c>
      <c r="B655" s="1">
        <v>45086</v>
      </c>
      <c r="C655" t="s">
        <v>13</v>
      </c>
      <c r="D655" t="s">
        <v>22</v>
      </c>
      <c r="E655">
        <v>4391.38</v>
      </c>
      <c r="F655">
        <v>38</v>
      </c>
      <c r="G655" t="s">
        <v>23</v>
      </c>
      <c r="H655">
        <v>86.59</v>
      </c>
      <c r="I655">
        <v>390.89</v>
      </c>
      <c r="J655" t="s">
        <v>16</v>
      </c>
      <c r="K655">
        <v>0.25</v>
      </c>
      <c r="L655" t="s">
        <v>27</v>
      </c>
      <c r="M655" t="s">
        <v>18</v>
      </c>
    </row>
    <row r="656" spans="1:13" x14ac:dyDescent="0.25">
      <c r="A656">
        <v>1075</v>
      </c>
      <c r="B656" s="1">
        <v>45153</v>
      </c>
      <c r="C656" t="s">
        <v>28</v>
      </c>
      <c r="D656" t="s">
        <v>14</v>
      </c>
      <c r="E656">
        <v>9972.11</v>
      </c>
      <c r="F656">
        <v>28</v>
      </c>
      <c r="G656" t="s">
        <v>25</v>
      </c>
      <c r="H656">
        <v>2570.2199999999998</v>
      </c>
      <c r="I656">
        <v>2610.8399999999901</v>
      </c>
      <c r="J656" t="s">
        <v>16</v>
      </c>
      <c r="K656">
        <v>0.27</v>
      </c>
      <c r="L656" t="s">
        <v>24</v>
      </c>
      <c r="M656" t="s">
        <v>20</v>
      </c>
    </row>
    <row r="657" spans="1:13" x14ac:dyDescent="0.25">
      <c r="A657">
        <v>1018</v>
      </c>
      <c r="B657" s="1">
        <v>45195</v>
      </c>
      <c r="C657" t="s">
        <v>21</v>
      </c>
      <c r="D657" t="s">
        <v>29</v>
      </c>
      <c r="E657">
        <v>5634.69</v>
      </c>
      <c r="F657">
        <v>25</v>
      </c>
      <c r="G657" t="s">
        <v>15</v>
      </c>
      <c r="H657">
        <v>739.63</v>
      </c>
      <c r="I657">
        <v>1103.03</v>
      </c>
      <c r="J657" t="s">
        <v>26</v>
      </c>
      <c r="K657">
        <v>0.26</v>
      </c>
      <c r="L657" t="s">
        <v>24</v>
      </c>
      <c r="M657" t="s">
        <v>20</v>
      </c>
    </row>
    <row r="658" spans="1:13" x14ac:dyDescent="0.25">
      <c r="A658">
        <v>1076</v>
      </c>
      <c r="B658" s="1">
        <v>45046</v>
      </c>
      <c r="C658" t="s">
        <v>31</v>
      </c>
      <c r="D658" t="s">
        <v>19</v>
      </c>
      <c r="E658">
        <v>3279.51</v>
      </c>
      <c r="F658">
        <v>32</v>
      </c>
      <c r="G658" t="s">
        <v>25</v>
      </c>
      <c r="H658">
        <v>4337.82</v>
      </c>
      <c r="I658">
        <v>4460.71</v>
      </c>
      <c r="J658" t="s">
        <v>16</v>
      </c>
      <c r="K658">
        <v>0.3</v>
      </c>
      <c r="L658" t="s">
        <v>17</v>
      </c>
      <c r="M658" t="s">
        <v>20</v>
      </c>
    </row>
    <row r="659" spans="1:13" x14ac:dyDescent="0.25">
      <c r="A659">
        <v>1009</v>
      </c>
      <c r="B659" s="1">
        <v>45015</v>
      </c>
      <c r="C659" t="s">
        <v>28</v>
      </c>
      <c r="D659" t="s">
        <v>22</v>
      </c>
      <c r="E659">
        <v>2279.1</v>
      </c>
      <c r="F659">
        <v>10</v>
      </c>
      <c r="G659" t="s">
        <v>25</v>
      </c>
      <c r="H659">
        <v>4364.3500000000004</v>
      </c>
      <c r="I659">
        <v>4710.1000000000004</v>
      </c>
      <c r="J659" t="s">
        <v>26</v>
      </c>
      <c r="K659">
        <v>7.0000000000000007E-2</v>
      </c>
      <c r="L659" t="s">
        <v>27</v>
      </c>
      <c r="M659" t="s">
        <v>18</v>
      </c>
    </row>
    <row r="660" spans="1:13" x14ac:dyDescent="0.25">
      <c r="A660">
        <v>1074</v>
      </c>
      <c r="B660" s="1">
        <v>45255</v>
      </c>
      <c r="C660" t="s">
        <v>31</v>
      </c>
      <c r="D660" t="s">
        <v>14</v>
      </c>
      <c r="E660">
        <v>3570.15</v>
      </c>
      <c r="F660">
        <v>42</v>
      </c>
      <c r="G660" t="s">
        <v>15</v>
      </c>
      <c r="H660">
        <v>2120.81</v>
      </c>
      <c r="I660">
        <v>2611.94</v>
      </c>
      <c r="J660" t="s">
        <v>16</v>
      </c>
      <c r="K660">
        <v>0.23</v>
      </c>
      <c r="L660" t="s">
        <v>17</v>
      </c>
      <c r="M660" t="s">
        <v>18</v>
      </c>
    </row>
    <row r="661" spans="1:13" x14ac:dyDescent="0.25">
      <c r="A661">
        <v>1058</v>
      </c>
      <c r="B661" s="1">
        <v>44994</v>
      </c>
      <c r="C661" t="s">
        <v>31</v>
      </c>
      <c r="D661" t="s">
        <v>22</v>
      </c>
      <c r="E661">
        <v>3788.08</v>
      </c>
      <c r="F661">
        <v>40</v>
      </c>
      <c r="G661" t="s">
        <v>15</v>
      </c>
      <c r="H661">
        <v>2249.7600000000002</v>
      </c>
      <c r="I661">
        <v>2598.4</v>
      </c>
      <c r="J661" t="s">
        <v>16</v>
      </c>
      <c r="K661">
        <v>0.18</v>
      </c>
      <c r="L661" t="s">
        <v>27</v>
      </c>
      <c r="M661" t="s">
        <v>20</v>
      </c>
    </row>
    <row r="662" spans="1:13" x14ac:dyDescent="0.25">
      <c r="A662">
        <v>1017</v>
      </c>
      <c r="B662" s="1">
        <v>45283</v>
      </c>
      <c r="C662" t="s">
        <v>32</v>
      </c>
      <c r="D662" t="s">
        <v>29</v>
      </c>
      <c r="E662">
        <v>780.27</v>
      </c>
      <c r="F662">
        <v>33</v>
      </c>
      <c r="G662" t="s">
        <v>23</v>
      </c>
      <c r="H662">
        <v>1551.25</v>
      </c>
      <c r="I662">
        <v>1994.01</v>
      </c>
      <c r="J662" t="s">
        <v>16</v>
      </c>
      <c r="K662">
        <v>0.08</v>
      </c>
      <c r="L662" t="s">
        <v>17</v>
      </c>
      <c r="M662" t="s">
        <v>18</v>
      </c>
    </row>
    <row r="663" spans="1:13" x14ac:dyDescent="0.25">
      <c r="A663">
        <v>1007</v>
      </c>
      <c r="B663" s="1">
        <v>45024</v>
      </c>
      <c r="C663" t="s">
        <v>28</v>
      </c>
      <c r="D663" t="s">
        <v>29</v>
      </c>
      <c r="E663">
        <v>3758.78</v>
      </c>
      <c r="F663">
        <v>13</v>
      </c>
      <c r="G663" t="s">
        <v>25</v>
      </c>
      <c r="H663">
        <v>3597.2</v>
      </c>
      <c r="I663">
        <v>4071.8199999999902</v>
      </c>
      <c r="J663" t="s">
        <v>16</v>
      </c>
      <c r="K663">
        <v>0.28999999999999998</v>
      </c>
      <c r="L663" t="s">
        <v>24</v>
      </c>
      <c r="M663" t="s">
        <v>18</v>
      </c>
    </row>
    <row r="664" spans="1:13" x14ac:dyDescent="0.25">
      <c r="A664">
        <v>1046</v>
      </c>
      <c r="B664" s="1">
        <v>45193</v>
      </c>
      <c r="C664" t="s">
        <v>28</v>
      </c>
      <c r="D664" t="s">
        <v>19</v>
      </c>
      <c r="E664">
        <v>4695.96</v>
      </c>
      <c r="F664">
        <v>41</v>
      </c>
      <c r="G664" t="s">
        <v>25</v>
      </c>
      <c r="H664">
        <v>1825.37</v>
      </c>
      <c r="I664">
        <v>2073.88</v>
      </c>
      <c r="J664" t="s">
        <v>16</v>
      </c>
      <c r="K664">
        <v>0.27</v>
      </c>
      <c r="L664" t="s">
        <v>17</v>
      </c>
      <c r="M664" t="s">
        <v>20</v>
      </c>
    </row>
    <row r="665" spans="1:13" x14ac:dyDescent="0.25">
      <c r="A665">
        <v>1013</v>
      </c>
      <c r="B665" s="1">
        <v>45031</v>
      </c>
      <c r="C665" t="s">
        <v>31</v>
      </c>
      <c r="D665" t="s">
        <v>14</v>
      </c>
      <c r="E665">
        <v>7255.1</v>
      </c>
      <c r="F665">
        <v>42</v>
      </c>
      <c r="G665" t="s">
        <v>15</v>
      </c>
      <c r="H665">
        <v>1375.57</v>
      </c>
      <c r="I665">
        <v>1729.71</v>
      </c>
      <c r="J665" t="s">
        <v>26</v>
      </c>
      <c r="K665">
        <v>0.04</v>
      </c>
      <c r="L665" t="s">
        <v>17</v>
      </c>
      <c r="M665" t="s">
        <v>18</v>
      </c>
    </row>
    <row r="666" spans="1:13" x14ac:dyDescent="0.25">
      <c r="A666">
        <v>1040</v>
      </c>
      <c r="B666" s="1">
        <v>45249</v>
      </c>
      <c r="C666" t="s">
        <v>21</v>
      </c>
      <c r="D666" t="s">
        <v>14</v>
      </c>
      <c r="E666">
        <v>6601.62</v>
      </c>
      <c r="F666">
        <v>47</v>
      </c>
      <c r="G666" t="s">
        <v>30</v>
      </c>
      <c r="H666">
        <v>2189.54</v>
      </c>
      <c r="I666">
        <v>2617</v>
      </c>
      <c r="J666" t="s">
        <v>26</v>
      </c>
      <c r="K666">
        <v>0.01</v>
      </c>
      <c r="L666" t="s">
        <v>24</v>
      </c>
      <c r="M666" t="s">
        <v>18</v>
      </c>
    </row>
    <row r="667" spans="1:13" x14ac:dyDescent="0.25">
      <c r="A667">
        <v>1042</v>
      </c>
      <c r="B667" s="1">
        <v>45049</v>
      </c>
      <c r="C667" t="s">
        <v>32</v>
      </c>
      <c r="D667" t="s">
        <v>19</v>
      </c>
      <c r="E667">
        <v>7116.78</v>
      </c>
      <c r="F667">
        <v>37</v>
      </c>
      <c r="G667" t="s">
        <v>15</v>
      </c>
      <c r="H667">
        <v>502.86</v>
      </c>
      <c r="I667">
        <v>687.6</v>
      </c>
      <c r="J667" t="s">
        <v>16</v>
      </c>
      <c r="K667">
        <v>0.21</v>
      </c>
      <c r="L667" t="s">
        <v>17</v>
      </c>
      <c r="M667" t="s">
        <v>18</v>
      </c>
    </row>
    <row r="668" spans="1:13" x14ac:dyDescent="0.25">
      <c r="A668">
        <v>1009</v>
      </c>
      <c r="B668" s="1">
        <v>44955</v>
      </c>
      <c r="C668" t="s">
        <v>31</v>
      </c>
      <c r="D668" t="s">
        <v>19</v>
      </c>
      <c r="E668">
        <v>182.8</v>
      </c>
      <c r="F668">
        <v>16</v>
      </c>
      <c r="G668" t="s">
        <v>25</v>
      </c>
      <c r="H668">
        <v>3745.69</v>
      </c>
      <c r="I668">
        <v>3883.77</v>
      </c>
      <c r="J668" t="s">
        <v>16</v>
      </c>
      <c r="K668">
        <v>0.18</v>
      </c>
      <c r="L668" t="s">
        <v>24</v>
      </c>
      <c r="M668" t="s">
        <v>20</v>
      </c>
    </row>
    <row r="669" spans="1:13" x14ac:dyDescent="0.25">
      <c r="A669">
        <v>1050</v>
      </c>
      <c r="B669" s="1">
        <v>45063</v>
      </c>
      <c r="C669" t="s">
        <v>13</v>
      </c>
      <c r="D669" t="s">
        <v>14</v>
      </c>
      <c r="E669">
        <v>2254.91</v>
      </c>
      <c r="F669">
        <v>45</v>
      </c>
      <c r="G669" t="s">
        <v>15</v>
      </c>
      <c r="H669">
        <v>112.35</v>
      </c>
      <c r="I669">
        <v>586.17999999999995</v>
      </c>
      <c r="J669" t="s">
        <v>16</v>
      </c>
      <c r="K669">
        <v>0.28000000000000003</v>
      </c>
      <c r="L669" t="s">
        <v>27</v>
      </c>
      <c r="M669" t="s">
        <v>20</v>
      </c>
    </row>
    <row r="670" spans="1:13" x14ac:dyDescent="0.25">
      <c r="A670">
        <v>1027</v>
      </c>
      <c r="B670" s="1">
        <v>45121</v>
      </c>
      <c r="C670" t="s">
        <v>13</v>
      </c>
      <c r="D670" t="s">
        <v>22</v>
      </c>
      <c r="E670">
        <v>6650.67</v>
      </c>
      <c r="F670">
        <v>22</v>
      </c>
      <c r="G670" t="s">
        <v>23</v>
      </c>
      <c r="H670">
        <v>3240.2</v>
      </c>
      <c r="I670">
        <v>3606.0899999999901</v>
      </c>
      <c r="J670" t="s">
        <v>26</v>
      </c>
      <c r="K670">
        <v>7.0000000000000007E-2</v>
      </c>
      <c r="L670" t="s">
        <v>17</v>
      </c>
      <c r="M670" t="s">
        <v>18</v>
      </c>
    </row>
    <row r="671" spans="1:13" x14ac:dyDescent="0.25">
      <c r="A671">
        <v>1066</v>
      </c>
      <c r="B671" s="1">
        <v>45152</v>
      </c>
      <c r="C671" t="s">
        <v>32</v>
      </c>
      <c r="D671" t="s">
        <v>22</v>
      </c>
      <c r="E671">
        <v>4891.49</v>
      </c>
      <c r="F671">
        <v>20</v>
      </c>
      <c r="G671" t="s">
        <v>30</v>
      </c>
      <c r="H671">
        <v>955.18</v>
      </c>
      <c r="I671">
        <v>1072.82</v>
      </c>
      <c r="J671" t="s">
        <v>26</v>
      </c>
      <c r="K671">
        <v>0.03</v>
      </c>
      <c r="L671" t="s">
        <v>24</v>
      </c>
      <c r="M671" t="s">
        <v>20</v>
      </c>
    </row>
    <row r="672" spans="1:13" x14ac:dyDescent="0.25">
      <c r="A672">
        <v>1005</v>
      </c>
      <c r="B672" s="1">
        <v>45258</v>
      </c>
      <c r="C672" t="s">
        <v>21</v>
      </c>
      <c r="D672" t="s">
        <v>19</v>
      </c>
      <c r="E672">
        <v>152.6</v>
      </c>
      <c r="F672">
        <v>43</v>
      </c>
      <c r="G672" t="s">
        <v>15</v>
      </c>
      <c r="H672">
        <v>1200.4000000000001</v>
      </c>
      <c r="I672">
        <v>1430.45</v>
      </c>
      <c r="J672" t="s">
        <v>26</v>
      </c>
      <c r="K672">
        <v>0.08</v>
      </c>
      <c r="L672" t="s">
        <v>24</v>
      </c>
      <c r="M672" t="s">
        <v>20</v>
      </c>
    </row>
    <row r="673" spans="1:13" x14ac:dyDescent="0.25">
      <c r="A673">
        <v>1029</v>
      </c>
      <c r="B673" s="1">
        <v>45096</v>
      </c>
      <c r="C673" t="s">
        <v>31</v>
      </c>
      <c r="D673" t="s">
        <v>22</v>
      </c>
      <c r="E673">
        <v>8064.5</v>
      </c>
      <c r="F673">
        <v>27</v>
      </c>
      <c r="G673" t="s">
        <v>23</v>
      </c>
      <c r="H673">
        <v>3196.38</v>
      </c>
      <c r="I673">
        <v>3596.64</v>
      </c>
      <c r="J673" t="s">
        <v>26</v>
      </c>
      <c r="K673">
        <v>0.01</v>
      </c>
      <c r="L673" t="s">
        <v>17</v>
      </c>
      <c r="M673" t="s">
        <v>20</v>
      </c>
    </row>
    <row r="674" spans="1:13" x14ac:dyDescent="0.25">
      <c r="A674">
        <v>1037</v>
      </c>
      <c r="B674" s="1">
        <v>44935</v>
      </c>
      <c r="C674" t="s">
        <v>28</v>
      </c>
      <c r="D674" t="s">
        <v>14</v>
      </c>
      <c r="E674">
        <v>7750.81</v>
      </c>
      <c r="F674">
        <v>41</v>
      </c>
      <c r="G674" t="s">
        <v>25</v>
      </c>
      <c r="H674">
        <v>4965.07</v>
      </c>
      <c r="I674">
        <v>5243.13</v>
      </c>
      <c r="J674" t="s">
        <v>26</v>
      </c>
      <c r="K674">
        <v>0.01</v>
      </c>
      <c r="L674" t="s">
        <v>27</v>
      </c>
      <c r="M674" t="s">
        <v>18</v>
      </c>
    </row>
    <row r="675" spans="1:13" x14ac:dyDescent="0.25">
      <c r="A675">
        <v>1038</v>
      </c>
      <c r="B675" s="1">
        <v>44966</v>
      </c>
      <c r="C675" t="s">
        <v>32</v>
      </c>
      <c r="D675" t="s">
        <v>29</v>
      </c>
      <c r="E675">
        <v>5529.35</v>
      </c>
      <c r="F675">
        <v>16</v>
      </c>
      <c r="G675" t="s">
        <v>15</v>
      </c>
      <c r="H675">
        <v>3899.7</v>
      </c>
      <c r="I675">
        <v>4228.18</v>
      </c>
      <c r="J675" t="s">
        <v>26</v>
      </c>
      <c r="K675">
        <v>0.27</v>
      </c>
      <c r="L675" t="s">
        <v>17</v>
      </c>
      <c r="M675" t="s">
        <v>20</v>
      </c>
    </row>
    <row r="676" spans="1:13" x14ac:dyDescent="0.25">
      <c r="A676">
        <v>1083</v>
      </c>
      <c r="B676" s="1">
        <v>44951</v>
      </c>
      <c r="C676" t="s">
        <v>21</v>
      </c>
      <c r="D676" t="s">
        <v>29</v>
      </c>
      <c r="E676">
        <v>757.99</v>
      </c>
      <c r="F676">
        <v>34</v>
      </c>
      <c r="G676" t="s">
        <v>25</v>
      </c>
      <c r="H676">
        <v>1167.9100000000001</v>
      </c>
      <c r="I676">
        <v>1547.26</v>
      </c>
      <c r="J676" t="s">
        <v>26</v>
      </c>
      <c r="K676">
        <v>0.11</v>
      </c>
      <c r="L676" t="s">
        <v>24</v>
      </c>
      <c r="M676" t="s">
        <v>18</v>
      </c>
    </row>
    <row r="677" spans="1:13" x14ac:dyDescent="0.25">
      <c r="A677">
        <v>1008</v>
      </c>
      <c r="B677" s="1">
        <v>45187</v>
      </c>
      <c r="C677" t="s">
        <v>28</v>
      </c>
      <c r="D677" t="s">
        <v>22</v>
      </c>
      <c r="E677">
        <v>7688.5</v>
      </c>
      <c r="F677">
        <v>32</v>
      </c>
      <c r="G677" t="s">
        <v>23</v>
      </c>
      <c r="H677">
        <v>921.32</v>
      </c>
      <c r="I677">
        <v>1236.0999999999999</v>
      </c>
      <c r="J677" t="s">
        <v>26</v>
      </c>
      <c r="K677">
        <v>0.12</v>
      </c>
      <c r="L677" t="s">
        <v>27</v>
      </c>
      <c r="M677" t="s">
        <v>18</v>
      </c>
    </row>
    <row r="678" spans="1:13" x14ac:dyDescent="0.25">
      <c r="A678">
        <v>1065</v>
      </c>
      <c r="B678" s="1">
        <v>45152</v>
      </c>
      <c r="C678" t="s">
        <v>13</v>
      </c>
      <c r="D678" t="s">
        <v>19</v>
      </c>
      <c r="E678">
        <v>5878.76</v>
      </c>
      <c r="F678">
        <v>26</v>
      </c>
      <c r="G678" t="s">
        <v>25</v>
      </c>
      <c r="H678">
        <v>4337.8500000000004</v>
      </c>
      <c r="I678">
        <v>4612.49</v>
      </c>
      <c r="J678" t="s">
        <v>16</v>
      </c>
      <c r="K678">
        <v>0.01</v>
      </c>
      <c r="L678" t="s">
        <v>17</v>
      </c>
      <c r="M678" t="s">
        <v>20</v>
      </c>
    </row>
    <row r="679" spans="1:13" x14ac:dyDescent="0.25">
      <c r="A679">
        <v>1086</v>
      </c>
      <c r="B679" s="1">
        <v>45050</v>
      </c>
      <c r="C679" t="s">
        <v>13</v>
      </c>
      <c r="D679" t="s">
        <v>19</v>
      </c>
      <c r="E679">
        <v>7841.4</v>
      </c>
      <c r="F679">
        <v>25</v>
      </c>
      <c r="G679" t="s">
        <v>23</v>
      </c>
      <c r="H679">
        <v>2248.71</v>
      </c>
      <c r="I679">
        <v>2626.02</v>
      </c>
      <c r="J679" t="s">
        <v>26</v>
      </c>
      <c r="K679">
        <v>0.08</v>
      </c>
      <c r="L679" t="s">
        <v>24</v>
      </c>
      <c r="M679" t="s">
        <v>18</v>
      </c>
    </row>
    <row r="680" spans="1:13" x14ac:dyDescent="0.25">
      <c r="A680">
        <v>1017</v>
      </c>
      <c r="B680" s="1">
        <v>44964</v>
      </c>
      <c r="C680" t="s">
        <v>28</v>
      </c>
      <c r="D680" t="s">
        <v>19</v>
      </c>
      <c r="E680">
        <v>7542.3</v>
      </c>
      <c r="F680">
        <v>2</v>
      </c>
      <c r="G680" t="s">
        <v>23</v>
      </c>
      <c r="H680">
        <v>728.41</v>
      </c>
      <c r="I680">
        <v>1094.92</v>
      </c>
      <c r="J680" t="s">
        <v>26</v>
      </c>
      <c r="K680">
        <v>0.24</v>
      </c>
      <c r="L680" t="s">
        <v>17</v>
      </c>
      <c r="M680" t="s">
        <v>20</v>
      </c>
    </row>
    <row r="681" spans="1:13" x14ac:dyDescent="0.25">
      <c r="A681">
        <v>1071</v>
      </c>
      <c r="B681" s="1">
        <v>45254</v>
      </c>
      <c r="C681" t="s">
        <v>32</v>
      </c>
      <c r="D681" t="s">
        <v>19</v>
      </c>
      <c r="E681">
        <v>8049.72</v>
      </c>
      <c r="F681">
        <v>12</v>
      </c>
      <c r="G681" t="s">
        <v>23</v>
      </c>
      <c r="H681">
        <v>4317.95</v>
      </c>
      <c r="I681">
        <v>4636.59</v>
      </c>
      <c r="J681" t="s">
        <v>26</v>
      </c>
      <c r="K681">
        <v>0.18</v>
      </c>
      <c r="L681" t="s">
        <v>27</v>
      </c>
      <c r="M681" t="s">
        <v>20</v>
      </c>
    </row>
    <row r="682" spans="1:13" x14ac:dyDescent="0.25">
      <c r="A682">
        <v>1089</v>
      </c>
      <c r="B682" s="1">
        <v>45177</v>
      </c>
      <c r="C682" t="s">
        <v>13</v>
      </c>
      <c r="D682" t="s">
        <v>19</v>
      </c>
      <c r="E682">
        <v>5228.28</v>
      </c>
      <c r="F682">
        <v>40</v>
      </c>
      <c r="G682" t="s">
        <v>15</v>
      </c>
      <c r="H682">
        <v>4089.66</v>
      </c>
      <c r="I682">
        <v>4275.96</v>
      </c>
      <c r="J682" t="s">
        <v>26</v>
      </c>
      <c r="K682">
        <v>0.23</v>
      </c>
      <c r="L682" t="s">
        <v>27</v>
      </c>
      <c r="M682" t="s">
        <v>18</v>
      </c>
    </row>
    <row r="683" spans="1:13" x14ac:dyDescent="0.25">
      <c r="A683">
        <v>1045</v>
      </c>
      <c r="B683" s="1">
        <v>45102</v>
      </c>
      <c r="C683" t="s">
        <v>31</v>
      </c>
      <c r="D683" t="s">
        <v>22</v>
      </c>
      <c r="E683">
        <v>1489.21</v>
      </c>
      <c r="F683">
        <v>9</v>
      </c>
      <c r="G683" t="s">
        <v>25</v>
      </c>
      <c r="H683">
        <v>4920.34</v>
      </c>
      <c r="I683">
        <v>5129.1899999999996</v>
      </c>
      <c r="J683" t="s">
        <v>16</v>
      </c>
      <c r="K683">
        <v>0.13</v>
      </c>
      <c r="L683" t="s">
        <v>27</v>
      </c>
      <c r="M683" t="s">
        <v>18</v>
      </c>
    </row>
    <row r="684" spans="1:13" x14ac:dyDescent="0.25">
      <c r="A684">
        <v>1004</v>
      </c>
      <c r="B684" s="1">
        <v>45016</v>
      </c>
      <c r="C684" t="s">
        <v>28</v>
      </c>
      <c r="D684" t="s">
        <v>29</v>
      </c>
      <c r="E684">
        <v>6744.46</v>
      </c>
      <c r="F684">
        <v>12</v>
      </c>
      <c r="G684" t="s">
        <v>25</v>
      </c>
      <c r="H684">
        <v>4553.2299999999996</v>
      </c>
      <c r="I684">
        <v>5038.74</v>
      </c>
      <c r="J684" t="s">
        <v>26</v>
      </c>
      <c r="K684">
        <v>0.09</v>
      </c>
      <c r="L684" t="s">
        <v>27</v>
      </c>
      <c r="M684" t="s">
        <v>20</v>
      </c>
    </row>
    <row r="685" spans="1:13" x14ac:dyDescent="0.25">
      <c r="A685">
        <v>1036</v>
      </c>
      <c r="B685" s="1">
        <v>44963</v>
      </c>
      <c r="C685" t="s">
        <v>28</v>
      </c>
      <c r="D685" t="s">
        <v>29</v>
      </c>
      <c r="E685">
        <v>6242.69</v>
      </c>
      <c r="F685">
        <v>26</v>
      </c>
      <c r="G685" t="s">
        <v>30</v>
      </c>
      <c r="H685">
        <v>4266.3599999999997</v>
      </c>
      <c r="I685">
        <v>4331.4299999999903</v>
      </c>
      <c r="J685" t="s">
        <v>16</v>
      </c>
      <c r="K685">
        <v>0.14000000000000001</v>
      </c>
      <c r="L685" t="s">
        <v>27</v>
      </c>
      <c r="M685" t="s">
        <v>20</v>
      </c>
    </row>
    <row r="686" spans="1:13" x14ac:dyDescent="0.25">
      <c r="A686">
        <v>1070</v>
      </c>
      <c r="B686" s="1">
        <v>45242</v>
      </c>
      <c r="C686" t="s">
        <v>13</v>
      </c>
      <c r="D686" t="s">
        <v>22</v>
      </c>
      <c r="E686">
        <v>7448.31</v>
      </c>
      <c r="F686">
        <v>9</v>
      </c>
      <c r="G686" t="s">
        <v>30</v>
      </c>
      <c r="H686">
        <v>310.24</v>
      </c>
      <c r="I686">
        <v>451.81</v>
      </c>
      <c r="J686" t="s">
        <v>16</v>
      </c>
      <c r="K686">
        <v>0.1</v>
      </c>
      <c r="L686" t="s">
        <v>17</v>
      </c>
      <c r="M686" t="s">
        <v>20</v>
      </c>
    </row>
    <row r="687" spans="1:13" x14ac:dyDescent="0.25">
      <c r="A687">
        <v>1031</v>
      </c>
      <c r="B687" s="1">
        <v>45102</v>
      </c>
      <c r="C687" t="s">
        <v>32</v>
      </c>
      <c r="D687" t="s">
        <v>19</v>
      </c>
      <c r="E687">
        <v>1781.82</v>
      </c>
      <c r="F687">
        <v>10</v>
      </c>
      <c r="G687" t="s">
        <v>30</v>
      </c>
      <c r="H687">
        <v>566.86</v>
      </c>
      <c r="I687">
        <v>818.14</v>
      </c>
      <c r="J687" t="s">
        <v>16</v>
      </c>
      <c r="K687">
        <v>0.25</v>
      </c>
      <c r="L687" t="s">
        <v>27</v>
      </c>
      <c r="M687" t="s">
        <v>20</v>
      </c>
    </row>
    <row r="688" spans="1:13" x14ac:dyDescent="0.25">
      <c r="A688">
        <v>1019</v>
      </c>
      <c r="B688" s="1">
        <v>45210</v>
      </c>
      <c r="C688" t="s">
        <v>31</v>
      </c>
      <c r="D688" t="s">
        <v>22</v>
      </c>
      <c r="E688">
        <v>2030.25</v>
      </c>
      <c r="F688">
        <v>32</v>
      </c>
      <c r="G688" t="s">
        <v>30</v>
      </c>
      <c r="H688">
        <v>2866.47</v>
      </c>
      <c r="I688">
        <v>3286.47</v>
      </c>
      <c r="J688" t="s">
        <v>26</v>
      </c>
      <c r="K688">
        <v>0.09</v>
      </c>
      <c r="L688" t="s">
        <v>27</v>
      </c>
      <c r="M688" t="s">
        <v>18</v>
      </c>
    </row>
    <row r="689" spans="1:13" x14ac:dyDescent="0.25">
      <c r="A689">
        <v>1061</v>
      </c>
      <c r="B689" s="1">
        <v>45007</v>
      </c>
      <c r="C689" t="s">
        <v>32</v>
      </c>
      <c r="D689" t="s">
        <v>29</v>
      </c>
      <c r="E689">
        <v>8915.0499999999993</v>
      </c>
      <c r="F689">
        <v>34</v>
      </c>
      <c r="G689" t="s">
        <v>25</v>
      </c>
      <c r="H689">
        <v>2680.82</v>
      </c>
      <c r="I689">
        <v>2771.02</v>
      </c>
      <c r="J689" t="s">
        <v>26</v>
      </c>
      <c r="K689">
        <v>0.2</v>
      </c>
      <c r="L689" t="s">
        <v>24</v>
      </c>
      <c r="M689" t="s">
        <v>18</v>
      </c>
    </row>
    <row r="690" spans="1:13" x14ac:dyDescent="0.25">
      <c r="A690">
        <v>1054</v>
      </c>
      <c r="B690" s="1">
        <v>45040</v>
      </c>
      <c r="C690" t="s">
        <v>21</v>
      </c>
      <c r="D690" t="s">
        <v>14</v>
      </c>
      <c r="E690">
        <v>7524.78</v>
      </c>
      <c r="F690">
        <v>48</v>
      </c>
      <c r="G690" t="s">
        <v>23</v>
      </c>
      <c r="H690">
        <v>2316.92</v>
      </c>
      <c r="I690">
        <v>2462.63</v>
      </c>
      <c r="J690" t="s">
        <v>26</v>
      </c>
      <c r="K690">
        <v>0.04</v>
      </c>
      <c r="L690" t="s">
        <v>27</v>
      </c>
      <c r="M690" t="s">
        <v>18</v>
      </c>
    </row>
    <row r="691" spans="1:13" x14ac:dyDescent="0.25">
      <c r="A691">
        <v>1039</v>
      </c>
      <c r="B691" s="1">
        <v>44966</v>
      </c>
      <c r="C691" t="s">
        <v>21</v>
      </c>
      <c r="D691" t="s">
        <v>22</v>
      </c>
      <c r="E691">
        <v>9091.4599999999991</v>
      </c>
      <c r="F691">
        <v>20</v>
      </c>
      <c r="G691" t="s">
        <v>23</v>
      </c>
      <c r="H691">
        <v>2014.11</v>
      </c>
      <c r="I691">
        <v>2056.35</v>
      </c>
      <c r="J691" t="s">
        <v>16</v>
      </c>
      <c r="K691">
        <v>0.21</v>
      </c>
      <c r="L691" t="s">
        <v>24</v>
      </c>
      <c r="M691" t="s">
        <v>20</v>
      </c>
    </row>
    <row r="692" spans="1:13" x14ac:dyDescent="0.25">
      <c r="A692">
        <v>1091</v>
      </c>
      <c r="B692" s="1">
        <v>45227</v>
      </c>
      <c r="C692" t="s">
        <v>13</v>
      </c>
      <c r="D692" t="s">
        <v>19</v>
      </c>
      <c r="E692">
        <v>7611.28</v>
      </c>
      <c r="F692">
        <v>39</v>
      </c>
      <c r="G692" t="s">
        <v>15</v>
      </c>
      <c r="H692">
        <v>2184.4899999999998</v>
      </c>
      <c r="I692">
        <v>2540.4199999999901</v>
      </c>
      <c r="J692" t="s">
        <v>16</v>
      </c>
      <c r="K692">
        <v>0.27</v>
      </c>
      <c r="L692" t="s">
        <v>24</v>
      </c>
      <c r="M692" t="s">
        <v>18</v>
      </c>
    </row>
    <row r="693" spans="1:13" x14ac:dyDescent="0.25">
      <c r="A693">
        <v>1074</v>
      </c>
      <c r="B693" s="1">
        <v>45150</v>
      </c>
      <c r="C693" t="s">
        <v>13</v>
      </c>
      <c r="D693" t="s">
        <v>29</v>
      </c>
      <c r="E693">
        <v>6011.84</v>
      </c>
      <c r="F693">
        <v>2</v>
      </c>
      <c r="G693" t="s">
        <v>23</v>
      </c>
      <c r="H693">
        <v>2868.02</v>
      </c>
      <c r="I693">
        <v>2994.74</v>
      </c>
      <c r="J693" t="s">
        <v>16</v>
      </c>
      <c r="K693">
        <v>0.18</v>
      </c>
      <c r="L693" t="s">
        <v>24</v>
      </c>
      <c r="M693" t="s">
        <v>18</v>
      </c>
    </row>
    <row r="694" spans="1:13" x14ac:dyDescent="0.25">
      <c r="A694">
        <v>1090</v>
      </c>
      <c r="B694" s="1">
        <v>45244</v>
      </c>
      <c r="C694" t="s">
        <v>13</v>
      </c>
      <c r="D694" t="s">
        <v>29</v>
      </c>
      <c r="E694">
        <v>6575.91</v>
      </c>
      <c r="F694">
        <v>1</v>
      </c>
      <c r="G694" t="s">
        <v>25</v>
      </c>
      <c r="H694">
        <v>60.28</v>
      </c>
      <c r="I694">
        <v>260.73</v>
      </c>
      <c r="J694" t="s">
        <v>16</v>
      </c>
      <c r="K694">
        <v>0.17</v>
      </c>
      <c r="L694" t="s">
        <v>17</v>
      </c>
      <c r="M694" t="s">
        <v>18</v>
      </c>
    </row>
    <row r="695" spans="1:13" x14ac:dyDescent="0.25">
      <c r="A695">
        <v>1019</v>
      </c>
      <c r="B695" s="1">
        <v>45275</v>
      </c>
      <c r="C695" t="s">
        <v>21</v>
      </c>
      <c r="D695" t="s">
        <v>29</v>
      </c>
      <c r="E695">
        <v>8902.3700000000008</v>
      </c>
      <c r="F695">
        <v>36</v>
      </c>
      <c r="G695" t="s">
        <v>25</v>
      </c>
      <c r="H695">
        <v>1340.51</v>
      </c>
      <c r="I695">
        <v>1567.92</v>
      </c>
      <c r="J695" t="s">
        <v>26</v>
      </c>
      <c r="K695">
        <v>0.28999999999999998</v>
      </c>
      <c r="L695" t="s">
        <v>17</v>
      </c>
      <c r="M695" t="s">
        <v>18</v>
      </c>
    </row>
    <row r="696" spans="1:13" x14ac:dyDescent="0.25">
      <c r="A696">
        <v>1039</v>
      </c>
      <c r="B696" s="1">
        <v>45041</v>
      </c>
      <c r="C696" t="s">
        <v>32</v>
      </c>
      <c r="D696" t="s">
        <v>29</v>
      </c>
      <c r="E696">
        <v>5830.19</v>
      </c>
      <c r="F696">
        <v>24</v>
      </c>
      <c r="G696" t="s">
        <v>25</v>
      </c>
      <c r="H696">
        <v>2615.48</v>
      </c>
      <c r="I696">
        <v>3062.22</v>
      </c>
      <c r="J696" t="s">
        <v>26</v>
      </c>
      <c r="K696">
        <v>0.19</v>
      </c>
      <c r="L696" t="s">
        <v>24</v>
      </c>
      <c r="M696" t="s">
        <v>20</v>
      </c>
    </row>
    <row r="697" spans="1:13" x14ac:dyDescent="0.25">
      <c r="A697">
        <v>1067</v>
      </c>
      <c r="B697" s="1">
        <v>45112</v>
      </c>
      <c r="C697" t="s">
        <v>32</v>
      </c>
      <c r="D697" t="s">
        <v>19</v>
      </c>
      <c r="E697">
        <v>6360.67</v>
      </c>
      <c r="F697">
        <v>27</v>
      </c>
      <c r="G697" t="s">
        <v>15</v>
      </c>
      <c r="H697">
        <v>3624.97</v>
      </c>
      <c r="I697">
        <v>3836.52</v>
      </c>
      <c r="J697" t="s">
        <v>26</v>
      </c>
      <c r="K697">
        <v>0.08</v>
      </c>
      <c r="L697" t="s">
        <v>17</v>
      </c>
      <c r="M697" t="s">
        <v>18</v>
      </c>
    </row>
    <row r="698" spans="1:13" x14ac:dyDescent="0.25">
      <c r="A698">
        <v>1045</v>
      </c>
      <c r="B698" s="1">
        <v>45249</v>
      </c>
      <c r="C698" t="s">
        <v>13</v>
      </c>
      <c r="D698" t="s">
        <v>14</v>
      </c>
      <c r="E698">
        <v>1649.12</v>
      </c>
      <c r="F698">
        <v>2</v>
      </c>
      <c r="G698" t="s">
        <v>30</v>
      </c>
      <c r="H698">
        <v>912.08</v>
      </c>
      <c r="I698">
        <v>993.24</v>
      </c>
      <c r="J698" t="s">
        <v>16</v>
      </c>
      <c r="K698">
        <v>0.09</v>
      </c>
      <c r="L698" t="s">
        <v>27</v>
      </c>
      <c r="M698" t="s">
        <v>18</v>
      </c>
    </row>
    <row r="699" spans="1:13" x14ac:dyDescent="0.25">
      <c r="A699">
        <v>1013</v>
      </c>
      <c r="B699" s="1">
        <v>44982</v>
      </c>
      <c r="C699" t="s">
        <v>31</v>
      </c>
      <c r="D699" t="s">
        <v>29</v>
      </c>
      <c r="E699">
        <v>4791.82</v>
      </c>
      <c r="F699">
        <v>31</v>
      </c>
      <c r="G699" t="s">
        <v>23</v>
      </c>
      <c r="H699">
        <v>2757.06</v>
      </c>
      <c r="I699">
        <v>3023.97</v>
      </c>
      <c r="J699" t="s">
        <v>16</v>
      </c>
      <c r="K699">
        <v>0.21</v>
      </c>
      <c r="L699" t="s">
        <v>17</v>
      </c>
      <c r="M699" t="s">
        <v>18</v>
      </c>
    </row>
    <row r="700" spans="1:13" x14ac:dyDescent="0.25">
      <c r="A700">
        <v>1092</v>
      </c>
      <c r="B700" s="1">
        <v>44966</v>
      </c>
      <c r="C700" t="s">
        <v>32</v>
      </c>
      <c r="D700" t="s">
        <v>22</v>
      </c>
      <c r="E700">
        <v>7192.33</v>
      </c>
      <c r="F700">
        <v>14</v>
      </c>
      <c r="G700" t="s">
        <v>25</v>
      </c>
      <c r="H700">
        <v>3586.58</v>
      </c>
      <c r="I700">
        <v>4068.43</v>
      </c>
      <c r="J700" t="s">
        <v>26</v>
      </c>
      <c r="K700">
        <v>0.22</v>
      </c>
      <c r="L700" t="s">
        <v>27</v>
      </c>
      <c r="M700" t="s">
        <v>18</v>
      </c>
    </row>
    <row r="701" spans="1:13" x14ac:dyDescent="0.25">
      <c r="A701">
        <v>1058</v>
      </c>
      <c r="B701" s="1">
        <v>45280</v>
      </c>
      <c r="C701" t="s">
        <v>21</v>
      </c>
      <c r="D701" t="s">
        <v>14</v>
      </c>
      <c r="E701">
        <v>2782.33</v>
      </c>
      <c r="F701">
        <v>2</v>
      </c>
      <c r="G701" t="s">
        <v>25</v>
      </c>
      <c r="H701">
        <v>2250.91</v>
      </c>
      <c r="I701">
        <v>2558.6799999999998</v>
      </c>
      <c r="J701" t="s">
        <v>26</v>
      </c>
      <c r="K701">
        <v>0.09</v>
      </c>
      <c r="L701" t="s">
        <v>27</v>
      </c>
      <c r="M701" t="s">
        <v>20</v>
      </c>
    </row>
    <row r="702" spans="1:13" x14ac:dyDescent="0.25">
      <c r="A702">
        <v>1020</v>
      </c>
      <c r="B702" s="1">
        <v>44966</v>
      </c>
      <c r="C702" t="s">
        <v>28</v>
      </c>
      <c r="D702" t="s">
        <v>29</v>
      </c>
      <c r="E702">
        <v>2102.3200000000002</v>
      </c>
      <c r="F702">
        <v>29</v>
      </c>
      <c r="G702" t="s">
        <v>30</v>
      </c>
      <c r="H702">
        <v>184.05</v>
      </c>
      <c r="I702">
        <v>675.91</v>
      </c>
      <c r="J702" t="s">
        <v>16</v>
      </c>
      <c r="K702">
        <v>0.1</v>
      </c>
      <c r="L702" t="s">
        <v>17</v>
      </c>
      <c r="M702" t="s">
        <v>20</v>
      </c>
    </row>
    <row r="703" spans="1:13" x14ac:dyDescent="0.25">
      <c r="A703">
        <v>1092</v>
      </c>
      <c r="B703" s="1">
        <v>45273</v>
      </c>
      <c r="C703" t="s">
        <v>28</v>
      </c>
      <c r="D703" t="s">
        <v>14</v>
      </c>
      <c r="E703">
        <v>3206.89</v>
      </c>
      <c r="F703">
        <v>15</v>
      </c>
      <c r="G703" t="s">
        <v>25</v>
      </c>
      <c r="H703">
        <v>2273.88</v>
      </c>
      <c r="I703">
        <v>2696.02</v>
      </c>
      <c r="J703" t="s">
        <v>26</v>
      </c>
      <c r="K703">
        <v>0.3</v>
      </c>
      <c r="L703" t="s">
        <v>17</v>
      </c>
      <c r="M703" t="s">
        <v>18</v>
      </c>
    </row>
    <row r="704" spans="1:13" x14ac:dyDescent="0.25">
      <c r="A704">
        <v>1072</v>
      </c>
      <c r="B704" s="1">
        <v>45163</v>
      </c>
      <c r="C704" t="s">
        <v>28</v>
      </c>
      <c r="D704" t="s">
        <v>22</v>
      </c>
      <c r="E704">
        <v>2490.86</v>
      </c>
      <c r="F704">
        <v>12</v>
      </c>
      <c r="G704" t="s">
        <v>23</v>
      </c>
      <c r="H704">
        <v>1517.4</v>
      </c>
      <c r="I704">
        <v>1545.02</v>
      </c>
      <c r="J704" t="s">
        <v>26</v>
      </c>
      <c r="K704">
        <v>0.03</v>
      </c>
      <c r="L704" t="s">
        <v>24</v>
      </c>
      <c r="M704" t="s">
        <v>20</v>
      </c>
    </row>
    <row r="705" spans="1:13" x14ac:dyDescent="0.25">
      <c r="A705">
        <v>1061</v>
      </c>
      <c r="B705" s="1">
        <v>45215</v>
      </c>
      <c r="C705" t="s">
        <v>31</v>
      </c>
      <c r="D705" t="s">
        <v>29</v>
      </c>
      <c r="E705">
        <v>2227.64</v>
      </c>
      <c r="F705">
        <v>37</v>
      </c>
      <c r="G705" t="s">
        <v>15</v>
      </c>
      <c r="H705">
        <v>4651.7700000000004</v>
      </c>
      <c r="I705">
        <v>4984.3900000000003</v>
      </c>
      <c r="J705" t="s">
        <v>16</v>
      </c>
      <c r="K705">
        <v>0.12</v>
      </c>
      <c r="L705" t="s">
        <v>17</v>
      </c>
      <c r="M705" t="s">
        <v>20</v>
      </c>
    </row>
    <row r="706" spans="1:13" x14ac:dyDescent="0.25">
      <c r="A706">
        <v>1039</v>
      </c>
      <c r="B706" s="1">
        <v>45188</v>
      </c>
      <c r="C706" t="s">
        <v>13</v>
      </c>
      <c r="D706" t="s">
        <v>22</v>
      </c>
      <c r="E706">
        <v>4306.0200000000004</v>
      </c>
      <c r="F706">
        <v>28</v>
      </c>
      <c r="G706" t="s">
        <v>25</v>
      </c>
      <c r="H706">
        <v>666.84</v>
      </c>
      <c r="I706">
        <v>817.36</v>
      </c>
      <c r="J706" t="s">
        <v>16</v>
      </c>
      <c r="K706">
        <v>0.02</v>
      </c>
      <c r="L706" t="s">
        <v>17</v>
      </c>
      <c r="M706" t="s">
        <v>20</v>
      </c>
    </row>
    <row r="707" spans="1:13" x14ac:dyDescent="0.25">
      <c r="A707">
        <v>1001</v>
      </c>
      <c r="B707" s="1">
        <v>45142</v>
      </c>
      <c r="C707" t="s">
        <v>21</v>
      </c>
      <c r="D707" t="s">
        <v>19</v>
      </c>
      <c r="E707">
        <v>9087.6</v>
      </c>
      <c r="F707">
        <v>20</v>
      </c>
      <c r="G707" t="s">
        <v>23</v>
      </c>
      <c r="H707">
        <v>3279.76</v>
      </c>
      <c r="I707">
        <v>3563.97</v>
      </c>
      <c r="J707" t="s">
        <v>16</v>
      </c>
      <c r="K707">
        <v>0.25</v>
      </c>
      <c r="L707" t="s">
        <v>17</v>
      </c>
      <c r="M707" t="s">
        <v>20</v>
      </c>
    </row>
    <row r="708" spans="1:13" x14ac:dyDescent="0.25">
      <c r="A708">
        <v>1003</v>
      </c>
      <c r="B708" s="1">
        <v>45073</v>
      </c>
      <c r="C708" t="s">
        <v>31</v>
      </c>
      <c r="D708" t="s">
        <v>29</v>
      </c>
      <c r="E708">
        <v>5119.8900000000003</v>
      </c>
      <c r="F708">
        <v>39</v>
      </c>
      <c r="G708" t="s">
        <v>25</v>
      </c>
      <c r="H708">
        <v>310.95999999999998</v>
      </c>
      <c r="I708">
        <v>457.84</v>
      </c>
      <c r="J708" t="s">
        <v>26</v>
      </c>
      <c r="K708">
        <v>0.03</v>
      </c>
      <c r="L708" t="s">
        <v>27</v>
      </c>
      <c r="M708" t="s">
        <v>18</v>
      </c>
    </row>
    <row r="709" spans="1:13" x14ac:dyDescent="0.25">
      <c r="A709">
        <v>1077</v>
      </c>
      <c r="B709" s="1">
        <v>45262</v>
      </c>
      <c r="C709" t="s">
        <v>21</v>
      </c>
      <c r="D709" t="s">
        <v>29</v>
      </c>
      <c r="E709">
        <v>1960.41</v>
      </c>
      <c r="F709">
        <v>24</v>
      </c>
      <c r="G709" t="s">
        <v>30</v>
      </c>
      <c r="H709">
        <v>2258.54</v>
      </c>
      <c r="I709">
        <v>2439.4899999999998</v>
      </c>
      <c r="J709" t="s">
        <v>16</v>
      </c>
      <c r="K709">
        <v>0.2</v>
      </c>
      <c r="L709" t="s">
        <v>27</v>
      </c>
      <c r="M709" t="s">
        <v>20</v>
      </c>
    </row>
    <row r="710" spans="1:13" x14ac:dyDescent="0.25">
      <c r="A710">
        <v>1092</v>
      </c>
      <c r="B710" s="1">
        <v>45094</v>
      </c>
      <c r="C710" t="s">
        <v>21</v>
      </c>
      <c r="D710" t="s">
        <v>29</v>
      </c>
      <c r="E710">
        <v>862.02</v>
      </c>
      <c r="F710">
        <v>21</v>
      </c>
      <c r="G710" t="s">
        <v>25</v>
      </c>
      <c r="H710">
        <v>2792.2</v>
      </c>
      <c r="I710">
        <v>3254.5499999999902</v>
      </c>
      <c r="J710" t="s">
        <v>26</v>
      </c>
      <c r="K710">
        <v>0.02</v>
      </c>
      <c r="L710" t="s">
        <v>27</v>
      </c>
      <c r="M710" t="s">
        <v>20</v>
      </c>
    </row>
    <row r="711" spans="1:13" x14ac:dyDescent="0.25">
      <c r="A711">
        <v>1062</v>
      </c>
      <c r="B711" s="1">
        <v>45018</v>
      </c>
      <c r="C711" t="s">
        <v>13</v>
      </c>
      <c r="D711" t="s">
        <v>29</v>
      </c>
      <c r="E711">
        <v>6991.95</v>
      </c>
      <c r="F711">
        <v>10</v>
      </c>
      <c r="G711" t="s">
        <v>25</v>
      </c>
      <c r="H711">
        <v>1524.88</v>
      </c>
      <c r="I711">
        <v>1636.14</v>
      </c>
      <c r="J711" t="s">
        <v>26</v>
      </c>
      <c r="K711">
        <v>0.2</v>
      </c>
      <c r="L711" t="s">
        <v>24</v>
      </c>
      <c r="M711" t="s">
        <v>18</v>
      </c>
    </row>
    <row r="712" spans="1:13" x14ac:dyDescent="0.25">
      <c r="A712">
        <v>1063</v>
      </c>
      <c r="B712" s="1">
        <v>45279</v>
      </c>
      <c r="C712" t="s">
        <v>28</v>
      </c>
      <c r="D712" t="s">
        <v>19</v>
      </c>
      <c r="E712">
        <v>3889.71</v>
      </c>
      <c r="F712">
        <v>46</v>
      </c>
      <c r="G712" t="s">
        <v>15</v>
      </c>
      <c r="H712">
        <v>2302.62</v>
      </c>
      <c r="I712">
        <v>2740.93</v>
      </c>
      <c r="J712" t="s">
        <v>16</v>
      </c>
      <c r="K712">
        <v>0.25</v>
      </c>
      <c r="L712" t="s">
        <v>24</v>
      </c>
      <c r="M712" t="s">
        <v>18</v>
      </c>
    </row>
    <row r="713" spans="1:13" x14ac:dyDescent="0.25">
      <c r="A713">
        <v>1025</v>
      </c>
      <c r="B713" s="1">
        <v>44985</v>
      </c>
      <c r="C713" t="s">
        <v>13</v>
      </c>
      <c r="D713" t="s">
        <v>29</v>
      </c>
      <c r="E713">
        <v>8236.1299999999992</v>
      </c>
      <c r="F713">
        <v>14</v>
      </c>
      <c r="G713" t="s">
        <v>30</v>
      </c>
      <c r="H713">
        <v>859.59</v>
      </c>
      <c r="I713">
        <v>884.51</v>
      </c>
      <c r="J713" t="s">
        <v>26</v>
      </c>
      <c r="K713">
        <v>0.12</v>
      </c>
      <c r="L713" t="s">
        <v>24</v>
      </c>
      <c r="M713" t="s">
        <v>18</v>
      </c>
    </row>
    <row r="714" spans="1:13" x14ac:dyDescent="0.25">
      <c r="A714">
        <v>1056</v>
      </c>
      <c r="B714" s="1">
        <v>44985</v>
      </c>
      <c r="C714" t="s">
        <v>31</v>
      </c>
      <c r="D714" t="s">
        <v>14</v>
      </c>
      <c r="E714">
        <v>6629.16</v>
      </c>
      <c r="F714">
        <v>37</v>
      </c>
      <c r="G714" t="s">
        <v>30</v>
      </c>
      <c r="H714">
        <v>1555.41</v>
      </c>
      <c r="I714">
        <v>1609.94</v>
      </c>
      <c r="J714" t="s">
        <v>16</v>
      </c>
      <c r="K714">
        <v>0.16</v>
      </c>
      <c r="L714" t="s">
        <v>27</v>
      </c>
      <c r="M714" t="s">
        <v>18</v>
      </c>
    </row>
    <row r="715" spans="1:13" x14ac:dyDescent="0.25">
      <c r="A715">
        <v>1033</v>
      </c>
      <c r="B715" s="1">
        <v>45230</v>
      </c>
      <c r="C715" t="s">
        <v>31</v>
      </c>
      <c r="D715" t="s">
        <v>29</v>
      </c>
      <c r="E715">
        <v>7982.79</v>
      </c>
      <c r="F715">
        <v>18</v>
      </c>
      <c r="G715" t="s">
        <v>15</v>
      </c>
      <c r="H715">
        <v>3124.48</v>
      </c>
      <c r="I715">
        <v>3553.27</v>
      </c>
      <c r="J715" t="s">
        <v>16</v>
      </c>
      <c r="K715">
        <v>0.12</v>
      </c>
      <c r="L715" t="s">
        <v>17</v>
      </c>
      <c r="M715" t="s">
        <v>20</v>
      </c>
    </row>
    <row r="716" spans="1:13" x14ac:dyDescent="0.25">
      <c r="A716">
        <v>1038</v>
      </c>
      <c r="B716" s="1">
        <v>45095</v>
      </c>
      <c r="C716" t="s">
        <v>31</v>
      </c>
      <c r="D716" t="s">
        <v>19</v>
      </c>
      <c r="E716">
        <v>2792.27</v>
      </c>
      <c r="F716">
        <v>24</v>
      </c>
      <c r="G716" t="s">
        <v>25</v>
      </c>
      <c r="H716">
        <v>1543.91</v>
      </c>
      <c r="I716">
        <v>1862.88</v>
      </c>
      <c r="J716" t="s">
        <v>26</v>
      </c>
      <c r="K716">
        <v>0.09</v>
      </c>
      <c r="L716" t="s">
        <v>24</v>
      </c>
      <c r="M716" t="s">
        <v>18</v>
      </c>
    </row>
    <row r="717" spans="1:13" x14ac:dyDescent="0.25">
      <c r="A717">
        <v>1006</v>
      </c>
      <c r="B717" s="1">
        <v>45195</v>
      </c>
      <c r="C717" t="s">
        <v>13</v>
      </c>
      <c r="D717" t="s">
        <v>29</v>
      </c>
      <c r="E717">
        <v>6954.35</v>
      </c>
      <c r="F717">
        <v>14</v>
      </c>
      <c r="G717" t="s">
        <v>23</v>
      </c>
      <c r="H717">
        <v>4503.7299999999996</v>
      </c>
      <c r="I717">
        <v>4879.8799999999901</v>
      </c>
      <c r="J717" t="s">
        <v>26</v>
      </c>
      <c r="K717">
        <v>0.24</v>
      </c>
      <c r="L717" t="s">
        <v>24</v>
      </c>
      <c r="M717" t="s">
        <v>20</v>
      </c>
    </row>
    <row r="718" spans="1:13" x14ac:dyDescent="0.25">
      <c r="A718">
        <v>1058</v>
      </c>
      <c r="B718" s="1">
        <v>45289</v>
      </c>
      <c r="C718" t="s">
        <v>21</v>
      </c>
      <c r="D718" t="s">
        <v>14</v>
      </c>
      <c r="E718">
        <v>2714.21</v>
      </c>
      <c r="F718">
        <v>34</v>
      </c>
      <c r="G718" t="s">
        <v>30</v>
      </c>
      <c r="H718">
        <v>3160.61</v>
      </c>
      <c r="I718">
        <v>3273.22</v>
      </c>
      <c r="J718" t="s">
        <v>16</v>
      </c>
      <c r="K718">
        <v>0.08</v>
      </c>
      <c r="L718" t="s">
        <v>27</v>
      </c>
      <c r="M718" t="s">
        <v>20</v>
      </c>
    </row>
    <row r="719" spans="1:13" x14ac:dyDescent="0.25">
      <c r="A719">
        <v>1044</v>
      </c>
      <c r="B719" s="1">
        <v>44971</v>
      </c>
      <c r="C719" t="s">
        <v>21</v>
      </c>
      <c r="D719" t="s">
        <v>19</v>
      </c>
      <c r="E719">
        <v>9396.7800000000007</v>
      </c>
      <c r="F719">
        <v>12</v>
      </c>
      <c r="G719" t="s">
        <v>30</v>
      </c>
      <c r="H719">
        <v>2221.31</v>
      </c>
      <c r="I719">
        <v>2494.48</v>
      </c>
      <c r="J719" t="s">
        <v>16</v>
      </c>
      <c r="K719">
        <v>0.22</v>
      </c>
      <c r="L719" t="s">
        <v>24</v>
      </c>
      <c r="M719" t="s">
        <v>18</v>
      </c>
    </row>
    <row r="720" spans="1:13" x14ac:dyDescent="0.25">
      <c r="A720">
        <v>1045</v>
      </c>
      <c r="B720" s="1">
        <v>45271</v>
      </c>
      <c r="C720" t="s">
        <v>32</v>
      </c>
      <c r="D720" t="s">
        <v>19</v>
      </c>
      <c r="E720">
        <v>6400.11</v>
      </c>
      <c r="F720">
        <v>22</v>
      </c>
      <c r="G720" t="s">
        <v>25</v>
      </c>
      <c r="H720">
        <v>241.85</v>
      </c>
      <c r="I720">
        <v>613.09</v>
      </c>
      <c r="J720" t="s">
        <v>16</v>
      </c>
      <c r="K720">
        <v>0.06</v>
      </c>
      <c r="L720" t="s">
        <v>17</v>
      </c>
      <c r="M720" t="s">
        <v>18</v>
      </c>
    </row>
    <row r="721" spans="1:13" x14ac:dyDescent="0.25">
      <c r="A721">
        <v>1032</v>
      </c>
      <c r="B721" s="1">
        <v>45107</v>
      </c>
      <c r="C721" t="s">
        <v>31</v>
      </c>
      <c r="D721" t="s">
        <v>14</v>
      </c>
      <c r="E721">
        <v>3312.67</v>
      </c>
      <c r="F721">
        <v>6</v>
      </c>
      <c r="G721" t="s">
        <v>25</v>
      </c>
      <c r="H721">
        <v>2522.7600000000002</v>
      </c>
      <c r="I721">
        <v>2840.14</v>
      </c>
      <c r="J721" t="s">
        <v>16</v>
      </c>
      <c r="K721">
        <v>7.0000000000000007E-2</v>
      </c>
      <c r="L721" t="s">
        <v>27</v>
      </c>
      <c r="M721" t="s">
        <v>20</v>
      </c>
    </row>
    <row r="722" spans="1:13" x14ac:dyDescent="0.25">
      <c r="A722">
        <v>1045</v>
      </c>
      <c r="B722" s="1">
        <v>45096</v>
      </c>
      <c r="C722" t="s">
        <v>21</v>
      </c>
      <c r="D722" t="s">
        <v>14</v>
      </c>
      <c r="E722">
        <v>2768.17</v>
      </c>
      <c r="F722">
        <v>36</v>
      </c>
      <c r="G722" t="s">
        <v>30</v>
      </c>
      <c r="H722">
        <v>3835.64</v>
      </c>
      <c r="I722">
        <v>4076.77</v>
      </c>
      <c r="J722" t="s">
        <v>16</v>
      </c>
      <c r="K722">
        <v>0.1</v>
      </c>
      <c r="L722" t="s">
        <v>27</v>
      </c>
      <c r="M722" t="s">
        <v>20</v>
      </c>
    </row>
    <row r="723" spans="1:13" x14ac:dyDescent="0.25">
      <c r="A723">
        <v>1061</v>
      </c>
      <c r="B723" s="1">
        <v>45282</v>
      </c>
      <c r="C723" t="s">
        <v>32</v>
      </c>
      <c r="D723" t="s">
        <v>14</v>
      </c>
      <c r="E723">
        <v>1990.17</v>
      </c>
      <c r="F723">
        <v>45</v>
      </c>
      <c r="G723" t="s">
        <v>25</v>
      </c>
      <c r="H723">
        <v>1364.51</v>
      </c>
      <c r="I723">
        <v>1844.8</v>
      </c>
      <c r="J723" t="s">
        <v>16</v>
      </c>
      <c r="K723">
        <v>0.18</v>
      </c>
      <c r="L723" t="s">
        <v>17</v>
      </c>
      <c r="M723" t="s">
        <v>18</v>
      </c>
    </row>
    <row r="724" spans="1:13" x14ac:dyDescent="0.25">
      <c r="A724">
        <v>1047</v>
      </c>
      <c r="B724" s="1">
        <v>45117</v>
      </c>
      <c r="C724" t="s">
        <v>21</v>
      </c>
      <c r="D724" t="s">
        <v>14</v>
      </c>
      <c r="E724">
        <v>6976.95</v>
      </c>
      <c r="F724">
        <v>36</v>
      </c>
      <c r="G724" t="s">
        <v>23</v>
      </c>
      <c r="H724">
        <v>4043.53</v>
      </c>
      <c r="I724">
        <v>4384.8500000000004</v>
      </c>
      <c r="J724" t="s">
        <v>26</v>
      </c>
      <c r="K724">
        <v>0.14000000000000001</v>
      </c>
      <c r="L724" t="s">
        <v>17</v>
      </c>
      <c r="M724" t="s">
        <v>18</v>
      </c>
    </row>
    <row r="725" spans="1:13" x14ac:dyDescent="0.25">
      <c r="A725">
        <v>1021</v>
      </c>
      <c r="B725" s="1">
        <v>45081</v>
      </c>
      <c r="C725" t="s">
        <v>31</v>
      </c>
      <c r="D725" t="s">
        <v>14</v>
      </c>
      <c r="E725">
        <v>2265.2800000000002</v>
      </c>
      <c r="F725">
        <v>22</v>
      </c>
      <c r="G725" t="s">
        <v>30</v>
      </c>
      <c r="H725">
        <v>1296.44</v>
      </c>
      <c r="I725">
        <v>1751.24</v>
      </c>
      <c r="J725" t="s">
        <v>26</v>
      </c>
      <c r="K725">
        <v>0.22</v>
      </c>
      <c r="L725" t="s">
        <v>17</v>
      </c>
      <c r="M725" t="s">
        <v>18</v>
      </c>
    </row>
    <row r="726" spans="1:13" x14ac:dyDescent="0.25">
      <c r="A726">
        <v>1080</v>
      </c>
      <c r="B726" s="1">
        <v>45114</v>
      </c>
      <c r="C726" t="s">
        <v>28</v>
      </c>
      <c r="D726" t="s">
        <v>19</v>
      </c>
      <c r="E726">
        <v>5993.5</v>
      </c>
      <c r="F726">
        <v>14</v>
      </c>
      <c r="G726" t="s">
        <v>23</v>
      </c>
      <c r="H726">
        <v>4127.54</v>
      </c>
      <c r="I726">
        <v>4495.13</v>
      </c>
      <c r="J726" t="s">
        <v>26</v>
      </c>
      <c r="K726">
        <v>0.06</v>
      </c>
      <c r="L726" t="s">
        <v>24</v>
      </c>
      <c r="M726" t="s">
        <v>20</v>
      </c>
    </row>
    <row r="727" spans="1:13" x14ac:dyDescent="0.25">
      <c r="A727">
        <v>1085</v>
      </c>
      <c r="B727" s="1">
        <v>44933</v>
      </c>
      <c r="C727" t="s">
        <v>31</v>
      </c>
      <c r="D727" t="s">
        <v>19</v>
      </c>
      <c r="E727">
        <v>2719.89</v>
      </c>
      <c r="F727">
        <v>16</v>
      </c>
      <c r="G727" t="s">
        <v>23</v>
      </c>
      <c r="H727">
        <v>472.08</v>
      </c>
      <c r="I727">
        <v>842.46</v>
      </c>
      <c r="J727" t="s">
        <v>26</v>
      </c>
      <c r="K727">
        <v>0</v>
      </c>
      <c r="L727" t="s">
        <v>17</v>
      </c>
      <c r="M727" t="s">
        <v>20</v>
      </c>
    </row>
    <row r="728" spans="1:13" x14ac:dyDescent="0.25">
      <c r="A728">
        <v>1075</v>
      </c>
      <c r="B728" s="1">
        <v>45059</v>
      </c>
      <c r="C728" t="s">
        <v>13</v>
      </c>
      <c r="D728" t="s">
        <v>29</v>
      </c>
      <c r="E728">
        <v>6653.49</v>
      </c>
      <c r="F728">
        <v>36</v>
      </c>
      <c r="G728" t="s">
        <v>25</v>
      </c>
      <c r="H728">
        <v>4337.6099999999997</v>
      </c>
      <c r="I728">
        <v>4386.82</v>
      </c>
      <c r="J728" t="s">
        <v>16</v>
      </c>
      <c r="K728">
        <v>0.23</v>
      </c>
      <c r="L728" t="s">
        <v>27</v>
      </c>
      <c r="M728" t="s">
        <v>18</v>
      </c>
    </row>
    <row r="729" spans="1:13" x14ac:dyDescent="0.25">
      <c r="A729">
        <v>1036</v>
      </c>
      <c r="B729" s="1">
        <v>45161</v>
      </c>
      <c r="C729" t="s">
        <v>21</v>
      </c>
      <c r="D729" t="s">
        <v>29</v>
      </c>
      <c r="E729">
        <v>8167.9</v>
      </c>
      <c r="F729">
        <v>25</v>
      </c>
      <c r="G729" t="s">
        <v>23</v>
      </c>
      <c r="H729">
        <v>2520.9699999999998</v>
      </c>
      <c r="I729">
        <v>2707.1099999999901</v>
      </c>
      <c r="J729" t="s">
        <v>26</v>
      </c>
      <c r="K729">
        <v>0.25</v>
      </c>
      <c r="L729" t="s">
        <v>17</v>
      </c>
      <c r="M729" t="s">
        <v>20</v>
      </c>
    </row>
    <row r="730" spans="1:13" x14ac:dyDescent="0.25">
      <c r="A730">
        <v>1099</v>
      </c>
      <c r="B730" s="1">
        <v>44971</v>
      </c>
      <c r="C730" t="s">
        <v>21</v>
      </c>
      <c r="D730" t="s">
        <v>22</v>
      </c>
      <c r="E730">
        <v>7802.45</v>
      </c>
      <c r="F730">
        <v>32</v>
      </c>
      <c r="G730" t="s">
        <v>25</v>
      </c>
      <c r="H730">
        <v>1517.86</v>
      </c>
      <c r="I730">
        <v>1948.46</v>
      </c>
      <c r="J730" t="s">
        <v>26</v>
      </c>
      <c r="K730">
        <v>0.02</v>
      </c>
      <c r="L730" t="s">
        <v>27</v>
      </c>
      <c r="M730" t="s">
        <v>18</v>
      </c>
    </row>
    <row r="731" spans="1:13" x14ac:dyDescent="0.25">
      <c r="A731">
        <v>1019</v>
      </c>
      <c r="B731" s="1">
        <v>45240</v>
      </c>
      <c r="C731" t="s">
        <v>13</v>
      </c>
      <c r="D731" t="s">
        <v>29</v>
      </c>
      <c r="E731">
        <v>7632.43</v>
      </c>
      <c r="F731">
        <v>33</v>
      </c>
      <c r="G731" t="s">
        <v>15</v>
      </c>
      <c r="H731">
        <v>1362.31</v>
      </c>
      <c r="I731">
        <v>1486.29</v>
      </c>
      <c r="J731" t="s">
        <v>16</v>
      </c>
      <c r="K731">
        <v>0.18</v>
      </c>
      <c r="L731" t="s">
        <v>27</v>
      </c>
      <c r="M731" t="s">
        <v>20</v>
      </c>
    </row>
    <row r="732" spans="1:13" x14ac:dyDescent="0.25">
      <c r="A732">
        <v>1020</v>
      </c>
      <c r="B732" s="1">
        <v>45175</v>
      </c>
      <c r="C732" t="s">
        <v>13</v>
      </c>
      <c r="D732" t="s">
        <v>29</v>
      </c>
      <c r="E732">
        <v>1958.45</v>
      </c>
      <c r="F732">
        <v>45</v>
      </c>
      <c r="G732" t="s">
        <v>25</v>
      </c>
      <c r="H732">
        <v>2188.4499999999998</v>
      </c>
      <c r="I732">
        <v>2255.0499999999902</v>
      </c>
      <c r="J732" t="s">
        <v>26</v>
      </c>
      <c r="K732">
        <v>0.11</v>
      </c>
      <c r="L732" t="s">
        <v>24</v>
      </c>
      <c r="M732" t="s">
        <v>20</v>
      </c>
    </row>
    <row r="733" spans="1:13" x14ac:dyDescent="0.25">
      <c r="A733">
        <v>1057</v>
      </c>
      <c r="B733" s="1">
        <v>44957</v>
      </c>
      <c r="C733" t="s">
        <v>28</v>
      </c>
      <c r="D733" t="s">
        <v>14</v>
      </c>
      <c r="E733">
        <v>975.01</v>
      </c>
      <c r="F733">
        <v>36</v>
      </c>
      <c r="G733" t="s">
        <v>23</v>
      </c>
      <c r="H733">
        <v>4995.3</v>
      </c>
      <c r="I733">
        <v>5165.09</v>
      </c>
      <c r="J733" t="s">
        <v>16</v>
      </c>
      <c r="K733">
        <v>0.24</v>
      </c>
      <c r="L733" t="s">
        <v>17</v>
      </c>
      <c r="M733" t="s">
        <v>18</v>
      </c>
    </row>
    <row r="734" spans="1:13" x14ac:dyDescent="0.25">
      <c r="A734">
        <v>1018</v>
      </c>
      <c r="B734" s="1">
        <v>44949</v>
      </c>
      <c r="C734" t="s">
        <v>21</v>
      </c>
      <c r="D734" t="s">
        <v>14</v>
      </c>
      <c r="E734">
        <v>7019.59</v>
      </c>
      <c r="F734">
        <v>20</v>
      </c>
      <c r="G734" t="s">
        <v>15</v>
      </c>
      <c r="H734">
        <v>1140.6199999999999</v>
      </c>
      <c r="I734">
        <v>1258.6299999999901</v>
      </c>
      <c r="J734" t="s">
        <v>16</v>
      </c>
      <c r="K734">
        <v>0.26</v>
      </c>
      <c r="L734" t="s">
        <v>24</v>
      </c>
      <c r="M734" t="s">
        <v>18</v>
      </c>
    </row>
    <row r="735" spans="1:13" x14ac:dyDescent="0.25">
      <c r="A735">
        <v>1047</v>
      </c>
      <c r="B735" s="1">
        <v>45086</v>
      </c>
      <c r="C735" t="s">
        <v>21</v>
      </c>
      <c r="D735" t="s">
        <v>29</v>
      </c>
      <c r="E735">
        <v>3746.64</v>
      </c>
      <c r="F735">
        <v>18</v>
      </c>
      <c r="G735" t="s">
        <v>25</v>
      </c>
      <c r="H735">
        <v>560.91999999999996</v>
      </c>
      <c r="I735">
        <v>1024.31</v>
      </c>
      <c r="J735" t="s">
        <v>16</v>
      </c>
      <c r="K735">
        <v>0.26</v>
      </c>
      <c r="L735" t="s">
        <v>17</v>
      </c>
      <c r="M735" t="s">
        <v>18</v>
      </c>
    </row>
    <row r="736" spans="1:13" x14ac:dyDescent="0.25">
      <c r="A736">
        <v>1049</v>
      </c>
      <c r="B736" s="1">
        <v>45289</v>
      </c>
      <c r="C736" t="s">
        <v>28</v>
      </c>
      <c r="D736" t="s">
        <v>22</v>
      </c>
      <c r="E736">
        <v>4380.2299999999996</v>
      </c>
      <c r="F736">
        <v>38</v>
      </c>
      <c r="G736" t="s">
        <v>23</v>
      </c>
      <c r="H736">
        <v>2945.92</v>
      </c>
      <c r="I736">
        <v>3381.22</v>
      </c>
      <c r="J736" t="s">
        <v>16</v>
      </c>
      <c r="K736">
        <v>0.23</v>
      </c>
      <c r="L736" t="s">
        <v>17</v>
      </c>
      <c r="M736" t="s">
        <v>20</v>
      </c>
    </row>
    <row r="737" spans="1:13" x14ac:dyDescent="0.25">
      <c r="A737">
        <v>1014</v>
      </c>
      <c r="B737" s="1">
        <v>45084</v>
      </c>
      <c r="C737" t="s">
        <v>32</v>
      </c>
      <c r="D737" t="s">
        <v>14</v>
      </c>
      <c r="E737">
        <v>408.38</v>
      </c>
      <c r="F737">
        <v>3</v>
      </c>
      <c r="G737" t="s">
        <v>30</v>
      </c>
      <c r="H737">
        <v>2468.29</v>
      </c>
      <c r="I737">
        <v>2723.13</v>
      </c>
      <c r="J737" t="s">
        <v>16</v>
      </c>
      <c r="K737">
        <v>0.08</v>
      </c>
      <c r="L737" t="s">
        <v>17</v>
      </c>
      <c r="M737" t="s">
        <v>20</v>
      </c>
    </row>
    <row r="738" spans="1:13" x14ac:dyDescent="0.25">
      <c r="A738">
        <v>1015</v>
      </c>
      <c r="B738" s="1">
        <v>44965</v>
      </c>
      <c r="C738" t="s">
        <v>28</v>
      </c>
      <c r="D738" t="s">
        <v>29</v>
      </c>
      <c r="E738">
        <v>2669.81</v>
      </c>
      <c r="F738">
        <v>23</v>
      </c>
      <c r="G738" t="s">
        <v>30</v>
      </c>
      <c r="H738">
        <v>2644.77</v>
      </c>
      <c r="I738">
        <v>2684.83</v>
      </c>
      <c r="J738" t="s">
        <v>26</v>
      </c>
      <c r="K738">
        <v>0.24</v>
      </c>
      <c r="L738" t="s">
        <v>17</v>
      </c>
      <c r="M738" t="s">
        <v>18</v>
      </c>
    </row>
    <row r="739" spans="1:13" x14ac:dyDescent="0.25">
      <c r="A739">
        <v>1031</v>
      </c>
      <c r="B739" s="1">
        <v>45008</v>
      </c>
      <c r="C739" t="s">
        <v>31</v>
      </c>
      <c r="D739" t="s">
        <v>29</v>
      </c>
      <c r="E739">
        <v>433.4</v>
      </c>
      <c r="F739">
        <v>32</v>
      </c>
      <c r="G739" t="s">
        <v>25</v>
      </c>
      <c r="H739">
        <v>3351.33</v>
      </c>
      <c r="I739">
        <v>3711.47</v>
      </c>
      <c r="J739" t="s">
        <v>26</v>
      </c>
      <c r="K739">
        <v>0.16</v>
      </c>
      <c r="L739" t="s">
        <v>17</v>
      </c>
      <c r="M739" t="s">
        <v>20</v>
      </c>
    </row>
    <row r="740" spans="1:13" x14ac:dyDescent="0.25">
      <c r="A740">
        <v>1001</v>
      </c>
      <c r="B740" s="1">
        <v>45282</v>
      </c>
      <c r="C740" t="s">
        <v>21</v>
      </c>
      <c r="D740" t="s">
        <v>19</v>
      </c>
      <c r="E740">
        <v>8803.94</v>
      </c>
      <c r="F740">
        <v>45</v>
      </c>
      <c r="G740" t="s">
        <v>25</v>
      </c>
      <c r="H740">
        <v>1372.36</v>
      </c>
      <c r="I740">
        <v>1687.83</v>
      </c>
      <c r="J740" t="s">
        <v>26</v>
      </c>
      <c r="K740">
        <v>0.02</v>
      </c>
      <c r="L740" t="s">
        <v>27</v>
      </c>
      <c r="M740" t="s">
        <v>18</v>
      </c>
    </row>
    <row r="741" spans="1:13" x14ac:dyDescent="0.25">
      <c r="A741">
        <v>1054</v>
      </c>
      <c r="B741" s="1">
        <v>45184</v>
      </c>
      <c r="C741" t="s">
        <v>13</v>
      </c>
      <c r="D741" t="s">
        <v>22</v>
      </c>
      <c r="E741">
        <v>2509.63</v>
      </c>
      <c r="F741">
        <v>16</v>
      </c>
      <c r="G741" t="s">
        <v>30</v>
      </c>
      <c r="H741">
        <v>4557.79</v>
      </c>
      <c r="I741">
        <v>5043.3599999999997</v>
      </c>
      <c r="J741" t="s">
        <v>16</v>
      </c>
      <c r="K741">
        <v>0.14000000000000001</v>
      </c>
      <c r="L741" t="s">
        <v>27</v>
      </c>
      <c r="M741" t="s">
        <v>20</v>
      </c>
    </row>
    <row r="742" spans="1:13" x14ac:dyDescent="0.25">
      <c r="A742">
        <v>1003</v>
      </c>
      <c r="B742" s="1">
        <v>45132</v>
      </c>
      <c r="C742" t="s">
        <v>31</v>
      </c>
      <c r="D742" t="s">
        <v>19</v>
      </c>
      <c r="E742">
        <v>5617.64</v>
      </c>
      <c r="F742">
        <v>5</v>
      </c>
      <c r="G742" t="s">
        <v>23</v>
      </c>
      <c r="H742">
        <v>2206.58</v>
      </c>
      <c r="I742">
        <v>2490.4699999999998</v>
      </c>
      <c r="J742" t="s">
        <v>26</v>
      </c>
      <c r="K742">
        <v>0.28000000000000003</v>
      </c>
      <c r="L742" t="s">
        <v>17</v>
      </c>
      <c r="M742" t="s">
        <v>18</v>
      </c>
    </row>
    <row r="743" spans="1:13" x14ac:dyDescent="0.25">
      <c r="A743">
        <v>1016</v>
      </c>
      <c r="B743" s="1">
        <v>45003</v>
      </c>
      <c r="C743" t="s">
        <v>21</v>
      </c>
      <c r="D743" t="s">
        <v>22</v>
      </c>
      <c r="E743">
        <v>485.9</v>
      </c>
      <c r="F743">
        <v>4</v>
      </c>
      <c r="G743" t="s">
        <v>23</v>
      </c>
      <c r="H743">
        <v>688.98</v>
      </c>
      <c r="I743">
        <v>863.81</v>
      </c>
      <c r="J743" t="s">
        <v>26</v>
      </c>
      <c r="K743">
        <v>0.27</v>
      </c>
      <c r="L743" t="s">
        <v>27</v>
      </c>
      <c r="M743" t="s">
        <v>20</v>
      </c>
    </row>
    <row r="744" spans="1:13" x14ac:dyDescent="0.25">
      <c r="A744">
        <v>1087</v>
      </c>
      <c r="B744" s="1">
        <v>44938</v>
      </c>
      <c r="C744" t="s">
        <v>28</v>
      </c>
      <c r="D744" t="s">
        <v>14</v>
      </c>
      <c r="E744">
        <v>6701.79</v>
      </c>
      <c r="F744">
        <v>21</v>
      </c>
      <c r="G744" t="s">
        <v>23</v>
      </c>
      <c r="H744">
        <v>3724.38</v>
      </c>
      <c r="I744">
        <v>3988.7</v>
      </c>
      <c r="J744" t="s">
        <v>26</v>
      </c>
      <c r="K744">
        <v>0.03</v>
      </c>
      <c r="L744" t="s">
        <v>24</v>
      </c>
      <c r="M744" t="s">
        <v>20</v>
      </c>
    </row>
    <row r="745" spans="1:13" x14ac:dyDescent="0.25">
      <c r="A745">
        <v>1057</v>
      </c>
      <c r="B745" s="1">
        <v>45221</v>
      </c>
      <c r="C745" t="s">
        <v>31</v>
      </c>
      <c r="D745" t="s">
        <v>22</v>
      </c>
      <c r="E745">
        <v>3297.97</v>
      </c>
      <c r="F745">
        <v>40</v>
      </c>
      <c r="G745" t="s">
        <v>25</v>
      </c>
      <c r="H745">
        <v>3233.37</v>
      </c>
      <c r="I745">
        <v>3723.21</v>
      </c>
      <c r="J745" t="s">
        <v>26</v>
      </c>
      <c r="K745">
        <v>0.22</v>
      </c>
      <c r="L745" t="s">
        <v>24</v>
      </c>
      <c r="M745" t="s">
        <v>20</v>
      </c>
    </row>
    <row r="746" spans="1:13" x14ac:dyDescent="0.25">
      <c r="A746">
        <v>1075</v>
      </c>
      <c r="B746" s="1">
        <v>45150</v>
      </c>
      <c r="C746" t="s">
        <v>21</v>
      </c>
      <c r="D746" t="s">
        <v>29</v>
      </c>
      <c r="E746">
        <v>8989.4</v>
      </c>
      <c r="F746">
        <v>14</v>
      </c>
      <c r="G746" t="s">
        <v>15</v>
      </c>
      <c r="H746">
        <v>1612.93</v>
      </c>
      <c r="I746">
        <v>1964.15</v>
      </c>
      <c r="J746" t="s">
        <v>16</v>
      </c>
      <c r="K746">
        <v>0.24</v>
      </c>
      <c r="L746" t="s">
        <v>24</v>
      </c>
      <c r="M746" t="s">
        <v>20</v>
      </c>
    </row>
    <row r="747" spans="1:13" x14ac:dyDescent="0.25">
      <c r="A747">
        <v>1012</v>
      </c>
      <c r="B747" s="1">
        <v>44939</v>
      </c>
      <c r="C747" t="s">
        <v>32</v>
      </c>
      <c r="D747" t="s">
        <v>29</v>
      </c>
      <c r="E747">
        <v>8892.3700000000008</v>
      </c>
      <c r="F747">
        <v>39</v>
      </c>
      <c r="G747" t="s">
        <v>15</v>
      </c>
      <c r="H747">
        <v>3126.52</v>
      </c>
      <c r="I747">
        <v>3465.79</v>
      </c>
      <c r="J747" t="s">
        <v>26</v>
      </c>
      <c r="K747">
        <v>0.08</v>
      </c>
      <c r="L747" t="s">
        <v>17</v>
      </c>
      <c r="M747" t="s">
        <v>18</v>
      </c>
    </row>
    <row r="748" spans="1:13" x14ac:dyDescent="0.25">
      <c r="A748">
        <v>1074</v>
      </c>
      <c r="B748" s="1">
        <v>44972</v>
      </c>
      <c r="C748" t="s">
        <v>32</v>
      </c>
      <c r="D748" t="s">
        <v>22</v>
      </c>
      <c r="E748">
        <v>3320.38</v>
      </c>
      <c r="F748">
        <v>31</v>
      </c>
      <c r="G748" t="s">
        <v>15</v>
      </c>
      <c r="H748">
        <v>1138.32</v>
      </c>
      <c r="I748">
        <v>1266.25</v>
      </c>
      <c r="J748" t="s">
        <v>16</v>
      </c>
      <c r="K748">
        <v>0.14000000000000001</v>
      </c>
      <c r="L748" t="s">
        <v>17</v>
      </c>
      <c r="M748" t="s">
        <v>20</v>
      </c>
    </row>
    <row r="749" spans="1:13" x14ac:dyDescent="0.25">
      <c r="A749">
        <v>1096</v>
      </c>
      <c r="B749" s="1">
        <v>45081</v>
      </c>
      <c r="C749" t="s">
        <v>13</v>
      </c>
      <c r="D749" t="s">
        <v>22</v>
      </c>
      <c r="E749">
        <v>9019.51</v>
      </c>
      <c r="F749">
        <v>14</v>
      </c>
      <c r="G749" t="s">
        <v>15</v>
      </c>
      <c r="H749">
        <v>2251.9499999999998</v>
      </c>
      <c r="I749">
        <v>2626.3199999999902</v>
      </c>
      <c r="J749" t="s">
        <v>16</v>
      </c>
      <c r="K749">
        <v>0.21</v>
      </c>
      <c r="L749" t="s">
        <v>27</v>
      </c>
      <c r="M749" t="s">
        <v>18</v>
      </c>
    </row>
    <row r="750" spans="1:13" x14ac:dyDescent="0.25">
      <c r="A750">
        <v>1016</v>
      </c>
      <c r="B750" s="1">
        <v>45039</v>
      </c>
      <c r="C750" t="s">
        <v>21</v>
      </c>
      <c r="D750" t="s">
        <v>22</v>
      </c>
      <c r="E750">
        <v>9961.9599999999991</v>
      </c>
      <c r="F750">
        <v>6</v>
      </c>
      <c r="G750" t="s">
        <v>15</v>
      </c>
      <c r="H750">
        <v>4502.09</v>
      </c>
      <c r="I750">
        <v>4879.72</v>
      </c>
      <c r="J750" t="s">
        <v>26</v>
      </c>
      <c r="K750">
        <v>0.13</v>
      </c>
      <c r="L750" t="s">
        <v>27</v>
      </c>
      <c r="M750" t="s">
        <v>18</v>
      </c>
    </row>
    <row r="751" spans="1:13" x14ac:dyDescent="0.25">
      <c r="A751">
        <v>1072</v>
      </c>
      <c r="B751" s="1">
        <v>45159</v>
      </c>
      <c r="C751" t="s">
        <v>32</v>
      </c>
      <c r="D751" t="s">
        <v>19</v>
      </c>
      <c r="E751">
        <v>8271.6200000000008</v>
      </c>
      <c r="F751">
        <v>12</v>
      </c>
      <c r="G751" t="s">
        <v>25</v>
      </c>
      <c r="H751">
        <v>710.99</v>
      </c>
      <c r="I751">
        <v>876.46</v>
      </c>
      <c r="J751" t="s">
        <v>16</v>
      </c>
      <c r="K751">
        <v>0.03</v>
      </c>
      <c r="L751" t="s">
        <v>27</v>
      </c>
      <c r="M751" t="s">
        <v>18</v>
      </c>
    </row>
    <row r="752" spans="1:13" x14ac:dyDescent="0.25">
      <c r="A752">
        <v>1076</v>
      </c>
      <c r="B752" s="1">
        <v>44943</v>
      </c>
      <c r="C752" t="s">
        <v>28</v>
      </c>
      <c r="D752" t="s">
        <v>22</v>
      </c>
      <c r="E752">
        <v>8464.23</v>
      </c>
      <c r="F752">
        <v>16</v>
      </c>
      <c r="G752" t="s">
        <v>25</v>
      </c>
      <c r="H752">
        <v>1964.15</v>
      </c>
      <c r="I752">
        <v>2211.17</v>
      </c>
      <c r="J752" t="s">
        <v>16</v>
      </c>
      <c r="K752">
        <v>0.21</v>
      </c>
      <c r="L752" t="s">
        <v>24</v>
      </c>
      <c r="M752" t="s">
        <v>18</v>
      </c>
    </row>
    <row r="753" spans="1:13" x14ac:dyDescent="0.25">
      <c r="A753">
        <v>1024</v>
      </c>
      <c r="B753" s="1">
        <v>45286</v>
      </c>
      <c r="C753" t="s">
        <v>21</v>
      </c>
      <c r="D753" t="s">
        <v>14</v>
      </c>
      <c r="E753">
        <v>2565.19</v>
      </c>
      <c r="F753">
        <v>17</v>
      </c>
      <c r="G753" t="s">
        <v>15</v>
      </c>
      <c r="H753">
        <v>4114.66</v>
      </c>
      <c r="I753">
        <v>4269.0199999999904</v>
      </c>
      <c r="J753" t="s">
        <v>16</v>
      </c>
      <c r="K753">
        <v>0.27</v>
      </c>
      <c r="L753" t="s">
        <v>24</v>
      </c>
      <c r="M753" t="s">
        <v>20</v>
      </c>
    </row>
    <row r="754" spans="1:13" x14ac:dyDescent="0.25">
      <c r="A754">
        <v>1028</v>
      </c>
      <c r="B754" s="1">
        <v>45149</v>
      </c>
      <c r="C754" t="s">
        <v>28</v>
      </c>
      <c r="D754" t="s">
        <v>19</v>
      </c>
      <c r="E754">
        <v>5809.35</v>
      </c>
      <c r="F754">
        <v>45</v>
      </c>
      <c r="G754" t="s">
        <v>25</v>
      </c>
      <c r="H754">
        <v>4848.9799999999996</v>
      </c>
      <c r="I754">
        <v>4985.75</v>
      </c>
      <c r="J754" t="s">
        <v>16</v>
      </c>
      <c r="K754">
        <v>0.2</v>
      </c>
      <c r="L754" t="s">
        <v>24</v>
      </c>
      <c r="M754" t="s">
        <v>18</v>
      </c>
    </row>
    <row r="755" spans="1:13" x14ac:dyDescent="0.25">
      <c r="A755">
        <v>1008</v>
      </c>
      <c r="B755" s="1">
        <v>45280</v>
      </c>
      <c r="C755" t="s">
        <v>28</v>
      </c>
      <c r="D755" t="s">
        <v>19</v>
      </c>
      <c r="E755">
        <v>765.83</v>
      </c>
      <c r="F755">
        <v>23</v>
      </c>
      <c r="G755" t="s">
        <v>25</v>
      </c>
      <c r="H755">
        <v>2296.9299999999998</v>
      </c>
      <c r="I755">
        <v>2319.62</v>
      </c>
      <c r="J755" t="s">
        <v>16</v>
      </c>
      <c r="K755">
        <v>0.23</v>
      </c>
      <c r="L755" t="s">
        <v>24</v>
      </c>
      <c r="M755" t="s">
        <v>20</v>
      </c>
    </row>
    <row r="756" spans="1:13" x14ac:dyDescent="0.25">
      <c r="A756">
        <v>1092</v>
      </c>
      <c r="B756" s="1">
        <v>45114</v>
      </c>
      <c r="C756" t="s">
        <v>32</v>
      </c>
      <c r="D756" t="s">
        <v>22</v>
      </c>
      <c r="E756">
        <v>1039.69</v>
      </c>
      <c r="F756">
        <v>14</v>
      </c>
      <c r="G756" t="s">
        <v>15</v>
      </c>
      <c r="H756">
        <v>2559.65</v>
      </c>
      <c r="I756">
        <v>2709.4</v>
      </c>
      <c r="J756" t="s">
        <v>16</v>
      </c>
      <c r="K756">
        <v>0.11</v>
      </c>
      <c r="L756" t="s">
        <v>27</v>
      </c>
      <c r="M756" t="s">
        <v>20</v>
      </c>
    </row>
    <row r="757" spans="1:13" x14ac:dyDescent="0.25">
      <c r="A757">
        <v>1036</v>
      </c>
      <c r="B757" s="1">
        <v>45270</v>
      </c>
      <c r="C757" t="s">
        <v>21</v>
      </c>
      <c r="D757" t="s">
        <v>14</v>
      </c>
      <c r="E757">
        <v>9989.0400000000009</v>
      </c>
      <c r="F757">
        <v>7</v>
      </c>
      <c r="G757" t="s">
        <v>23</v>
      </c>
      <c r="H757">
        <v>2882.25</v>
      </c>
      <c r="I757">
        <v>3163.7</v>
      </c>
      <c r="J757" t="s">
        <v>16</v>
      </c>
      <c r="K757">
        <v>0.05</v>
      </c>
      <c r="L757" t="s">
        <v>17</v>
      </c>
      <c r="M757" t="s">
        <v>20</v>
      </c>
    </row>
    <row r="758" spans="1:13" x14ac:dyDescent="0.25">
      <c r="A758">
        <v>1090</v>
      </c>
      <c r="B758" s="1">
        <v>45291</v>
      </c>
      <c r="C758" t="s">
        <v>31</v>
      </c>
      <c r="D758" t="s">
        <v>19</v>
      </c>
      <c r="E758">
        <v>3333.73</v>
      </c>
      <c r="F758">
        <v>46</v>
      </c>
      <c r="G758" t="s">
        <v>25</v>
      </c>
      <c r="H758">
        <v>4665.12</v>
      </c>
      <c r="I758">
        <v>4675.8999999999996</v>
      </c>
      <c r="J758" t="s">
        <v>26</v>
      </c>
      <c r="K758">
        <v>0.19</v>
      </c>
      <c r="L758" t="s">
        <v>17</v>
      </c>
      <c r="M758" t="s">
        <v>20</v>
      </c>
    </row>
    <row r="759" spans="1:13" x14ac:dyDescent="0.25">
      <c r="A759">
        <v>1008</v>
      </c>
      <c r="B759" s="1">
        <v>45089</v>
      </c>
      <c r="C759" t="s">
        <v>32</v>
      </c>
      <c r="D759" t="s">
        <v>29</v>
      </c>
      <c r="E759">
        <v>7507.02</v>
      </c>
      <c r="F759">
        <v>32</v>
      </c>
      <c r="G759" t="s">
        <v>23</v>
      </c>
      <c r="H759">
        <v>4298.12</v>
      </c>
      <c r="I759">
        <v>4446.8999999999996</v>
      </c>
      <c r="J759" t="s">
        <v>26</v>
      </c>
      <c r="K759">
        <v>0.1</v>
      </c>
      <c r="L759" t="s">
        <v>24</v>
      </c>
      <c r="M759" t="s">
        <v>18</v>
      </c>
    </row>
    <row r="760" spans="1:13" x14ac:dyDescent="0.25">
      <c r="A760">
        <v>1058</v>
      </c>
      <c r="B760" s="1">
        <v>45252</v>
      </c>
      <c r="C760" t="s">
        <v>32</v>
      </c>
      <c r="D760" t="s">
        <v>19</v>
      </c>
      <c r="E760">
        <v>8085.98</v>
      </c>
      <c r="F760">
        <v>15</v>
      </c>
      <c r="G760" t="s">
        <v>25</v>
      </c>
      <c r="H760">
        <v>894.48</v>
      </c>
      <c r="I760">
        <v>1336.37</v>
      </c>
      <c r="J760" t="s">
        <v>16</v>
      </c>
      <c r="K760">
        <v>0.26</v>
      </c>
      <c r="L760" t="s">
        <v>17</v>
      </c>
      <c r="M760" t="s">
        <v>20</v>
      </c>
    </row>
    <row r="761" spans="1:13" x14ac:dyDescent="0.25">
      <c r="A761">
        <v>1060</v>
      </c>
      <c r="B761" s="1">
        <v>45000</v>
      </c>
      <c r="C761" t="s">
        <v>21</v>
      </c>
      <c r="D761" t="s">
        <v>22</v>
      </c>
      <c r="E761">
        <v>8594.43</v>
      </c>
      <c r="F761">
        <v>44</v>
      </c>
      <c r="G761" t="s">
        <v>25</v>
      </c>
      <c r="H761">
        <v>2211.9499999999998</v>
      </c>
      <c r="I761">
        <v>2512.8399999999901</v>
      </c>
      <c r="J761" t="s">
        <v>16</v>
      </c>
      <c r="K761">
        <v>0.04</v>
      </c>
      <c r="L761" t="s">
        <v>17</v>
      </c>
      <c r="M761" t="s">
        <v>18</v>
      </c>
    </row>
    <row r="762" spans="1:13" x14ac:dyDescent="0.25">
      <c r="A762">
        <v>1050</v>
      </c>
      <c r="B762" s="1">
        <v>45159</v>
      </c>
      <c r="C762" t="s">
        <v>21</v>
      </c>
      <c r="D762" t="s">
        <v>14</v>
      </c>
      <c r="E762">
        <v>9976.52</v>
      </c>
      <c r="F762">
        <v>17</v>
      </c>
      <c r="G762" t="s">
        <v>15</v>
      </c>
      <c r="H762">
        <v>2346.8000000000002</v>
      </c>
      <c r="I762">
        <v>2654.65</v>
      </c>
      <c r="J762" t="s">
        <v>26</v>
      </c>
      <c r="K762">
        <v>0.13</v>
      </c>
      <c r="L762" t="s">
        <v>17</v>
      </c>
      <c r="M762" t="s">
        <v>20</v>
      </c>
    </row>
    <row r="763" spans="1:13" x14ac:dyDescent="0.25">
      <c r="A763">
        <v>1028</v>
      </c>
      <c r="B763" s="1">
        <v>45150</v>
      </c>
      <c r="C763" t="s">
        <v>28</v>
      </c>
      <c r="D763" t="s">
        <v>22</v>
      </c>
      <c r="E763">
        <v>2490.8200000000002</v>
      </c>
      <c r="F763">
        <v>41</v>
      </c>
      <c r="G763" t="s">
        <v>25</v>
      </c>
      <c r="H763">
        <v>3956.03</v>
      </c>
      <c r="I763">
        <v>4163.68</v>
      </c>
      <c r="J763" t="s">
        <v>26</v>
      </c>
      <c r="K763">
        <v>0.12</v>
      </c>
      <c r="L763" t="s">
        <v>24</v>
      </c>
      <c r="M763" t="s">
        <v>20</v>
      </c>
    </row>
    <row r="764" spans="1:13" x14ac:dyDescent="0.25">
      <c r="A764">
        <v>1092</v>
      </c>
      <c r="B764" s="1">
        <v>45245</v>
      </c>
      <c r="C764" t="s">
        <v>21</v>
      </c>
      <c r="D764" t="s">
        <v>29</v>
      </c>
      <c r="E764">
        <v>499.47</v>
      </c>
      <c r="F764">
        <v>47</v>
      </c>
      <c r="G764" t="s">
        <v>30</v>
      </c>
      <c r="H764">
        <v>3034.32</v>
      </c>
      <c r="I764">
        <v>3375.79</v>
      </c>
      <c r="J764" t="s">
        <v>26</v>
      </c>
      <c r="K764">
        <v>0.28000000000000003</v>
      </c>
      <c r="L764" t="s">
        <v>27</v>
      </c>
      <c r="M764" t="s">
        <v>18</v>
      </c>
    </row>
    <row r="765" spans="1:13" x14ac:dyDescent="0.25">
      <c r="A765">
        <v>1041</v>
      </c>
      <c r="B765" s="1">
        <v>44986</v>
      </c>
      <c r="C765" t="s">
        <v>28</v>
      </c>
      <c r="D765" t="s">
        <v>29</v>
      </c>
      <c r="E765">
        <v>4170.8</v>
      </c>
      <c r="F765">
        <v>44</v>
      </c>
      <c r="G765" t="s">
        <v>30</v>
      </c>
      <c r="H765">
        <v>3288.39</v>
      </c>
      <c r="I765">
        <v>3391.46</v>
      </c>
      <c r="J765" t="s">
        <v>26</v>
      </c>
      <c r="K765">
        <v>0.05</v>
      </c>
      <c r="L765" t="s">
        <v>27</v>
      </c>
      <c r="M765" t="s">
        <v>20</v>
      </c>
    </row>
    <row r="766" spans="1:13" x14ac:dyDescent="0.25">
      <c r="A766">
        <v>1100</v>
      </c>
      <c r="B766" s="1">
        <v>45261</v>
      </c>
      <c r="C766" t="s">
        <v>32</v>
      </c>
      <c r="D766" t="s">
        <v>29</v>
      </c>
      <c r="E766">
        <v>1387.8</v>
      </c>
      <c r="F766">
        <v>34</v>
      </c>
      <c r="G766" t="s">
        <v>15</v>
      </c>
      <c r="H766">
        <v>4991.09</v>
      </c>
      <c r="I766">
        <v>5402.28</v>
      </c>
      <c r="J766" t="s">
        <v>16</v>
      </c>
      <c r="K766">
        <v>0</v>
      </c>
      <c r="L766" t="s">
        <v>17</v>
      </c>
      <c r="M766" t="s">
        <v>20</v>
      </c>
    </row>
    <row r="767" spans="1:13" x14ac:dyDescent="0.25">
      <c r="A767">
        <v>1064</v>
      </c>
      <c r="B767" s="1">
        <v>45148</v>
      </c>
      <c r="C767" t="s">
        <v>13</v>
      </c>
      <c r="D767" t="s">
        <v>22</v>
      </c>
      <c r="E767">
        <v>322.02</v>
      </c>
      <c r="F767">
        <v>5</v>
      </c>
      <c r="G767" t="s">
        <v>23</v>
      </c>
      <c r="H767">
        <v>421.05</v>
      </c>
      <c r="I767">
        <v>488.23</v>
      </c>
      <c r="J767" t="s">
        <v>16</v>
      </c>
      <c r="K767">
        <v>7.0000000000000007E-2</v>
      </c>
      <c r="L767" t="s">
        <v>27</v>
      </c>
      <c r="M767" t="s">
        <v>20</v>
      </c>
    </row>
    <row r="768" spans="1:13" x14ac:dyDescent="0.25">
      <c r="A768">
        <v>1027</v>
      </c>
      <c r="B768" s="1">
        <v>44963</v>
      </c>
      <c r="C768" t="s">
        <v>31</v>
      </c>
      <c r="D768" t="s">
        <v>19</v>
      </c>
      <c r="E768">
        <v>3668.23</v>
      </c>
      <c r="F768">
        <v>45</v>
      </c>
      <c r="G768" t="s">
        <v>23</v>
      </c>
      <c r="H768">
        <v>1153.9000000000001</v>
      </c>
      <c r="I768">
        <v>1485.34</v>
      </c>
      <c r="J768" t="s">
        <v>26</v>
      </c>
      <c r="K768">
        <v>0.25</v>
      </c>
      <c r="L768" t="s">
        <v>27</v>
      </c>
      <c r="M768" t="s">
        <v>20</v>
      </c>
    </row>
    <row r="769" spans="1:13" x14ac:dyDescent="0.25">
      <c r="A769">
        <v>1063</v>
      </c>
      <c r="B769" s="1">
        <v>45204</v>
      </c>
      <c r="C769" t="s">
        <v>32</v>
      </c>
      <c r="D769" t="s">
        <v>22</v>
      </c>
      <c r="E769">
        <v>7859.01</v>
      </c>
      <c r="F769">
        <v>27</v>
      </c>
      <c r="G769" t="s">
        <v>23</v>
      </c>
      <c r="H769">
        <v>2069.08</v>
      </c>
      <c r="I769">
        <v>2246.2399999999998</v>
      </c>
      <c r="J769" t="s">
        <v>26</v>
      </c>
      <c r="K769">
        <v>0.06</v>
      </c>
      <c r="L769" t="s">
        <v>24</v>
      </c>
      <c r="M769" t="s">
        <v>20</v>
      </c>
    </row>
    <row r="770" spans="1:13" x14ac:dyDescent="0.25">
      <c r="A770">
        <v>1017</v>
      </c>
      <c r="B770" s="1">
        <v>45122</v>
      </c>
      <c r="C770" t="s">
        <v>21</v>
      </c>
      <c r="D770" t="s">
        <v>14</v>
      </c>
      <c r="E770">
        <v>5705.19</v>
      </c>
      <c r="F770">
        <v>23</v>
      </c>
      <c r="G770" t="s">
        <v>30</v>
      </c>
      <c r="H770">
        <v>1771.52</v>
      </c>
      <c r="I770">
        <v>2147.8000000000002</v>
      </c>
      <c r="J770" t="s">
        <v>26</v>
      </c>
      <c r="K770">
        <v>7.0000000000000007E-2</v>
      </c>
      <c r="L770" t="s">
        <v>24</v>
      </c>
      <c r="M770" t="s">
        <v>18</v>
      </c>
    </row>
    <row r="771" spans="1:13" x14ac:dyDescent="0.25">
      <c r="A771">
        <v>1073</v>
      </c>
      <c r="B771" s="1">
        <v>45278</v>
      </c>
      <c r="C771" t="s">
        <v>31</v>
      </c>
      <c r="D771" t="s">
        <v>19</v>
      </c>
      <c r="E771">
        <v>3196.5</v>
      </c>
      <c r="F771">
        <v>40</v>
      </c>
      <c r="G771" t="s">
        <v>23</v>
      </c>
      <c r="H771">
        <v>157.15</v>
      </c>
      <c r="I771">
        <v>436.53</v>
      </c>
      <c r="J771" t="s">
        <v>26</v>
      </c>
      <c r="K771">
        <v>0.04</v>
      </c>
      <c r="L771" t="s">
        <v>17</v>
      </c>
      <c r="M771" t="s">
        <v>20</v>
      </c>
    </row>
    <row r="772" spans="1:13" x14ac:dyDescent="0.25">
      <c r="A772">
        <v>1033</v>
      </c>
      <c r="B772" s="1">
        <v>45168</v>
      </c>
      <c r="C772" t="s">
        <v>13</v>
      </c>
      <c r="D772" t="s">
        <v>29</v>
      </c>
      <c r="E772">
        <v>6577.99</v>
      </c>
      <c r="F772">
        <v>14</v>
      </c>
      <c r="G772" t="s">
        <v>23</v>
      </c>
      <c r="H772">
        <v>504.3</v>
      </c>
      <c r="I772">
        <v>735.95</v>
      </c>
      <c r="J772" t="s">
        <v>16</v>
      </c>
      <c r="K772">
        <v>0.21</v>
      </c>
      <c r="L772" t="s">
        <v>17</v>
      </c>
      <c r="M772" t="s">
        <v>20</v>
      </c>
    </row>
    <row r="773" spans="1:13" x14ac:dyDescent="0.25">
      <c r="A773">
        <v>1084</v>
      </c>
      <c r="B773" s="1">
        <v>45250</v>
      </c>
      <c r="C773" t="s">
        <v>13</v>
      </c>
      <c r="D773" t="s">
        <v>22</v>
      </c>
      <c r="E773">
        <v>2396.98</v>
      </c>
      <c r="F773">
        <v>15</v>
      </c>
      <c r="G773" t="s">
        <v>15</v>
      </c>
      <c r="H773">
        <v>3420.72</v>
      </c>
      <c r="I773">
        <v>3513.74</v>
      </c>
      <c r="J773" t="s">
        <v>26</v>
      </c>
      <c r="K773">
        <v>0.02</v>
      </c>
      <c r="L773" t="s">
        <v>17</v>
      </c>
      <c r="M773" t="s">
        <v>18</v>
      </c>
    </row>
    <row r="774" spans="1:13" x14ac:dyDescent="0.25">
      <c r="A774">
        <v>1077</v>
      </c>
      <c r="B774" s="1">
        <v>45145</v>
      </c>
      <c r="C774" t="s">
        <v>28</v>
      </c>
      <c r="D774" t="s">
        <v>29</v>
      </c>
      <c r="E774">
        <v>242.38</v>
      </c>
      <c r="F774">
        <v>43</v>
      </c>
      <c r="G774" t="s">
        <v>23</v>
      </c>
      <c r="H774">
        <v>4402.66</v>
      </c>
      <c r="I774">
        <v>4724.7</v>
      </c>
      <c r="J774" t="s">
        <v>26</v>
      </c>
      <c r="K774">
        <v>0.1</v>
      </c>
      <c r="L774" t="s">
        <v>24</v>
      </c>
      <c r="M774" t="s">
        <v>20</v>
      </c>
    </row>
    <row r="775" spans="1:13" x14ac:dyDescent="0.25">
      <c r="A775">
        <v>1092</v>
      </c>
      <c r="B775" s="1">
        <v>45118</v>
      </c>
      <c r="C775" t="s">
        <v>31</v>
      </c>
      <c r="D775" t="s">
        <v>29</v>
      </c>
      <c r="E775">
        <v>7667.1</v>
      </c>
      <c r="F775">
        <v>33</v>
      </c>
      <c r="G775" t="s">
        <v>30</v>
      </c>
      <c r="H775">
        <v>2595.42</v>
      </c>
      <c r="I775">
        <v>3083.06</v>
      </c>
      <c r="J775" t="s">
        <v>26</v>
      </c>
      <c r="K775">
        <v>0.08</v>
      </c>
      <c r="L775" t="s">
        <v>27</v>
      </c>
      <c r="M775" t="s">
        <v>18</v>
      </c>
    </row>
    <row r="776" spans="1:13" x14ac:dyDescent="0.25">
      <c r="A776">
        <v>1029</v>
      </c>
      <c r="B776" s="1">
        <v>44943</v>
      </c>
      <c r="C776" t="s">
        <v>28</v>
      </c>
      <c r="D776" t="s">
        <v>14</v>
      </c>
      <c r="E776">
        <v>6275.06</v>
      </c>
      <c r="F776">
        <v>31</v>
      </c>
      <c r="G776" t="s">
        <v>30</v>
      </c>
      <c r="H776">
        <v>2719</v>
      </c>
      <c r="I776">
        <v>3133.55</v>
      </c>
      <c r="J776" t="s">
        <v>16</v>
      </c>
      <c r="K776">
        <v>0.17</v>
      </c>
      <c r="L776" t="s">
        <v>24</v>
      </c>
      <c r="M776" t="s">
        <v>20</v>
      </c>
    </row>
    <row r="777" spans="1:13" x14ac:dyDescent="0.25">
      <c r="A777">
        <v>1013</v>
      </c>
      <c r="B777" s="1">
        <v>44938</v>
      </c>
      <c r="C777" t="s">
        <v>32</v>
      </c>
      <c r="D777" t="s">
        <v>19</v>
      </c>
      <c r="E777">
        <v>7646.8</v>
      </c>
      <c r="F777">
        <v>35</v>
      </c>
      <c r="G777" t="s">
        <v>30</v>
      </c>
      <c r="H777">
        <v>1312.71</v>
      </c>
      <c r="I777">
        <v>1352.11</v>
      </c>
      <c r="J777" t="s">
        <v>16</v>
      </c>
      <c r="K777">
        <v>0.22</v>
      </c>
      <c r="L777" t="s">
        <v>24</v>
      </c>
      <c r="M777" t="s">
        <v>20</v>
      </c>
    </row>
    <row r="778" spans="1:13" x14ac:dyDescent="0.25">
      <c r="A778">
        <v>1046</v>
      </c>
      <c r="B778" s="1">
        <v>45119</v>
      </c>
      <c r="C778" t="s">
        <v>31</v>
      </c>
      <c r="D778" t="s">
        <v>14</v>
      </c>
      <c r="E778">
        <v>485.49</v>
      </c>
      <c r="F778">
        <v>17</v>
      </c>
      <c r="G778" t="s">
        <v>15</v>
      </c>
      <c r="H778">
        <v>3850.99</v>
      </c>
      <c r="I778">
        <v>4045.3399999999901</v>
      </c>
      <c r="J778" t="s">
        <v>16</v>
      </c>
      <c r="K778">
        <v>0.16</v>
      </c>
      <c r="L778" t="s">
        <v>27</v>
      </c>
      <c r="M778" t="s">
        <v>18</v>
      </c>
    </row>
    <row r="779" spans="1:13" x14ac:dyDescent="0.25">
      <c r="A779">
        <v>1035</v>
      </c>
      <c r="B779" s="1">
        <v>44948</v>
      </c>
      <c r="C779" t="s">
        <v>32</v>
      </c>
      <c r="D779" t="s">
        <v>14</v>
      </c>
      <c r="E779">
        <v>8387.48</v>
      </c>
      <c r="F779">
        <v>28</v>
      </c>
      <c r="G779" t="s">
        <v>15</v>
      </c>
      <c r="H779">
        <v>3771.38</v>
      </c>
      <c r="I779">
        <v>4234.92</v>
      </c>
      <c r="J779" t="s">
        <v>26</v>
      </c>
      <c r="K779">
        <v>0.28000000000000003</v>
      </c>
      <c r="L779" t="s">
        <v>27</v>
      </c>
      <c r="M779" t="s">
        <v>20</v>
      </c>
    </row>
    <row r="780" spans="1:13" x14ac:dyDescent="0.25">
      <c r="A780">
        <v>1006</v>
      </c>
      <c r="B780" s="1">
        <v>45046</v>
      </c>
      <c r="C780" t="s">
        <v>28</v>
      </c>
      <c r="D780" t="s">
        <v>14</v>
      </c>
      <c r="E780">
        <v>6233.31</v>
      </c>
      <c r="F780">
        <v>19</v>
      </c>
      <c r="G780" t="s">
        <v>25</v>
      </c>
      <c r="H780">
        <v>2962.41</v>
      </c>
      <c r="I780">
        <v>3218.8999999999901</v>
      </c>
      <c r="J780" t="s">
        <v>26</v>
      </c>
      <c r="K780">
        <v>0.28999999999999998</v>
      </c>
      <c r="L780" t="s">
        <v>17</v>
      </c>
      <c r="M780" t="s">
        <v>20</v>
      </c>
    </row>
    <row r="781" spans="1:13" x14ac:dyDescent="0.25">
      <c r="A781">
        <v>1082</v>
      </c>
      <c r="B781" s="1">
        <v>45136</v>
      </c>
      <c r="C781" t="s">
        <v>31</v>
      </c>
      <c r="D781" t="s">
        <v>29</v>
      </c>
      <c r="E781">
        <v>5677.61</v>
      </c>
      <c r="F781">
        <v>46</v>
      </c>
      <c r="G781" t="s">
        <v>23</v>
      </c>
      <c r="H781">
        <v>1102.69</v>
      </c>
      <c r="I781">
        <v>1437.12</v>
      </c>
      <c r="J781" t="s">
        <v>26</v>
      </c>
      <c r="K781">
        <v>0.11</v>
      </c>
      <c r="L781" t="s">
        <v>27</v>
      </c>
      <c r="M781" t="s">
        <v>18</v>
      </c>
    </row>
    <row r="782" spans="1:13" x14ac:dyDescent="0.25">
      <c r="A782">
        <v>1069</v>
      </c>
      <c r="B782" s="1">
        <v>45232</v>
      </c>
      <c r="C782" t="s">
        <v>28</v>
      </c>
      <c r="D782" t="s">
        <v>14</v>
      </c>
      <c r="E782">
        <v>6283.68</v>
      </c>
      <c r="F782">
        <v>23</v>
      </c>
      <c r="G782" t="s">
        <v>15</v>
      </c>
      <c r="H782">
        <v>530.24</v>
      </c>
      <c r="I782">
        <v>987.41</v>
      </c>
      <c r="J782" t="s">
        <v>16</v>
      </c>
      <c r="K782">
        <v>0.23</v>
      </c>
      <c r="L782" t="s">
        <v>27</v>
      </c>
      <c r="M782" t="s">
        <v>18</v>
      </c>
    </row>
    <row r="783" spans="1:13" x14ac:dyDescent="0.25">
      <c r="A783">
        <v>1047</v>
      </c>
      <c r="B783" s="1">
        <v>45196</v>
      </c>
      <c r="C783" t="s">
        <v>31</v>
      </c>
      <c r="D783" t="s">
        <v>14</v>
      </c>
      <c r="E783">
        <v>8657.89</v>
      </c>
      <c r="F783">
        <v>32</v>
      </c>
      <c r="G783" t="s">
        <v>30</v>
      </c>
      <c r="H783">
        <v>367.98</v>
      </c>
      <c r="I783">
        <v>806.14</v>
      </c>
      <c r="J783" t="s">
        <v>16</v>
      </c>
      <c r="K783">
        <v>0.22</v>
      </c>
      <c r="L783" t="s">
        <v>27</v>
      </c>
      <c r="M783" t="s">
        <v>20</v>
      </c>
    </row>
    <row r="784" spans="1:13" x14ac:dyDescent="0.25">
      <c r="A784">
        <v>1025</v>
      </c>
      <c r="B784" s="1">
        <v>45118</v>
      </c>
      <c r="C784" t="s">
        <v>28</v>
      </c>
      <c r="D784" t="s">
        <v>19</v>
      </c>
      <c r="E784">
        <v>5910.67</v>
      </c>
      <c r="F784">
        <v>40</v>
      </c>
      <c r="G784" t="s">
        <v>30</v>
      </c>
      <c r="H784">
        <v>2983.85</v>
      </c>
      <c r="I784">
        <v>3239.74</v>
      </c>
      <c r="J784" t="s">
        <v>26</v>
      </c>
      <c r="K784">
        <v>0.27</v>
      </c>
      <c r="L784" t="s">
        <v>27</v>
      </c>
      <c r="M784" t="s">
        <v>18</v>
      </c>
    </row>
    <row r="785" spans="1:13" x14ac:dyDescent="0.25">
      <c r="A785">
        <v>1066</v>
      </c>
      <c r="B785" s="1">
        <v>45101</v>
      </c>
      <c r="C785" t="s">
        <v>13</v>
      </c>
      <c r="D785" t="s">
        <v>19</v>
      </c>
      <c r="E785">
        <v>5851.41</v>
      </c>
      <c r="F785">
        <v>13</v>
      </c>
      <c r="G785" t="s">
        <v>15</v>
      </c>
      <c r="H785">
        <v>4133.92</v>
      </c>
      <c r="I785">
        <v>4358.37</v>
      </c>
      <c r="J785" t="s">
        <v>26</v>
      </c>
      <c r="K785">
        <v>0.13</v>
      </c>
      <c r="L785" t="s">
        <v>17</v>
      </c>
      <c r="M785" t="s">
        <v>20</v>
      </c>
    </row>
    <row r="786" spans="1:13" x14ac:dyDescent="0.25">
      <c r="A786">
        <v>1010</v>
      </c>
      <c r="B786" s="1">
        <v>45211</v>
      </c>
      <c r="C786" t="s">
        <v>28</v>
      </c>
      <c r="D786" t="s">
        <v>14</v>
      </c>
      <c r="E786">
        <v>9907.7199999999993</v>
      </c>
      <c r="F786">
        <v>20</v>
      </c>
      <c r="G786" t="s">
        <v>15</v>
      </c>
      <c r="H786">
        <v>4298.74</v>
      </c>
      <c r="I786">
        <v>4475.1899999999996</v>
      </c>
      <c r="J786" t="s">
        <v>16</v>
      </c>
      <c r="K786">
        <v>0.16</v>
      </c>
      <c r="L786" t="s">
        <v>17</v>
      </c>
      <c r="M786" t="s">
        <v>18</v>
      </c>
    </row>
    <row r="787" spans="1:13" x14ac:dyDescent="0.25">
      <c r="A787">
        <v>1056</v>
      </c>
      <c r="B787" s="1">
        <v>45130</v>
      </c>
      <c r="C787" t="s">
        <v>13</v>
      </c>
      <c r="D787" t="s">
        <v>19</v>
      </c>
      <c r="E787">
        <v>7591.63</v>
      </c>
      <c r="F787">
        <v>35</v>
      </c>
      <c r="G787" t="s">
        <v>15</v>
      </c>
      <c r="H787">
        <v>2344.9299999999998</v>
      </c>
      <c r="I787">
        <v>2707.25</v>
      </c>
      <c r="J787" t="s">
        <v>26</v>
      </c>
      <c r="K787">
        <v>0.12</v>
      </c>
      <c r="L787" t="s">
        <v>27</v>
      </c>
      <c r="M787" t="s">
        <v>20</v>
      </c>
    </row>
    <row r="788" spans="1:13" x14ac:dyDescent="0.25">
      <c r="A788">
        <v>1030</v>
      </c>
      <c r="B788" s="1">
        <v>45090</v>
      </c>
      <c r="C788" t="s">
        <v>28</v>
      </c>
      <c r="D788" t="s">
        <v>19</v>
      </c>
      <c r="E788">
        <v>4478.71</v>
      </c>
      <c r="F788">
        <v>5</v>
      </c>
      <c r="G788" t="s">
        <v>25</v>
      </c>
      <c r="H788">
        <v>3932.14</v>
      </c>
      <c r="I788">
        <v>4082.7599999999902</v>
      </c>
      <c r="J788" t="s">
        <v>26</v>
      </c>
      <c r="K788">
        <v>0.26</v>
      </c>
      <c r="L788" t="s">
        <v>27</v>
      </c>
      <c r="M788" t="s">
        <v>18</v>
      </c>
    </row>
    <row r="789" spans="1:13" x14ac:dyDescent="0.25">
      <c r="A789">
        <v>1005</v>
      </c>
      <c r="B789" s="1">
        <v>45177</v>
      </c>
      <c r="C789" t="s">
        <v>31</v>
      </c>
      <c r="D789" t="s">
        <v>14</v>
      </c>
      <c r="E789">
        <v>7103.23</v>
      </c>
      <c r="F789">
        <v>9</v>
      </c>
      <c r="G789" t="s">
        <v>30</v>
      </c>
      <c r="H789">
        <v>4737.0600000000004</v>
      </c>
      <c r="I789">
        <v>4869.5</v>
      </c>
      <c r="J789" t="s">
        <v>26</v>
      </c>
      <c r="K789">
        <v>7.0000000000000007E-2</v>
      </c>
      <c r="L789" t="s">
        <v>17</v>
      </c>
      <c r="M789" t="s">
        <v>18</v>
      </c>
    </row>
    <row r="790" spans="1:13" x14ac:dyDescent="0.25">
      <c r="A790">
        <v>1033</v>
      </c>
      <c r="B790" s="1">
        <v>45153</v>
      </c>
      <c r="C790" t="s">
        <v>31</v>
      </c>
      <c r="D790" t="s">
        <v>29</v>
      </c>
      <c r="E790">
        <v>3953.38</v>
      </c>
      <c r="F790">
        <v>29</v>
      </c>
      <c r="G790" t="s">
        <v>25</v>
      </c>
      <c r="H790">
        <v>1412.09</v>
      </c>
      <c r="I790">
        <v>1596.6499999999901</v>
      </c>
      <c r="J790" t="s">
        <v>16</v>
      </c>
      <c r="K790">
        <v>7.0000000000000007E-2</v>
      </c>
      <c r="L790" t="s">
        <v>17</v>
      </c>
      <c r="M790" t="s">
        <v>18</v>
      </c>
    </row>
    <row r="791" spans="1:13" x14ac:dyDescent="0.25">
      <c r="A791">
        <v>1065</v>
      </c>
      <c r="B791" s="1">
        <v>44933</v>
      </c>
      <c r="C791" t="s">
        <v>31</v>
      </c>
      <c r="D791" t="s">
        <v>14</v>
      </c>
      <c r="E791">
        <v>2365.87</v>
      </c>
      <c r="F791">
        <v>6</v>
      </c>
      <c r="G791" t="s">
        <v>25</v>
      </c>
      <c r="H791">
        <v>2019.9</v>
      </c>
      <c r="I791">
        <v>2116.7399999999998</v>
      </c>
      <c r="J791" t="s">
        <v>26</v>
      </c>
      <c r="K791">
        <v>0.11</v>
      </c>
      <c r="L791" t="s">
        <v>27</v>
      </c>
      <c r="M791" t="s">
        <v>18</v>
      </c>
    </row>
    <row r="792" spans="1:13" x14ac:dyDescent="0.25">
      <c r="A792">
        <v>1018</v>
      </c>
      <c r="B792" s="1">
        <v>44955</v>
      </c>
      <c r="C792" t="s">
        <v>21</v>
      </c>
      <c r="D792" t="s">
        <v>19</v>
      </c>
      <c r="E792">
        <v>6008.83</v>
      </c>
      <c r="F792">
        <v>25</v>
      </c>
      <c r="G792" t="s">
        <v>23</v>
      </c>
      <c r="H792">
        <v>4660.82</v>
      </c>
      <c r="I792">
        <v>5011.4299999999903</v>
      </c>
      <c r="J792" t="s">
        <v>26</v>
      </c>
      <c r="K792">
        <v>7.0000000000000007E-2</v>
      </c>
      <c r="L792" t="s">
        <v>24</v>
      </c>
      <c r="M792" t="s">
        <v>18</v>
      </c>
    </row>
    <row r="793" spans="1:13" x14ac:dyDescent="0.25">
      <c r="A793">
        <v>1096</v>
      </c>
      <c r="B793" s="1">
        <v>44959</v>
      </c>
      <c r="C793" t="s">
        <v>32</v>
      </c>
      <c r="D793" t="s">
        <v>29</v>
      </c>
      <c r="E793">
        <v>9289</v>
      </c>
      <c r="F793">
        <v>31</v>
      </c>
      <c r="G793" t="s">
        <v>30</v>
      </c>
      <c r="H793">
        <v>1724.24</v>
      </c>
      <c r="I793">
        <v>2036.2</v>
      </c>
      <c r="J793" t="s">
        <v>26</v>
      </c>
      <c r="K793">
        <v>0.17</v>
      </c>
      <c r="L793" t="s">
        <v>17</v>
      </c>
      <c r="M793" t="s">
        <v>18</v>
      </c>
    </row>
    <row r="794" spans="1:13" x14ac:dyDescent="0.25">
      <c r="A794">
        <v>1049</v>
      </c>
      <c r="B794" s="1">
        <v>45060</v>
      </c>
      <c r="C794" t="s">
        <v>31</v>
      </c>
      <c r="D794" t="s">
        <v>22</v>
      </c>
      <c r="E794">
        <v>9298.48</v>
      </c>
      <c r="F794">
        <v>22</v>
      </c>
      <c r="G794" t="s">
        <v>30</v>
      </c>
      <c r="H794">
        <v>4573.6899999999996</v>
      </c>
      <c r="I794">
        <v>4820.2999999999902</v>
      </c>
      <c r="J794" t="s">
        <v>26</v>
      </c>
      <c r="K794">
        <v>0.04</v>
      </c>
      <c r="L794" t="s">
        <v>17</v>
      </c>
      <c r="M794" t="s">
        <v>18</v>
      </c>
    </row>
    <row r="795" spans="1:13" x14ac:dyDescent="0.25">
      <c r="A795">
        <v>1011</v>
      </c>
      <c r="B795" s="1">
        <v>45005</v>
      </c>
      <c r="C795" t="s">
        <v>13</v>
      </c>
      <c r="D795" t="s">
        <v>29</v>
      </c>
      <c r="E795">
        <v>3484.86</v>
      </c>
      <c r="F795">
        <v>2</v>
      </c>
      <c r="G795" t="s">
        <v>15</v>
      </c>
      <c r="H795">
        <v>4906.17</v>
      </c>
      <c r="I795">
        <v>5107.43</v>
      </c>
      <c r="J795" t="s">
        <v>16</v>
      </c>
      <c r="K795">
        <v>0.1</v>
      </c>
      <c r="L795" t="s">
        <v>17</v>
      </c>
      <c r="M795" t="s">
        <v>18</v>
      </c>
    </row>
    <row r="796" spans="1:13" x14ac:dyDescent="0.25">
      <c r="A796">
        <v>1085</v>
      </c>
      <c r="B796" s="1">
        <v>44984</v>
      </c>
      <c r="C796" t="s">
        <v>31</v>
      </c>
      <c r="D796" t="s">
        <v>19</v>
      </c>
      <c r="E796">
        <v>5324.01</v>
      </c>
      <c r="F796">
        <v>45</v>
      </c>
      <c r="G796" t="s">
        <v>15</v>
      </c>
      <c r="H796">
        <v>3325.96</v>
      </c>
      <c r="I796">
        <v>3781.4</v>
      </c>
      <c r="J796" t="s">
        <v>16</v>
      </c>
      <c r="K796">
        <v>0.27</v>
      </c>
      <c r="L796" t="s">
        <v>27</v>
      </c>
      <c r="M796" t="s">
        <v>18</v>
      </c>
    </row>
    <row r="797" spans="1:13" x14ac:dyDescent="0.25">
      <c r="A797">
        <v>1026</v>
      </c>
      <c r="B797" s="1">
        <v>44952</v>
      </c>
      <c r="C797" t="s">
        <v>21</v>
      </c>
      <c r="D797" t="s">
        <v>29</v>
      </c>
      <c r="E797">
        <v>2195.1999999999998</v>
      </c>
      <c r="F797">
        <v>5</v>
      </c>
      <c r="G797" t="s">
        <v>23</v>
      </c>
      <c r="H797">
        <v>4093.61</v>
      </c>
      <c r="I797">
        <v>4117.88</v>
      </c>
      <c r="J797" t="s">
        <v>16</v>
      </c>
      <c r="K797">
        <v>0.12</v>
      </c>
      <c r="L797" t="s">
        <v>27</v>
      </c>
      <c r="M797" t="s">
        <v>20</v>
      </c>
    </row>
    <row r="798" spans="1:13" x14ac:dyDescent="0.25">
      <c r="A798">
        <v>1063</v>
      </c>
      <c r="B798" s="1">
        <v>45152</v>
      </c>
      <c r="C798" t="s">
        <v>13</v>
      </c>
      <c r="D798" t="s">
        <v>14</v>
      </c>
      <c r="E798">
        <v>9956.75</v>
      </c>
      <c r="F798">
        <v>27</v>
      </c>
      <c r="G798" t="s">
        <v>25</v>
      </c>
      <c r="H798">
        <v>3760.25</v>
      </c>
      <c r="I798">
        <v>4147.1099999999997</v>
      </c>
      <c r="J798" t="s">
        <v>26</v>
      </c>
      <c r="K798">
        <v>0.22</v>
      </c>
      <c r="L798" t="s">
        <v>17</v>
      </c>
      <c r="M798" t="s">
        <v>18</v>
      </c>
    </row>
    <row r="799" spans="1:13" x14ac:dyDescent="0.25">
      <c r="A799">
        <v>1089</v>
      </c>
      <c r="B799" s="1">
        <v>45211</v>
      </c>
      <c r="C799" t="s">
        <v>21</v>
      </c>
      <c r="D799" t="s">
        <v>22</v>
      </c>
      <c r="E799">
        <v>9813.07</v>
      </c>
      <c r="F799">
        <v>25</v>
      </c>
      <c r="G799" t="s">
        <v>15</v>
      </c>
      <c r="H799">
        <v>3512.69</v>
      </c>
      <c r="I799">
        <v>3964.63</v>
      </c>
      <c r="J799" t="s">
        <v>16</v>
      </c>
      <c r="K799">
        <v>0.03</v>
      </c>
      <c r="L799" t="s">
        <v>27</v>
      </c>
      <c r="M799" t="s">
        <v>20</v>
      </c>
    </row>
    <row r="800" spans="1:13" x14ac:dyDescent="0.25">
      <c r="A800">
        <v>1086</v>
      </c>
      <c r="B800" s="1">
        <v>44930</v>
      </c>
      <c r="C800" t="s">
        <v>13</v>
      </c>
      <c r="D800" t="s">
        <v>22</v>
      </c>
      <c r="E800">
        <v>6530.14</v>
      </c>
      <c r="F800">
        <v>8</v>
      </c>
      <c r="G800" t="s">
        <v>15</v>
      </c>
      <c r="H800">
        <v>1569.31</v>
      </c>
      <c r="I800">
        <v>1798.02</v>
      </c>
      <c r="J800" t="s">
        <v>26</v>
      </c>
      <c r="K800">
        <v>7.0000000000000007E-2</v>
      </c>
      <c r="L800" t="s">
        <v>27</v>
      </c>
      <c r="M800" t="s">
        <v>18</v>
      </c>
    </row>
    <row r="801" spans="1:13" x14ac:dyDescent="0.25">
      <c r="A801">
        <v>1059</v>
      </c>
      <c r="B801" s="1">
        <v>45025</v>
      </c>
      <c r="C801" t="s">
        <v>28</v>
      </c>
      <c r="D801" t="s">
        <v>22</v>
      </c>
      <c r="E801">
        <v>8063.7</v>
      </c>
      <c r="F801">
        <v>1</v>
      </c>
      <c r="G801" t="s">
        <v>30</v>
      </c>
      <c r="H801">
        <v>332.62</v>
      </c>
      <c r="I801">
        <v>612.46</v>
      </c>
      <c r="J801" t="s">
        <v>16</v>
      </c>
      <c r="K801">
        <v>0.24</v>
      </c>
      <c r="L801" t="s">
        <v>17</v>
      </c>
      <c r="M801" t="s">
        <v>20</v>
      </c>
    </row>
    <row r="802" spans="1:13" x14ac:dyDescent="0.25">
      <c r="A802">
        <v>1027</v>
      </c>
      <c r="B802" s="1">
        <v>44965</v>
      </c>
      <c r="C802" t="s">
        <v>32</v>
      </c>
      <c r="D802" t="s">
        <v>19</v>
      </c>
      <c r="E802">
        <v>7179.49</v>
      </c>
      <c r="F802">
        <v>20</v>
      </c>
      <c r="G802" t="s">
        <v>30</v>
      </c>
      <c r="H802">
        <v>1748.11</v>
      </c>
      <c r="I802">
        <v>2220.9</v>
      </c>
      <c r="J802" t="s">
        <v>26</v>
      </c>
      <c r="K802">
        <v>0.23</v>
      </c>
      <c r="L802" t="s">
        <v>27</v>
      </c>
      <c r="M802" t="s">
        <v>20</v>
      </c>
    </row>
    <row r="803" spans="1:13" x14ac:dyDescent="0.25">
      <c r="A803">
        <v>1049</v>
      </c>
      <c r="B803" s="1">
        <v>45197</v>
      </c>
      <c r="C803" t="s">
        <v>32</v>
      </c>
      <c r="D803" t="s">
        <v>19</v>
      </c>
      <c r="E803">
        <v>5972.27</v>
      </c>
      <c r="F803">
        <v>44</v>
      </c>
      <c r="G803" t="s">
        <v>15</v>
      </c>
      <c r="H803">
        <v>3351.33</v>
      </c>
      <c r="I803">
        <v>3465.35</v>
      </c>
      <c r="J803" t="s">
        <v>16</v>
      </c>
      <c r="K803">
        <v>0.12</v>
      </c>
      <c r="L803" t="s">
        <v>24</v>
      </c>
      <c r="M803" t="s">
        <v>18</v>
      </c>
    </row>
    <row r="804" spans="1:13" x14ac:dyDescent="0.25">
      <c r="A804">
        <v>1077</v>
      </c>
      <c r="B804" s="1">
        <v>45211</v>
      </c>
      <c r="C804" t="s">
        <v>21</v>
      </c>
      <c r="D804" t="s">
        <v>22</v>
      </c>
      <c r="E804">
        <v>628.15</v>
      </c>
      <c r="F804">
        <v>23</v>
      </c>
      <c r="G804" t="s">
        <v>30</v>
      </c>
      <c r="H804">
        <v>557.52</v>
      </c>
      <c r="I804">
        <v>822.39</v>
      </c>
      <c r="J804" t="s">
        <v>16</v>
      </c>
      <c r="K804">
        <v>0.28999999999999998</v>
      </c>
      <c r="L804" t="s">
        <v>27</v>
      </c>
      <c r="M804" t="s">
        <v>18</v>
      </c>
    </row>
    <row r="805" spans="1:13" x14ac:dyDescent="0.25">
      <c r="A805">
        <v>1033</v>
      </c>
      <c r="B805" s="1">
        <v>45083</v>
      </c>
      <c r="C805" t="s">
        <v>32</v>
      </c>
      <c r="D805" t="s">
        <v>29</v>
      </c>
      <c r="E805">
        <v>4602.17</v>
      </c>
      <c r="F805">
        <v>32</v>
      </c>
      <c r="G805" t="s">
        <v>23</v>
      </c>
      <c r="H805">
        <v>108.99</v>
      </c>
      <c r="I805">
        <v>351.6</v>
      </c>
      <c r="J805" t="s">
        <v>16</v>
      </c>
      <c r="K805">
        <v>0.27</v>
      </c>
      <c r="L805" t="s">
        <v>27</v>
      </c>
      <c r="M805" t="s">
        <v>20</v>
      </c>
    </row>
    <row r="806" spans="1:13" x14ac:dyDescent="0.25">
      <c r="A806">
        <v>1098</v>
      </c>
      <c r="B806" s="1">
        <v>45001</v>
      </c>
      <c r="C806" t="s">
        <v>21</v>
      </c>
      <c r="D806" t="s">
        <v>22</v>
      </c>
      <c r="E806">
        <v>6780.38</v>
      </c>
      <c r="F806">
        <v>11</v>
      </c>
      <c r="G806" t="s">
        <v>15</v>
      </c>
      <c r="H806">
        <v>741.48</v>
      </c>
      <c r="I806">
        <v>878.09</v>
      </c>
      <c r="J806" t="s">
        <v>26</v>
      </c>
      <c r="K806">
        <v>0.28999999999999998</v>
      </c>
      <c r="L806" t="s">
        <v>17</v>
      </c>
      <c r="M806" t="s">
        <v>20</v>
      </c>
    </row>
    <row r="807" spans="1:13" x14ac:dyDescent="0.25">
      <c r="A807">
        <v>1099</v>
      </c>
      <c r="B807" s="1">
        <v>45214</v>
      </c>
      <c r="C807" t="s">
        <v>21</v>
      </c>
      <c r="D807" t="s">
        <v>29</v>
      </c>
      <c r="E807">
        <v>6807.56</v>
      </c>
      <c r="F807">
        <v>39</v>
      </c>
      <c r="G807" t="s">
        <v>30</v>
      </c>
      <c r="H807">
        <v>3592.89</v>
      </c>
      <c r="I807">
        <v>4004</v>
      </c>
      <c r="J807" t="s">
        <v>26</v>
      </c>
      <c r="K807">
        <v>0.13</v>
      </c>
      <c r="L807" t="s">
        <v>17</v>
      </c>
      <c r="M807" t="s">
        <v>18</v>
      </c>
    </row>
    <row r="808" spans="1:13" x14ac:dyDescent="0.25">
      <c r="A808">
        <v>1001</v>
      </c>
      <c r="B808" s="1">
        <v>45056</v>
      </c>
      <c r="C808" t="s">
        <v>21</v>
      </c>
      <c r="D808" t="s">
        <v>29</v>
      </c>
      <c r="E808">
        <v>3793.91</v>
      </c>
      <c r="F808">
        <v>47</v>
      </c>
      <c r="G808" t="s">
        <v>23</v>
      </c>
      <c r="H808">
        <v>4865.33</v>
      </c>
      <c r="I808">
        <v>5316.13</v>
      </c>
      <c r="J808" t="s">
        <v>26</v>
      </c>
      <c r="K808">
        <v>0.06</v>
      </c>
      <c r="L808" t="s">
        <v>24</v>
      </c>
      <c r="M808" t="s">
        <v>18</v>
      </c>
    </row>
    <row r="809" spans="1:13" x14ac:dyDescent="0.25">
      <c r="A809">
        <v>1021</v>
      </c>
      <c r="B809" s="1">
        <v>45101</v>
      </c>
      <c r="C809" t="s">
        <v>32</v>
      </c>
      <c r="D809" t="s">
        <v>19</v>
      </c>
      <c r="E809">
        <v>9422.75</v>
      </c>
      <c r="F809">
        <v>24</v>
      </c>
      <c r="G809" t="s">
        <v>30</v>
      </c>
      <c r="H809">
        <v>4916.17</v>
      </c>
      <c r="I809">
        <v>5309.32</v>
      </c>
      <c r="J809" t="s">
        <v>16</v>
      </c>
      <c r="K809">
        <v>0.19</v>
      </c>
      <c r="L809" t="s">
        <v>27</v>
      </c>
      <c r="M809" t="s">
        <v>18</v>
      </c>
    </row>
    <row r="810" spans="1:13" x14ac:dyDescent="0.25">
      <c r="A810">
        <v>1055</v>
      </c>
      <c r="B810" s="1">
        <v>45010</v>
      </c>
      <c r="C810" t="s">
        <v>21</v>
      </c>
      <c r="D810" t="s">
        <v>29</v>
      </c>
      <c r="E810">
        <v>1756.83</v>
      </c>
      <c r="F810">
        <v>11</v>
      </c>
      <c r="G810" t="s">
        <v>30</v>
      </c>
      <c r="H810">
        <v>2495.1999999999998</v>
      </c>
      <c r="I810">
        <v>2600.9299999999998</v>
      </c>
      <c r="J810" t="s">
        <v>26</v>
      </c>
      <c r="K810">
        <v>0.21</v>
      </c>
      <c r="L810" t="s">
        <v>24</v>
      </c>
      <c r="M810" t="s">
        <v>20</v>
      </c>
    </row>
    <row r="811" spans="1:13" x14ac:dyDescent="0.25">
      <c r="A811">
        <v>1006</v>
      </c>
      <c r="B811" s="1">
        <v>44948</v>
      </c>
      <c r="C811" t="s">
        <v>32</v>
      </c>
      <c r="D811" t="s">
        <v>22</v>
      </c>
      <c r="E811">
        <v>5053.5600000000004</v>
      </c>
      <c r="F811">
        <v>29</v>
      </c>
      <c r="G811" t="s">
        <v>30</v>
      </c>
      <c r="H811">
        <v>4353.29</v>
      </c>
      <c r="I811">
        <v>4405.8</v>
      </c>
      <c r="J811" t="s">
        <v>26</v>
      </c>
      <c r="K811">
        <v>0.04</v>
      </c>
      <c r="L811" t="s">
        <v>24</v>
      </c>
      <c r="M811" t="s">
        <v>18</v>
      </c>
    </row>
    <row r="812" spans="1:13" x14ac:dyDescent="0.25">
      <c r="A812">
        <v>1092</v>
      </c>
      <c r="B812" s="1">
        <v>44953</v>
      </c>
      <c r="C812" t="s">
        <v>21</v>
      </c>
      <c r="D812" t="s">
        <v>19</v>
      </c>
      <c r="E812">
        <v>6939.75</v>
      </c>
      <c r="F812">
        <v>26</v>
      </c>
      <c r="G812" t="s">
        <v>15</v>
      </c>
      <c r="H812">
        <v>3697.29</v>
      </c>
      <c r="I812">
        <v>4003.96</v>
      </c>
      <c r="J812" t="s">
        <v>26</v>
      </c>
      <c r="K812">
        <v>0.24</v>
      </c>
      <c r="L812" t="s">
        <v>17</v>
      </c>
      <c r="M812" t="s">
        <v>18</v>
      </c>
    </row>
    <row r="813" spans="1:13" x14ac:dyDescent="0.25">
      <c r="A813">
        <v>1081</v>
      </c>
      <c r="B813" s="1">
        <v>45121</v>
      </c>
      <c r="C813" t="s">
        <v>31</v>
      </c>
      <c r="D813" t="s">
        <v>14</v>
      </c>
      <c r="E813">
        <v>7001.64</v>
      </c>
      <c r="F813">
        <v>16</v>
      </c>
      <c r="G813" t="s">
        <v>25</v>
      </c>
      <c r="H813">
        <v>2530.15</v>
      </c>
      <c r="I813">
        <v>2568.13</v>
      </c>
      <c r="J813" t="s">
        <v>26</v>
      </c>
      <c r="K813">
        <v>0.01</v>
      </c>
      <c r="L813" t="s">
        <v>27</v>
      </c>
      <c r="M813" t="s">
        <v>18</v>
      </c>
    </row>
    <row r="814" spans="1:13" x14ac:dyDescent="0.25">
      <c r="A814">
        <v>1069</v>
      </c>
      <c r="B814" s="1">
        <v>45263</v>
      </c>
      <c r="C814" t="s">
        <v>21</v>
      </c>
      <c r="D814" t="s">
        <v>14</v>
      </c>
      <c r="E814">
        <v>6521.53</v>
      </c>
      <c r="F814">
        <v>35</v>
      </c>
      <c r="G814" t="s">
        <v>30</v>
      </c>
      <c r="H814">
        <v>2885.16</v>
      </c>
      <c r="I814">
        <v>3224.8399999999901</v>
      </c>
      <c r="J814" t="s">
        <v>26</v>
      </c>
      <c r="K814">
        <v>0.14000000000000001</v>
      </c>
      <c r="L814" t="s">
        <v>17</v>
      </c>
      <c r="M814" t="s">
        <v>18</v>
      </c>
    </row>
    <row r="815" spans="1:13" x14ac:dyDescent="0.25">
      <c r="A815">
        <v>1095</v>
      </c>
      <c r="B815" s="1">
        <v>45162</v>
      </c>
      <c r="C815" t="s">
        <v>13</v>
      </c>
      <c r="D815" t="s">
        <v>19</v>
      </c>
      <c r="E815">
        <v>2825.35</v>
      </c>
      <c r="F815">
        <v>20</v>
      </c>
      <c r="G815" t="s">
        <v>23</v>
      </c>
      <c r="H815">
        <v>729.27</v>
      </c>
      <c r="I815">
        <v>999.18</v>
      </c>
      <c r="J815" t="s">
        <v>26</v>
      </c>
      <c r="K815">
        <v>0.1</v>
      </c>
      <c r="L815" t="s">
        <v>24</v>
      </c>
      <c r="M815" t="s">
        <v>18</v>
      </c>
    </row>
    <row r="816" spans="1:13" x14ac:dyDescent="0.25">
      <c r="A816">
        <v>1005</v>
      </c>
      <c r="B816" s="1">
        <v>45018</v>
      </c>
      <c r="C816" t="s">
        <v>21</v>
      </c>
      <c r="D816" t="s">
        <v>22</v>
      </c>
      <c r="E816">
        <v>1646.45</v>
      </c>
      <c r="F816">
        <v>46</v>
      </c>
      <c r="G816" t="s">
        <v>15</v>
      </c>
      <c r="H816">
        <v>4691.42</v>
      </c>
      <c r="I816">
        <v>5026.1899999999996</v>
      </c>
      <c r="J816" t="s">
        <v>16</v>
      </c>
      <c r="K816">
        <v>0.22</v>
      </c>
      <c r="L816" t="s">
        <v>24</v>
      </c>
      <c r="M816" t="s">
        <v>20</v>
      </c>
    </row>
    <row r="817" spans="1:13" x14ac:dyDescent="0.25">
      <c r="A817">
        <v>1003</v>
      </c>
      <c r="B817" s="1">
        <v>44947</v>
      </c>
      <c r="C817" t="s">
        <v>28</v>
      </c>
      <c r="D817" t="s">
        <v>14</v>
      </c>
      <c r="E817">
        <v>6395.81</v>
      </c>
      <c r="F817">
        <v>3</v>
      </c>
      <c r="G817" t="s">
        <v>15</v>
      </c>
      <c r="H817">
        <v>1792.05</v>
      </c>
      <c r="I817">
        <v>2091.23</v>
      </c>
      <c r="J817" t="s">
        <v>16</v>
      </c>
      <c r="K817">
        <v>0.09</v>
      </c>
      <c r="L817" t="s">
        <v>17</v>
      </c>
      <c r="M817" t="s">
        <v>20</v>
      </c>
    </row>
    <row r="818" spans="1:13" x14ac:dyDescent="0.25">
      <c r="A818">
        <v>1053</v>
      </c>
      <c r="B818" s="1">
        <v>45229</v>
      </c>
      <c r="C818" t="s">
        <v>21</v>
      </c>
      <c r="D818" t="s">
        <v>14</v>
      </c>
      <c r="E818">
        <v>6033.09</v>
      </c>
      <c r="F818">
        <v>1</v>
      </c>
      <c r="G818" t="s">
        <v>23</v>
      </c>
      <c r="H818">
        <v>2258.44</v>
      </c>
      <c r="I818">
        <v>2475.56</v>
      </c>
      <c r="J818" t="s">
        <v>26</v>
      </c>
      <c r="K818">
        <v>0.25</v>
      </c>
      <c r="L818" t="s">
        <v>17</v>
      </c>
      <c r="M818" t="s">
        <v>18</v>
      </c>
    </row>
    <row r="819" spans="1:13" x14ac:dyDescent="0.25">
      <c r="A819">
        <v>1023</v>
      </c>
      <c r="B819" s="1">
        <v>45283</v>
      </c>
      <c r="C819" t="s">
        <v>13</v>
      </c>
      <c r="D819" t="s">
        <v>29</v>
      </c>
      <c r="E819">
        <v>1875.62</v>
      </c>
      <c r="F819">
        <v>47</v>
      </c>
      <c r="G819" t="s">
        <v>30</v>
      </c>
      <c r="H819">
        <v>3374.72</v>
      </c>
      <c r="I819">
        <v>3483.1499999999901</v>
      </c>
      <c r="J819" t="s">
        <v>16</v>
      </c>
      <c r="K819">
        <v>0.18</v>
      </c>
      <c r="L819" t="s">
        <v>17</v>
      </c>
      <c r="M819" t="s">
        <v>18</v>
      </c>
    </row>
    <row r="820" spans="1:13" x14ac:dyDescent="0.25">
      <c r="A820">
        <v>1053</v>
      </c>
      <c r="B820" s="1">
        <v>45010</v>
      </c>
      <c r="C820" t="s">
        <v>13</v>
      </c>
      <c r="D820" t="s">
        <v>29</v>
      </c>
      <c r="E820">
        <v>7080.88</v>
      </c>
      <c r="F820">
        <v>1</v>
      </c>
      <c r="G820" t="s">
        <v>25</v>
      </c>
      <c r="H820">
        <v>1702.82</v>
      </c>
      <c r="I820">
        <v>1862.61</v>
      </c>
      <c r="J820" t="s">
        <v>16</v>
      </c>
      <c r="K820">
        <v>0.24</v>
      </c>
      <c r="L820" t="s">
        <v>17</v>
      </c>
      <c r="M820" t="s">
        <v>20</v>
      </c>
    </row>
    <row r="821" spans="1:13" x14ac:dyDescent="0.25">
      <c r="A821">
        <v>1037</v>
      </c>
      <c r="B821" s="1">
        <v>45188</v>
      </c>
      <c r="C821" t="s">
        <v>32</v>
      </c>
      <c r="D821" t="s">
        <v>22</v>
      </c>
      <c r="E821">
        <v>4606.2</v>
      </c>
      <c r="F821">
        <v>17</v>
      </c>
      <c r="G821" t="s">
        <v>30</v>
      </c>
      <c r="H821">
        <v>1308.58</v>
      </c>
      <c r="I821">
        <v>1575.59</v>
      </c>
      <c r="J821" t="s">
        <v>26</v>
      </c>
      <c r="K821">
        <v>0.3</v>
      </c>
      <c r="L821" t="s">
        <v>17</v>
      </c>
      <c r="M821" t="s">
        <v>18</v>
      </c>
    </row>
    <row r="822" spans="1:13" x14ac:dyDescent="0.25">
      <c r="A822">
        <v>1074</v>
      </c>
      <c r="B822" s="1">
        <v>45073</v>
      </c>
      <c r="C822" t="s">
        <v>31</v>
      </c>
      <c r="D822" t="s">
        <v>19</v>
      </c>
      <c r="E822">
        <v>6710.83</v>
      </c>
      <c r="F822">
        <v>2</v>
      </c>
      <c r="G822" t="s">
        <v>23</v>
      </c>
      <c r="H822">
        <v>3173.69</v>
      </c>
      <c r="I822">
        <v>3503.11</v>
      </c>
      <c r="J822" t="s">
        <v>26</v>
      </c>
      <c r="K822">
        <v>0.2</v>
      </c>
      <c r="L822" t="s">
        <v>24</v>
      </c>
      <c r="M822" t="s">
        <v>20</v>
      </c>
    </row>
    <row r="823" spans="1:13" x14ac:dyDescent="0.25">
      <c r="A823">
        <v>1074</v>
      </c>
      <c r="B823" s="1">
        <v>45183</v>
      </c>
      <c r="C823" t="s">
        <v>21</v>
      </c>
      <c r="D823" t="s">
        <v>22</v>
      </c>
      <c r="E823">
        <v>8389.93</v>
      </c>
      <c r="F823">
        <v>29</v>
      </c>
      <c r="G823" t="s">
        <v>15</v>
      </c>
      <c r="H823">
        <v>173.67</v>
      </c>
      <c r="I823">
        <v>565.62</v>
      </c>
      <c r="J823" t="s">
        <v>16</v>
      </c>
      <c r="K823">
        <v>0.3</v>
      </c>
      <c r="L823" t="s">
        <v>17</v>
      </c>
      <c r="M823" t="s">
        <v>18</v>
      </c>
    </row>
    <row r="824" spans="1:13" x14ac:dyDescent="0.25">
      <c r="A824">
        <v>1083</v>
      </c>
      <c r="B824" s="1">
        <v>44984</v>
      </c>
      <c r="C824" t="s">
        <v>32</v>
      </c>
      <c r="D824" t="s">
        <v>19</v>
      </c>
      <c r="E824">
        <v>1780.31</v>
      </c>
      <c r="F824">
        <v>20</v>
      </c>
      <c r="G824" t="s">
        <v>25</v>
      </c>
      <c r="H824">
        <v>3617.59</v>
      </c>
      <c r="I824">
        <v>4003.5</v>
      </c>
      <c r="J824" t="s">
        <v>26</v>
      </c>
      <c r="K824">
        <v>0.01</v>
      </c>
      <c r="L824" t="s">
        <v>27</v>
      </c>
      <c r="M824" t="s">
        <v>20</v>
      </c>
    </row>
    <row r="825" spans="1:13" x14ac:dyDescent="0.25">
      <c r="A825">
        <v>1017</v>
      </c>
      <c r="B825" s="1">
        <v>44941</v>
      </c>
      <c r="C825" t="s">
        <v>31</v>
      </c>
      <c r="D825" t="s">
        <v>14</v>
      </c>
      <c r="E825">
        <v>289.52999999999997</v>
      </c>
      <c r="F825">
        <v>6</v>
      </c>
      <c r="G825" t="s">
        <v>15</v>
      </c>
      <c r="H825">
        <v>2594.42</v>
      </c>
      <c r="I825">
        <v>3081.04</v>
      </c>
      <c r="J825" t="s">
        <v>16</v>
      </c>
      <c r="K825">
        <v>0.1</v>
      </c>
      <c r="L825" t="s">
        <v>24</v>
      </c>
      <c r="M825" t="s">
        <v>20</v>
      </c>
    </row>
    <row r="826" spans="1:13" x14ac:dyDescent="0.25">
      <c r="A826">
        <v>1085</v>
      </c>
      <c r="B826" s="1">
        <v>45088</v>
      </c>
      <c r="C826" t="s">
        <v>21</v>
      </c>
      <c r="D826" t="s">
        <v>29</v>
      </c>
      <c r="E826">
        <v>7813.12</v>
      </c>
      <c r="F826">
        <v>8</v>
      </c>
      <c r="G826" t="s">
        <v>23</v>
      </c>
      <c r="H826">
        <v>3048.48</v>
      </c>
      <c r="I826">
        <v>3198.54</v>
      </c>
      <c r="J826" t="s">
        <v>16</v>
      </c>
      <c r="K826">
        <v>0.03</v>
      </c>
      <c r="L826" t="s">
        <v>24</v>
      </c>
      <c r="M826" t="s">
        <v>18</v>
      </c>
    </row>
    <row r="827" spans="1:13" x14ac:dyDescent="0.25">
      <c r="A827">
        <v>1078</v>
      </c>
      <c r="B827" s="1">
        <v>45089</v>
      </c>
      <c r="C827" t="s">
        <v>28</v>
      </c>
      <c r="D827" t="s">
        <v>22</v>
      </c>
      <c r="E827">
        <v>6136</v>
      </c>
      <c r="F827">
        <v>29</v>
      </c>
      <c r="G827" t="s">
        <v>30</v>
      </c>
      <c r="H827">
        <v>3177.81</v>
      </c>
      <c r="I827">
        <v>3222.65</v>
      </c>
      <c r="J827" t="s">
        <v>16</v>
      </c>
      <c r="K827">
        <v>0.08</v>
      </c>
      <c r="L827" t="s">
        <v>27</v>
      </c>
      <c r="M827" t="s">
        <v>20</v>
      </c>
    </row>
    <row r="828" spans="1:13" x14ac:dyDescent="0.25">
      <c r="A828">
        <v>1073</v>
      </c>
      <c r="B828" s="1">
        <v>45246</v>
      </c>
      <c r="C828" t="s">
        <v>21</v>
      </c>
      <c r="D828" t="s">
        <v>22</v>
      </c>
      <c r="E828">
        <v>7026.43</v>
      </c>
      <c r="F828">
        <v>48</v>
      </c>
      <c r="G828" t="s">
        <v>25</v>
      </c>
      <c r="H828">
        <v>2658.9</v>
      </c>
      <c r="I828">
        <v>2838.27</v>
      </c>
      <c r="J828" t="s">
        <v>26</v>
      </c>
      <c r="K828">
        <v>0.25</v>
      </c>
      <c r="L828" t="s">
        <v>27</v>
      </c>
      <c r="M828" t="s">
        <v>18</v>
      </c>
    </row>
    <row r="829" spans="1:13" x14ac:dyDescent="0.25">
      <c r="A829">
        <v>1001</v>
      </c>
      <c r="B829" s="1">
        <v>45207</v>
      </c>
      <c r="C829" t="s">
        <v>13</v>
      </c>
      <c r="D829" t="s">
        <v>19</v>
      </c>
      <c r="E829">
        <v>8397.73</v>
      </c>
      <c r="F829">
        <v>33</v>
      </c>
      <c r="G829" t="s">
        <v>15</v>
      </c>
      <c r="H829">
        <v>2933.54</v>
      </c>
      <c r="I829">
        <v>3307.75</v>
      </c>
      <c r="J829" t="s">
        <v>16</v>
      </c>
      <c r="K829">
        <v>0.01</v>
      </c>
      <c r="L829" t="s">
        <v>24</v>
      </c>
      <c r="M829" t="s">
        <v>20</v>
      </c>
    </row>
    <row r="830" spans="1:13" x14ac:dyDescent="0.25">
      <c r="A830">
        <v>1051</v>
      </c>
      <c r="B830" s="1">
        <v>45206</v>
      </c>
      <c r="C830" t="s">
        <v>13</v>
      </c>
      <c r="D830" t="s">
        <v>19</v>
      </c>
      <c r="E830">
        <v>8047.83</v>
      </c>
      <c r="F830">
        <v>3</v>
      </c>
      <c r="G830" t="s">
        <v>15</v>
      </c>
      <c r="H830">
        <v>3434.75</v>
      </c>
      <c r="I830">
        <v>3659.42</v>
      </c>
      <c r="J830" t="s">
        <v>26</v>
      </c>
      <c r="K830">
        <v>0.16</v>
      </c>
      <c r="L830" t="s">
        <v>17</v>
      </c>
      <c r="M830" t="s">
        <v>18</v>
      </c>
    </row>
    <row r="831" spans="1:13" x14ac:dyDescent="0.25">
      <c r="A831">
        <v>1045</v>
      </c>
      <c r="B831" s="1">
        <v>44938</v>
      </c>
      <c r="C831" t="s">
        <v>28</v>
      </c>
      <c r="D831" t="s">
        <v>22</v>
      </c>
      <c r="E831">
        <v>9613.11</v>
      </c>
      <c r="F831">
        <v>35</v>
      </c>
      <c r="G831" t="s">
        <v>15</v>
      </c>
      <c r="H831">
        <v>3777.94</v>
      </c>
      <c r="I831">
        <v>4188.66</v>
      </c>
      <c r="J831" t="s">
        <v>26</v>
      </c>
      <c r="K831">
        <v>0.17</v>
      </c>
      <c r="L831" t="s">
        <v>24</v>
      </c>
      <c r="M831" t="s">
        <v>18</v>
      </c>
    </row>
    <row r="832" spans="1:13" x14ac:dyDescent="0.25">
      <c r="A832">
        <v>1077</v>
      </c>
      <c r="B832" s="1">
        <v>45200</v>
      </c>
      <c r="C832" t="s">
        <v>32</v>
      </c>
      <c r="D832" t="s">
        <v>19</v>
      </c>
      <c r="E832">
        <v>5405.76</v>
      </c>
      <c r="F832">
        <v>5</v>
      </c>
      <c r="G832" t="s">
        <v>30</v>
      </c>
      <c r="H832">
        <v>3650.89</v>
      </c>
      <c r="I832">
        <v>3930.06</v>
      </c>
      <c r="J832" t="s">
        <v>26</v>
      </c>
      <c r="K832">
        <v>0.17</v>
      </c>
      <c r="L832" t="s">
        <v>24</v>
      </c>
      <c r="M832" t="s">
        <v>18</v>
      </c>
    </row>
    <row r="833" spans="1:13" x14ac:dyDescent="0.25">
      <c r="A833">
        <v>1004</v>
      </c>
      <c r="B833" s="1">
        <v>45197</v>
      </c>
      <c r="C833" t="s">
        <v>31</v>
      </c>
      <c r="D833" t="s">
        <v>22</v>
      </c>
      <c r="E833">
        <v>4936.1099999999997</v>
      </c>
      <c r="F833">
        <v>27</v>
      </c>
      <c r="G833" t="s">
        <v>25</v>
      </c>
      <c r="H833">
        <v>4354.6000000000004</v>
      </c>
      <c r="I833">
        <v>4820.2</v>
      </c>
      <c r="J833" t="s">
        <v>26</v>
      </c>
      <c r="K833">
        <v>0.14000000000000001</v>
      </c>
      <c r="L833" t="s">
        <v>27</v>
      </c>
      <c r="M833" t="s">
        <v>20</v>
      </c>
    </row>
    <row r="834" spans="1:13" x14ac:dyDescent="0.25">
      <c r="A834">
        <v>1062</v>
      </c>
      <c r="B834" s="1">
        <v>45134</v>
      </c>
      <c r="C834" t="s">
        <v>21</v>
      </c>
      <c r="D834" t="s">
        <v>22</v>
      </c>
      <c r="E834">
        <v>4078.68</v>
      </c>
      <c r="F834">
        <v>44</v>
      </c>
      <c r="G834" t="s">
        <v>30</v>
      </c>
      <c r="H834">
        <v>987.74</v>
      </c>
      <c r="I834">
        <v>1462.19</v>
      </c>
      <c r="J834" t="s">
        <v>26</v>
      </c>
      <c r="K834">
        <v>0.24</v>
      </c>
      <c r="L834" t="s">
        <v>24</v>
      </c>
      <c r="M834" t="s">
        <v>18</v>
      </c>
    </row>
    <row r="835" spans="1:13" x14ac:dyDescent="0.25">
      <c r="A835">
        <v>1065</v>
      </c>
      <c r="B835" s="1">
        <v>44953</v>
      </c>
      <c r="C835" t="s">
        <v>13</v>
      </c>
      <c r="D835" t="s">
        <v>22</v>
      </c>
      <c r="E835">
        <v>1621.54</v>
      </c>
      <c r="F835">
        <v>12</v>
      </c>
      <c r="G835" t="s">
        <v>30</v>
      </c>
      <c r="H835">
        <v>2035.68</v>
      </c>
      <c r="I835">
        <v>2079.64</v>
      </c>
      <c r="J835" t="s">
        <v>16</v>
      </c>
      <c r="K835">
        <v>0.04</v>
      </c>
      <c r="L835" t="s">
        <v>17</v>
      </c>
      <c r="M835" t="s">
        <v>18</v>
      </c>
    </row>
    <row r="836" spans="1:13" x14ac:dyDescent="0.25">
      <c r="A836">
        <v>1032</v>
      </c>
      <c r="B836" s="1">
        <v>44998</v>
      </c>
      <c r="C836" t="s">
        <v>32</v>
      </c>
      <c r="D836" t="s">
        <v>14</v>
      </c>
      <c r="E836">
        <v>5768.81</v>
      </c>
      <c r="F836">
        <v>20</v>
      </c>
      <c r="G836" t="s">
        <v>30</v>
      </c>
      <c r="H836">
        <v>4741.59</v>
      </c>
      <c r="I836">
        <v>4975.2299999999996</v>
      </c>
      <c r="J836" t="s">
        <v>26</v>
      </c>
      <c r="K836">
        <v>0.09</v>
      </c>
      <c r="L836" t="s">
        <v>27</v>
      </c>
      <c r="M836" t="s">
        <v>18</v>
      </c>
    </row>
    <row r="837" spans="1:13" x14ac:dyDescent="0.25">
      <c r="A837">
        <v>1034</v>
      </c>
      <c r="B837" s="1">
        <v>44986</v>
      </c>
      <c r="C837" t="s">
        <v>28</v>
      </c>
      <c r="D837" t="s">
        <v>19</v>
      </c>
      <c r="E837">
        <v>2842.42</v>
      </c>
      <c r="F837">
        <v>45</v>
      </c>
      <c r="G837" t="s">
        <v>23</v>
      </c>
      <c r="H837">
        <v>2013.12</v>
      </c>
      <c r="I837">
        <v>2321.87</v>
      </c>
      <c r="J837" t="s">
        <v>26</v>
      </c>
      <c r="K837">
        <v>0.18</v>
      </c>
      <c r="L837" t="s">
        <v>24</v>
      </c>
      <c r="M837" t="s">
        <v>20</v>
      </c>
    </row>
    <row r="838" spans="1:13" x14ac:dyDescent="0.25">
      <c r="A838">
        <v>1092</v>
      </c>
      <c r="B838" s="1">
        <v>45071</v>
      </c>
      <c r="C838" t="s">
        <v>13</v>
      </c>
      <c r="D838" t="s">
        <v>29</v>
      </c>
      <c r="E838">
        <v>9220.94</v>
      </c>
      <c r="F838">
        <v>20</v>
      </c>
      <c r="G838" t="s">
        <v>23</v>
      </c>
      <c r="H838">
        <v>668.11</v>
      </c>
      <c r="I838">
        <v>803.49</v>
      </c>
      <c r="J838" t="s">
        <v>26</v>
      </c>
      <c r="K838">
        <v>0.21</v>
      </c>
      <c r="L838" t="s">
        <v>24</v>
      </c>
      <c r="M838" t="s">
        <v>18</v>
      </c>
    </row>
    <row r="839" spans="1:13" x14ac:dyDescent="0.25">
      <c r="A839">
        <v>1095</v>
      </c>
      <c r="B839" s="1">
        <v>45019</v>
      </c>
      <c r="C839" t="s">
        <v>28</v>
      </c>
      <c r="D839" t="s">
        <v>29</v>
      </c>
      <c r="E839">
        <v>5873.59</v>
      </c>
      <c r="F839">
        <v>9</v>
      </c>
      <c r="G839" t="s">
        <v>23</v>
      </c>
      <c r="H839">
        <v>2650.95</v>
      </c>
      <c r="I839">
        <v>2860.4199999999901</v>
      </c>
      <c r="J839" t="s">
        <v>26</v>
      </c>
      <c r="K839">
        <v>0.12</v>
      </c>
      <c r="L839" t="s">
        <v>17</v>
      </c>
      <c r="M839" t="s">
        <v>20</v>
      </c>
    </row>
    <row r="840" spans="1:13" x14ac:dyDescent="0.25">
      <c r="A840">
        <v>1072</v>
      </c>
      <c r="B840" s="1">
        <v>45235</v>
      </c>
      <c r="C840" t="s">
        <v>21</v>
      </c>
      <c r="D840" t="s">
        <v>19</v>
      </c>
      <c r="E840">
        <v>5969.12</v>
      </c>
      <c r="F840">
        <v>39</v>
      </c>
      <c r="G840" t="s">
        <v>25</v>
      </c>
      <c r="H840">
        <v>591.98</v>
      </c>
      <c r="I840">
        <v>934.04</v>
      </c>
      <c r="J840" t="s">
        <v>26</v>
      </c>
      <c r="K840">
        <v>0.26</v>
      </c>
      <c r="L840" t="s">
        <v>24</v>
      </c>
      <c r="M840" t="s">
        <v>20</v>
      </c>
    </row>
    <row r="841" spans="1:13" x14ac:dyDescent="0.25">
      <c r="A841">
        <v>1039</v>
      </c>
      <c r="B841" s="1">
        <v>44934</v>
      </c>
      <c r="C841" t="s">
        <v>31</v>
      </c>
      <c r="D841" t="s">
        <v>22</v>
      </c>
      <c r="E841">
        <v>3613.75</v>
      </c>
      <c r="F841">
        <v>4</v>
      </c>
      <c r="G841" t="s">
        <v>30</v>
      </c>
      <c r="H841">
        <v>1054.1199999999999</v>
      </c>
      <c r="I841">
        <v>1175.21999999999</v>
      </c>
      <c r="J841" t="s">
        <v>16</v>
      </c>
      <c r="K841">
        <v>0.12</v>
      </c>
      <c r="L841" t="s">
        <v>24</v>
      </c>
      <c r="M841" t="s">
        <v>20</v>
      </c>
    </row>
    <row r="842" spans="1:13" x14ac:dyDescent="0.25">
      <c r="A842">
        <v>1026</v>
      </c>
      <c r="B842" s="1">
        <v>45005</v>
      </c>
      <c r="C842" t="s">
        <v>13</v>
      </c>
      <c r="D842" t="s">
        <v>29</v>
      </c>
      <c r="E842">
        <v>614.69000000000005</v>
      </c>
      <c r="F842">
        <v>19</v>
      </c>
      <c r="G842" t="s">
        <v>30</v>
      </c>
      <c r="H842">
        <v>4991.68</v>
      </c>
      <c r="I842">
        <v>5296.65</v>
      </c>
      <c r="J842" t="s">
        <v>26</v>
      </c>
      <c r="K842">
        <v>0.12</v>
      </c>
      <c r="L842" t="s">
        <v>24</v>
      </c>
      <c r="M842" t="s">
        <v>18</v>
      </c>
    </row>
    <row r="843" spans="1:13" x14ac:dyDescent="0.25">
      <c r="A843">
        <v>1034</v>
      </c>
      <c r="B843" s="1">
        <v>44953</v>
      </c>
      <c r="C843" t="s">
        <v>13</v>
      </c>
      <c r="D843" t="s">
        <v>29</v>
      </c>
      <c r="E843">
        <v>414.26</v>
      </c>
      <c r="F843">
        <v>38</v>
      </c>
      <c r="G843" t="s">
        <v>23</v>
      </c>
      <c r="H843">
        <v>2729.75</v>
      </c>
      <c r="I843">
        <v>3081.5</v>
      </c>
      <c r="J843" t="s">
        <v>26</v>
      </c>
      <c r="K843">
        <v>0.01</v>
      </c>
      <c r="L843" t="s">
        <v>24</v>
      </c>
      <c r="M843" t="s">
        <v>18</v>
      </c>
    </row>
    <row r="844" spans="1:13" x14ac:dyDescent="0.25">
      <c r="A844">
        <v>1054</v>
      </c>
      <c r="B844" s="1">
        <v>45100</v>
      </c>
      <c r="C844" t="s">
        <v>21</v>
      </c>
      <c r="D844" t="s">
        <v>19</v>
      </c>
      <c r="E844">
        <v>4291.0200000000004</v>
      </c>
      <c r="F844">
        <v>27</v>
      </c>
      <c r="G844" t="s">
        <v>30</v>
      </c>
      <c r="H844">
        <v>1456.09</v>
      </c>
      <c r="I844">
        <v>1510.4299999999901</v>
      </c>
      <c r="J844" t="s">
        <v>16</v>
      </c>
      <c r="K844">
        <v>0.17</v>
      </c>
      <c r="L844" t="s">
        <v>17</v>
      </c>
      <c r="M844" t="s">
        <v>20</v>
      </c>
    </row>
    <row r="845" spans="1:13" x14ac:dyDescent="0.25">
      <c r="A845">
        <v>1003</v>
      </c>
      <c r="B845" s="1">
        <v>44976</v>
      </c>
      <c r="C845" t="s">
        <v>32</v>
      </c>
      <c r="D845" t="s">
        <v>29</v>
      </c>
      <c r="E845">
        <v>937.2</v>
      </c>
      <c r="F845">
        <v>45</v>
      </c>
      <c r="G845" t="s">
        <v>30</v>
      </c>
      <c r="H845">
        <v>4974.1400000000003</v>
      </c>
      <c r="I845">
        <v>5227.93</v>
      </c>
      <c r="J845" t="s">
        <v>26</v>
      </c>
      <c r="K845">
        <v>0.21</v>
      </c>
      <c r="L845" t="s">
        <v>24</v>
      </c>
      <c r="M845" t="s">
        <v>18</v>
      </c>
    </row>
    <row r="846" spans="1:13" x14ac:dyDescent="0.25">
      <c r="A846">
        <v>1050</v>
      </c>
      <c r="B846" s="1">
        <v>45125</v>
      </c>
      <c r="C846" t="s">
        <v>31</v>
      </c>
      <c r="D846" t="s">
        <v>22</v>
      </c>
      <c r="E846">
        <v>6107.78</v>
      </c>
      <c r="F846">
        <v>43</v>
      </c>
      <c r="G846" t="s">
        <v>15</v>
      </c>
      <c r="H846">
        <v>4834.47</v>
      </c>
      <c r="I846">
        <v>4973.38</v>
      </c>
      <c r="J846" t="s">
        <v>16</v>
      </c>
      <c r="K846">
        <v>0.03</v>
      </c>
      <c r="L846" t="s">
        <v>24</v>
      </c>
      <c r="M846" t="s">
        <v>18</v>
      </c>
    </row>
    <row r="847" spans="1:13" x14ac:dyDescent="0.25">
      <c r="A847">
        <v>1012</v>
      </c>
      <c r="B847" s="1">
        <v>45275</v>
      </c>
      <c r="C847" t="s">
        <v>13</v>
      </c>
      <c r="D847" t="s">
        <v>19</v>
      </c>
      <c r="E847">
        <v>8821.6299999999992</v>
      </c>
      <c r="F847">
        <v>13</v>
      </c>
      <c r="G847" t="s">
        <v>30</v>
      </c>
      <c r="H847">
        <v>2231.66</v>
      </c>
      <c r="I847">
        <v>2596.6099999999901</v>
      </c>
      <c r="J847" t="s">
        <v>16</v>
      </c>
      <c r="K847">
        <v>0.09</v>
      </c>
      <c r="L847" t="s">
        <v>24</v>
      </c>
      <c r="M847" t="s">
        <v>20</v>
      </c>
    </row>
    <row r="848" spans="1:13" x14ac:dyDescent="0.25">
      <c r="A848">
        <v>1065</v>
      </c>
      <c r="B848" s="1">
        <v>45107</v>
      </c>
      <c r="C848" t="s">
        <v>31</v>
      </c>
      <c r="D848" t="s">
        <v>22</v>
      </c>
      <c r="E848">
        <v>8840.86</v>
      </c>
      <c r="F848">
        <v>13</v>
      </c>
      <c r="G848" t="s">
        <v>15</v>
      </c>
      <c r="H848">
        <v>1339</v>
      </c>
      <c r="I848">
        <v>1441.88</v>
      </c>
      <c r="J848" t="s">
        <v>16</v>
      </c>
      <c r="K848">
        <v>0.23</v>
      </c>
      <c r="L848" t="s">
        <v>27</v>
      </c>
      <c r="M848" t="s">
        <v>20</v>
      </c>
    </row>
    <row r="849" spans="1:13" x14ac:dyDescent="0.25">
      <c r="A849">
        <v>1054</v>
      </c>
      <c r="B849" s="1">
        <v>44950</v>
      </c>
      <c r="C849" t="s">
        <v>13</v>
      </c>
      <c r="D849" t="s">
        <v>29</v>
      </c>
      <c r="E849">
        <v>6624.55</v>
      </c>
      <c r="F849">
        <v>22</v>
      </c>
      <c r="G849" t="s">
        <v>30</v>
      </c>
      <c r="H849">
        <v>4200.08</v>
      </c>
      <c r="I849">
        <v>4647.28</v>
      </c>
      <c r="J849" t="s">
        <v>16</v>
      </c>
      <c r="K849">
        <v>0.11</v>
      </c>
      <c r="L849" t="s">
        <v>17</v>
      </c>
      <c r="M849" t="s">
        <v>18</v>
      </c>
    </row>
    <row r="850" spans="1:13" x14ac:dyDescent="0.25">
      <c r="A850">
        <v>1005</v>
      </c>
      <c r="B850" s="1">
        <v>45242</v>
      </c>
      <c r="C850" t="s">
        <v>31</v>
      </c>
      <c r="D850" t="s">
        <v>29</v>
      </c>
      <c r="E850">
        <v>2191.1999999999998</v>
      </c>
      <c r="F850">
        <v>28</v>
      </c>
      <c r="G850" t="s">
        <v>25</v>
      </c>
      <c r="H850">
        <v>3592.32</v>
      </c>
      <c r="I850">
        <v>3813.48</v>
      </c>
      <c r="J850" t="s">
        <v>26</v>
      </c>
      <c r="K850">
        <v>7.0000000000000007E-2</v>
      </c>
      <c r="L850" t="s">
        <v>27</v>
      </c>
      <c r="M850" t="s">
        <v>20</v>
      </c>
    </row>
    <row r="851" spans="1:13" x14ac:dyDescent="0.25">
      <c r="A851">
        <v>1094</v>
      </c>
      <c r="B851" s="1">
        <v>44972</v>
      </c>
      <c r="C851" t="s">
        <v>28</v>
      </c>
      <c r="D851" t="s">
        <v>22</v>
      </c>
      <c r="E851">
        <v>8643.67</v>
      </c>
      <c r="F851">
        <v>47</v>
      </c>
      <c r="G851" t="s">
        <v>23</v>
      </c>
      <c r="H851">
        <v>3450.36</v>
      </c>
      <c r="I851">
        <v>3557.38</v>
      </c>
      <c r="J851" t="s">
        <v>26</v>
      </c>
      <c r="K851">
        <v>0.2</v>
      </c>
      <c r="L851" t="s">
        <v>27</v>
      </c>
      <c r="M851" t="s">
        <v>18</v>
      </c>
    </row>
    <row r="852" spans="1:13" x14ac:dyDescent="0.25">
      <c r="A852">
        <v>1094</v>
      </c>
      <c r="B852" s="1">
        <v>44941</v>
      </c>
      <c r="C852" t="s">
        <v>13</v>
      </c>
      <c r="D852" t="s">
        <v>14</v>
      </c>
      <c r="E852">
        <v>8872.33</v>
      </c>
      <c r="F852">
        <v>45</v>
      </c>
      <c r="G852" t="s">
        <v>15</v>
      </c>
      <c r="H852">
        <v>4470.91</v>
      </c>
      <c r="I852">
        <v>4695.54</v>
      </c>
      <c r="J852" t="s">
        <v>16</v>
      </c>
      <c r="K852">
        <v>0.06</v>
      </c>
      <c r="L852" t="s">
        <v>17</v>
      </c>
      <c r="M852" t="s">
        <v>20</v>
      </c>
    </row>
    <row r="853" spans="1:13" x14ac:dyDescent="0.25">
      <c r="A853">
        <v>1057</v>
      </c>
      <c r="B853" s="1">
        <v>45079</v>
      </c>
      <c r="C853" t="s">
        <v>31</v>
      </c>
      <c r="D853" t="s">
        <v>29</v>
      </c>
      <c r="E853">
        <v>2046.87</v>
      </c>
      <c r="F853">
        <v>22</v>
      </c>
      <c r="G853" t="s">
        <v>23</v>
      </c>
      <c r="H853">
        <v>3462.61</v>
      </c>
      <c r="I853">
        <v>3672.89</v>
      </c>
      <c r="J853" t="s">
        <v>16</v>
      </c>
      <c r="K853">
        <v>0.27</v>
      </c>
      <c r="L853" t="s">
        <v>27</v>
      </c>
      <c r="M853" t="s">
        <v>18</v>
      </c>
    </row>
    <row r="854" spans="1:13" x14ac:dyDescent="0.25">
      <c r="A854">
        <v>1017</v>
      </c>
      <c r="B854" s="1">
        <v>45148</v>
      </c>
      <c r="C854" t="s">
        <v>32</v>
      </c>
      <c r="D854" t="s">
        <v>14</v>
      </c>
      <c r="E854">
        <v>7400.52</v>
      </c>
      <c r="F854">
        <v>43</v>
      </c>
      <c r="G854" t="s">
        <v>15</v>
      </c>
      <c r="H854">
        <v>1454.8</v>
      </c>
      <c r="I854">
        <v>1674.97</v>
      </c>
      <c r="J854" t="s">
        <v>26</v>
      </c>
      <c r="K854">
        <v>0.03</v>
      </c>
      <c r="L854" t="s">
        <v>27</v>
      </c>
      <c r="M854" t="s">
        <v>18</v>
      </c>
    </row>
    <row r="855" spans="1:13" x14ac:dyDescent="0.25">
      <c r="A855">
        <v>1047</v>
      </c>
      <c r="B855" s="1">
        <v>45132</v>
      </c>
      <c r="C855" t="s">
        <v>28</v>
      </c>
      <c r="D855" t="s">
        <v>29</v>
      </c>
      <c r="E855">
        <v>2936.54</v>
      </c>
      <c r="F855">
        <v>19</v>
      </c>
      <c r="G855" t="s">
        <v>15</v>
      </c>
      <c r="H855">
        <v>3484.62</v>
      </c>
      <c r="I855">
        <v>3781.5499999999902</v>
      </c>
      <c r="J855" t="s">
        <v>16</v>
      </c>
      <c r="K855">
        <v>0.21</v>
      </c>
      <c r="L855" t="s">
        <v>27</v>
      </c>
      <c r="M855" t="s">
        <v>20</v>
      </c>
    </row>
    <row r="856" spans="1:13" x14ac:dyDescent="0.25">
      <c r="A856">
        <v>1023</v>
      </c>
      <c r="B856" s="1">
        <v>45199</v>
      </c>
      <c r="C856" t="s">
        <v>28</v>
      </c>
      <c r="D856" t="s">
        <v>14</v>
      </c>
      <c r="E856">
        <v>8046.14</v>
      </c>
      <c r="F856">
        <v>8</v>
      </c>
      <c r="G856" t="s">
        <v>15</v>
      </c>
      <c r="H856">
        <v>1563.78</v>
      </c>
      <c r="I856">
        <v>1829.1599999999901</v>
      </c>
      <c r="J856" t="s">
        <v>16</v>
      </c>
      <c r="K856">
        <v>0.15</v>
      </c>
      <c r="L856" t="s">
        <v>17</v>
      </c>
      <c r="M856" t="s">
        <v>18</v>
      </c>
    </row>
    <row r="857" spans="1:13" x14ac:dyDescent="0.25">
      <c r="A857">
        <v>1079</v>
      </c>
      <c r="B857" s="1">
        <v>45162</v>
      </c>
      <c r="C857" t="s">
        <v>32</v>
      </c>
      <c r="D857" t="s">
        <v>14</v>
      </c>
      <c r="E857">
        <v>9972.66</v>
      </c>
      <c r="F857">
        <v>8</v>
      </c>
      <c r="G857" t="s">
        <v>25</v>
      </c>
      <c r="H857">
        <v>3808.23</v>
      </c>
      <c r="I857">
        <v>3891.62</v>
      </c>
      <c r="J857" t="s">
        <v>16</v>
      </c>
      <c r="K857">
        <v>0.26</v>
      </c>
      <c r="L857" t="s">
        <v>24</v>
      </c>
      <c r="M857" t="s">
        <v>18</v>
      </c>
    </row>
    <row r="858" spans="1:13" x14ac:dyDescent="0.25">
      <c r="A858">
        <v>1085</v>
      </c>
      <c r="B858" s="1">
        <v>45266</v>
      </c>
      <c r="C858" t="s">
        <v>31</v>
      </c>
      <c r="D858" t="s">
        <v>14</v>
      </c>
      <c r="E858">
        <v>397.26</v>
      </c>
      <c r="F858">
        <v>42</v>
      </c>
      <c r="G858" t="s">
        <v>30</v>
      </c>
      <c r="H858">
        <v>3117.75</v>
      </c>
      <c r="I858">
        <v>3159.88</v>
      </c>
      <c r="J858" t="s">
        <v>26</v>
      </c>
      <c r="K858">
        <v>0.04</v>
      </c>
      <c r="L858" t="s">
        <v>17</v>
      </c>
      <c r="M858" t="s">
        <v>20</v>
      </c>
    </row>
    <row r="859" spans="1:13" x14ac:dyDescent="0.25">
      <c r="A859">
        <v>1014</v>
      </c>
      <c r="B859" s="1">
        <v>45154</v>
      </c>
      <c r="C859" t="s">
        <v>21</v>
      </c>
      <c r="D859" t="s">
        <v>22</v>
      </c>
      <c r="E859">
        <v>8983.92</v>
      </c>
      <c r="F859">
        <v>26</v>
      </c>
      <c r="G859" t="s">
        <v>15</v>
      </c>
      <c r="H859">
        <v>433.19</v>
      </c>
      <c r="I859">
        <v>800.6</v>
      </c>
      <c r="J859" t="s">
        <v>16</v>
      </c>
      <c r="K859">
        <v>0.2</v>
      </c>
      <c r="L859" t="s">
        <v>17</v>
      </c>
      <c r="M859" t="s">
        <v>18</v>
      </c>
    </row>
    <row r="860" spans="1:13" x14ac:dyDescent="0.25">
      <c r="A860">
        <v>1066</v>
      </c>
      <c r="B860" s="1">
        <v>44935</v>
      </c>
      <c r="C860" t="s">
        <v>32</v>
      </c>
      <c r="D860" t="s">
        <v>14</v>
      </c>
      <c r="E860">
        <v>6264.04</v>
      </c>
      <c r="F860">
        <v>48</v>
      </c>
      <c r="G860" t="s">
        <v>25</v>
      </c>
      <c r="H860">
        <v>2588.54</v>
      </c>
      <c r="I860">
        <v>2872.8</v>
      </c>
      <c r="J860" t="s">
        <v>26</v>
      </c>
      <c r="K860">
        <v>0.17</v>
      </c>
      <c r="L860" t="s">
        <v>17</v>
      </c>
      <c r="M860" t="s">
        <v>18</v>
      </c>
    </row>
    <row r="861" spans="1:13" x14ac:dyDescent="0.25">
      <c r="A861">
        <v>1075</v>
      </c>
      <c r="B861" s="1">
        <v>45092</v>
      </c>
      <c r="C861" t="s">
        <v>31</v>
      </c>
      <c r="D861" t="s">
        <v>14</v>
      </c>
      <c r="E861">
        <v>9736.49</v>
      </c>
      <c r="F861">
        <v>26</v>
      </c>
      <c r="G861" t="s">
        <v>15</v>
      </c>
      <c r="H861">
        <v>1749.34</v>
      </c>
      <c r="I861">
        <v>1935.25</v>
      </c>
      <c r="J861" t="s">
        <v>26</v>
      </c>
      <c r="K861">
        <v>0.14000000000000001</v>
      </c>
      <c r="L861" t="s">
        <v>27</v>
      </c>
      <c r="M861" t="s">
        <v>18</v>
      </c>
    </row>
    <row r="862" spans="1:13" x14ac:dyDescent="0.25">
      <c r="A862">
        <v>1051</v>
      </c>
      <c r="B862" s="1">
        <v>45245</v>
      </c>
      <c r="C862" t="s">
        <v>32</v>
      </c>
      <c r="D862" t="s">
        <v>14</v>
      </c>
      <c r="E862">
        <v>4703.59</v>
      </c>
      <c r="F862">
        <v>23</v>
      </c>
      <c r="G862" t="s">
        <v>30</v>
      </c>
      <c r="H862">
        <v>1676.42</v>
      </c>
      <c r="I862">
        <v>2082.52</v>
      </c>
      <c r="J862" t="s">
        <v>26</v>
      </c>
      <c r="K862">
        <v>0.15</v>
      </c>
      <c r="L862" t="s">
        <v>24</v>
      </c>
      <c r="M862" t="s">
        <v>20</v>
      </c>
    </row>
    <row r="863" spans="1:13" x14ac:dyDescent="0.25">
      <c r="A863">
        <v>1038</v>
      </c>
      <c r="B863" s="1">
        <v>45140</v>
      </c>
      <c r="C863" t="s">
        <v>32</v>
      </c>
      <c r="D863" t="s">
        <v>29</v>
      </c>
      <c r="E863">
        <v>8489.14</v>
      </c>
      <c r="F863">
        <v>43</v>
      </c>
      <c r="G863" t="s">
        <v>15</v>
      </c>
      <c r="H863">
        <v>3031.17</v>
      </c>
      <c r="I863">
        <v>3231.32</v>
      </c>
      <c r="J863" t="s">
        <v>16</v>
      </c>
      <c r="K863">
        <v>0.22</v>
      </c>
      <c r="L863" t="s">
        <v>17</v>
      </c>
      <c r="M863" t="s">
        <v>20</v>
      </c>
    </row>
    <row r="864" spans="1:13" x14ac:dyDescent="0.25">
      <c r="A864">
        <v>1064</v>
      </c>
      <c r="B864" s="1">
        <v>45043</v>
      </c>
      <c r="C864" t="s">
        <v>13</v>
      </c>
      <c r="D864" t="s">
        <v>14</v>
      </c>
      <c r="E864">
        <v>717.7</v>
      </c>
      <c r="F864">
        <v>13</v>
      </c>
      <c r="G864" t="s">
        <v>25</v>
      </c>
      <c r="H864">
        <v>1645.51</v>
      </c>
      <c r="I864">
        <v>2045.53</v>
      </c>
      <c r="J864" t="s">
        <v>16</v>
      </c>
      <c r="K864">
        <v>0.28000000000000003</v>
      </c>
      <c r="L864" t="s">
        <v>17</v>
      </c>
      <c r="M864" t="s">
        <v>20</v>
      </c>
    </row>
    <row r="865" spans="1:13" x14ac:dyDescent="0.25">
      <c r="A865">
        <v>1098</v>
      </c>
      <c r="B865" s="1">
        <v>45270</v>
      </c>
      <c r="C865" t="s">
        <v>31</v>
      </c>
      <c r="D865" t="s">
        <v>29</v>
      </c>
      <c r="E865">
        <v>3419.26</v>
      </c>
      <c r="F865">
        <v>28</v>
      </c>
      <c r="G865" t="s">
        <v>30</v>
      </c>
      <c r="H865">
        <v>3895.62</v>
      </c>
      <c r="I865">
        <v>4055.44</v>
      </c>
      <c r="J865" t="s">
        <v>26</v>
      </c>
      <c r="K865">
        <v>0.03</v>
      </c>
      <c r="L865" t="s">
        <v>24</v>
      </c>
      <c r="M865" t="s">
        <v>20</v>
      </c>
    </row>
    <row r="866" spans="1:13" x14ac:dyDescent="0.25">
      <c r="A866">
        <v>1038</v>
      </c>
      <c r="B866" s="1">
        <v>44998</v>
      </c>
      <c r="C866" t="s">
        <v>21</v>
      </c>
      <c r="D866" t="s">
        <v>14</v>
      </c>
      <c r="E866">
        <v>763.46</v>
      </c>
      <c r="F866">
        <v>9</v>
      </c>
      <c r="G866" t="s">
        <v>25</v>
      </c>
      <c r="H866">
        <v>400.42</v>
      </c>
      <c r="I866">
        <v>446.11</v>
      </c>
      <c r="J866" t="s">
        <v>26</v>
      </c>
      <c r="K866">
        <v>0.01</v>
      </c>
      <c r="L866" t="s">
        <v>24</v>
      </c>
      <c r="M866" t="s">
        <v>20</v>
      </c>
    </row>
    <row r="867" spans="1:13" x14ac:dyDescent="0.25">
      <c r="A867">
        <v>1050</v>
      </c>
      <c r="B867" s="1">
        <v>44990</v>
      </c>
      <c r="C867" t="s">
        <v>13</v>
      </c>
      <c r="D867" t="s">
        <v>14</v>
      </c>
      <c r="E867">
        <v>9755.9</v>
      </c>
      <c r="F867">
        <v>20</v>
      </c>
      <c r="G867" t="s">
        <v>30</v>
      </c>
      <c r="H867">
        <v>3318.92</v>
      </c>
      <c r="I867">
        <v>3785.91</v>
      </c>
      <c r="J867" t="s">
        <v>26</v>
      </c>
      <c r="K867">
        <v>0.24</v>
      </c>
      <c r="L867" t="s">
        <v>24</v>
      </c>
      <c r="M867" t="s">
        <v>18</v>
      </c>
    </row>
    <row r="868" spans="1:13" x14ac:dyDescent="0.25">
      <c r="A868">
        <v>1098</v>
      </c>
      <c r="B868" s="1">
        <v>45131</v>
      </c>
      <c r="C868" t="s">
        <v>32</v>
      </c>
      <c r="D868" t="s">
        <v>22</v>
      </c>
      <c r="E868">
        <v>8188.04</v>
      </c>
      <c r="F868">
        <v>19</v>
      </c>
      <c r="G868" t="s">
        <v>30</v>
      </c>
      <c r="H868">
        <v>4055.51</v>
      </c>
      <c r="I868">
        <v>4258.84</v>
      </c>
      <c r="J868" t="s">
        <v>16</v>
      </c>
      <c r="K868">
        <v>0.03</v>
      </c>
      <c r="L868" t="s">
        <v>27</v>
      </c>
      <c r="M868" t="s">
        <v>18</v>
      </c>
    </row>
    <row r="869" spans="1:13" x14ac:dyDescent="0.25">
      <c r="A869">
        <v>1082</v>
      </c>
      <c r="B869" s="1">
        <v>45135</v>
      </c>
      <c r="C869" t="s">
        <v>32</v>
      </c>
      <c r="D869" t="s">
        <v>29</v>
      </c>
      <c r="E869">
        <v>8540.2199999999993</v>
      </c>
      <c r="F869">
        <v>48</v>
      </c>
      <c r="G869" t="s">
        <v>23</v>
      </c>
      <c r="H869">
        <v>3380.52</v>
      </c>
      <c r="I869">
        <v>3778.94</v>
      </c>
      <c r="J869" t="s">
        <v>16</v>
      </c>
      <c r="K869">
        <v>0.3</v>
      </c>
      <c r="L869" t="s">
        <v>24</v>
      </c>
      <c r="M869" t="s">
        <v>18</v>
      </c>
    </row>
    <row r="870" spans="1:13" x14ac:dyDescent="0.25">
      <c r="A870">
        <v>1030</v>
      </c>
      <c r="B870" s="1">
        <v>44998</v>
      </c>
      <c r="C870" t="s">
        <v>32</v>
      </c>
      <c r="D870" t="s">
        <v>14</v>
      </c>
      <c r="E870">
        <v>9385.86</v>
      </c>
      <c r="F870">
        <v>39</v>
      </c>
      <c r="G870" t="s">
        <v>23</v>
      </c>
      <c r="H870">
        <v>2511.2800000000002</v>
      </c>
      <c r="I870">
        <v>2658.06</v>
      </c>
      <c r="J870" t="s">
        <v>26</v>
      </c>
      <c r="K870">
        <v>0.19</v>
      </c>
      <c r="L870" t="s">
        <v>27</v>
      </c>
      <c r="M870" t="s">
        <v>20</v>
      </c>
    </row>
    <row r="871" spans="1:13" x14ac:dyDescent="0.25">
      <c r="A871">
        <v>1079</v>
      </c>
      <c r="B871" s="1">
        <v>45203</v>
      </c>
      <c r="C871" t="s">
        <v>31</v>
      </c>
      <c r="D871" t="s">
        <v>29</v>
      </c>
      <c r="E871">
        <v>942.52</v>
      </c>
      <c r="F871">
        <v>12</v>
      </c>
      <c r="G871" t="s">
        <v>23</v>
      </c>
      <c r="H871">
        <v>4754.0200000000004</v>
      </c>
      <c r="I871">
        <v>5080.74</v>
      </c>
      <c r="J871" t="s">
        <v>26</v>
      </c>
      <c r="K871">
        <v>0.2</v>
      </c>
      <c r="L871" t="s">
        <v>17</v>
      </c>
      <c r="M871" t="s">
        <v>18</v>
      </c>
    </row>
    <row r="872" spans="1:13" x14ac:dyDescent="0.25">
      <c r="A872">
        <v>1091</v>
      </c>
      <c r="B872" s="1">
        <v>45200</v>
      </c>
      <c r="C872" t="s">
        <v>31</v>
      </c>
      <c r="D872" t="s">
        <v>29</v>
      </c>
      <c r="E872">
        <v>3917.42</v>
      </c>
      <c r="F872">
        <v>15</v>
      </c>
      <c r="G872" t="s">
        <v>30</v>
      </c>
      <c r="H872">
        <v>1534.7</v>
      </c>
      <c r="I872">
        <v>1972.62</v>
      </c>
      <c r="J872" t="s">
        <v>16</v>
      </c>
      <c r="K872">
        <v>0.06</v>
      </c>
      <c r="L872" t="s">
        <v>27</v>
      </c>
      <c r="M872" t="s">
        <v>20</v>
      </c>
    </row>
    <row r="873" spans="1:13" x14ac:dyDescent="0.25">
      <c r="A873">
        <v>1051</v>
      </c>
      <c r="B873" s="1">
        <v>45246</v>
      </c>
      <c r="C873" t="s">
        <v>13</v>
      </c>
      <c r="D873" t="s">
        <v>19</v>
      </c>
      <c r="E873">
        <v>803.25</v>
      </c>
      <c r="F873">
        <v>31</v>
      </c>
      <c r="G873" t="s">
        <v>15</v>
      </c>
      <c r="H873">
        <v>144.88</v>
      </c>
      <c r="I873">
        <v>175.29</v>
      </c>
      <c r="J873" t="s">
        <v>26</v>
      </c>
      <c r="K873">
        <v>7.0000000000000007E-2</v>
      </c>
      <c r="L873" t="s">
        <v>24</v>
      </c>
      <c r="M873" t="s">
        <v>18</v>
      </c>
    </row>
    <row r="874" spans="1:13" x14ac:dyDescent="0.25">
      <c r="A874">
        <v>1063</v>
      </c>
      <c r="B874" s="1">
        <v>45264</v>
      </c>
      <c r="C874" t="s">
        <v>21</v>
      </c>
      <c r="D874" t="s">
        <v>22</v>
      </c>
      <c r="E874">
        <v>2186.85</v>
      </c>
      <c r="F874">
        <v>14</v>
      </c>
      <c r="G874" t="s">
        <v>25</v>
      </c>
      <c r="H874">
        <v>2188.35</v>
      </c>
      <c r="I874">
        <v>2605.3599999999901</v>
      </c>
      <c r="J874" t="s">
        <v>16</v>
      </c>
      <c r="K874">
        <v>0.2</v>
      </c>
      <c r="L874" t="s">
        <v>27</v>
      </c>
      <c r="M874" t="s">
        <v>20</v>
      </c>
    </row>
    <row r="875" spans="1:13" x14ac:dyDescent="0.25">
      <c r="A875">
        <v>1098</v>
      </c>
      <c r="B875" s="1">
        <v>45292</v>
      </c>
      <c r="C875" t="s">
        <v>13</v>
      </c>
      <c r="D875" t="s">
        <v>22</v>
      </c>
      <c r="E875">
        <v>2370.7199999999998</v>
      </c>
      <c r="F875">
        <v>11</v>
      </c>
      <c r="G875" t="s">
        <v>25</v>
      </c>
      <c r="H875">
        <v>213.41</v>
      </c>
      <c r="I875">
        <v>503.36</v>
      </c>
      <c r="J875" t="s">
        <v>16</v>
      </c>
      <c r="K875">
        <v>0.27</v>
      </c>
      <c r="L875" t="s">
        <v>24</v>
      </c>
      <c r="M875" t="s">
        <v>18</v>
      </c>
    </row>
    <row r="876" spans="1:13" x14ac:dyDescent="0.25">
      <c r="A876">
        <v>1052</v>
      </c>
      <c r="B876" s="1">
        <v>45021</v>
      </c>
      <c r="C876" t="s">
        <v>28</v>
      </c>
      <c r="D876" t="s">
        <v>22</v>
      </c>
      <c r="E876">
        <v>4744.16</v>
      </c>
      <c r="F876">
        <v>26</v>
      </c>
      <c r="G876" t="s">
        <v>25</v>
      </c>
      <c r="H876">
        <v>4771.99</v>
      </c>
      <c r="I876">
        <v>5079.6499999999996</v>
      </c>
      <c r="J876" t="s">
        <v>26</v>
      </c>
      <c r="K876">
        <v>0.28999999999999998</v>
      </c>
      <c r="L876" t="s">
        <v>27</v>
      </c>
      <c r="M876" t="s">
        <v>18</v>
      </c>
    </row>
    <row r="877" spans="1:13" x14ac:dyDescent="0.25">
      <c r="A877">
        <v>1038</v>
      </c>
      <c r="B877" s="1">
        <v>45092</v>
      </c>
      <c r="C877" t="s">
        <v>32</v>
      </c>
      <c r="D877" t="s">
        <v>19</v>
      </c>
      <c r="E877">
        <v>2758.77</v>
      </c>
      <c r="F877">
        <v>42</v>
      </c>
      <c r="G877" t="s">
        <v>23</v>
      </c>
      <c r="H877">
        <v>1089.0899999999999</v>
      </c>
      <c r="I877">
        <v>1355.44</v>
      </c>
      <c r="J877" t="s">
        <v>26</v>
      </c>
      <c r="K877">
        <v>0.06</v>
      </c>
      <c r="L877" t="s">
        <v>17</v>
      </c>
      <c r="M877" t="s">
        <v>20</v>
      </c>
    </row>
    <row r="878" spans="1:13" x14ac:dyDescent="0.25">
      <c r="A878">
        <v>1097</v>
      </c>
      <c r="B878" s="1">
        <v>44958</v>
      </c>
      <c r="C878" t="s">
        <v>32</v>
      </c>
      <c r="D878" t="s">
        <v>19</v>
      </c>
      <c r="E878">
        <v>1099.68</v>
      </c>
      <c r="F878">
        <v>27</v>
      </c>
      <c r="G878" t="s">
        <v>30</v>
      </c>
      <c r="H878">
        <v>3955.19</v>
      </c>
      <c r="I878">
        <v>4393.68</v>
      </c>
      <c r="J878" t="s">
        <v>16</v>
      </c>
      <c r="K878">
        <v>0.04</v>
      </c>
      <c r="L878" t="s">
        <v>27</v>
      </c>
      <c r="M878" t="s">
        <v>18</v>
      </c>
    </row>
    <row r="879" spans="1:13" x14ac:dyDescent="0.25">
      <c r="A879">
        <v>1088</v>
      </c>
      <c r="B879" s="1">
        <v>44937</v>
      </c>
      <c r="C879" t="s">
        <v>32</v>
      </c>
      <c r="D879" t="s">
        <v>22</v>
      </c>
      <c r="E879">
        <v>1758.16</v>
      </c>
      <c r="F879">
        <v>11</v>
      </c>
      <c r="G879" t="s">
        <v>23</v>
      </c>
      <c r="H879">
        <v>3884.13</v>
      </c>
      <c r="I879">
        <v>3915.41</v>
      </c>
      <c r="J879" t="s">
        <v>16</v>
      </c>
      <c r="K879">
        <v>0.02</v>
      </c>
      <c r="L879" t="s">
        <v>17</v>
      </c>
      <c r="M879" t="s">
        <v>18</v>
      </c>
    </row>
    <row r="880" spans="1:13" x14ac:dyDescent="0.25">
      <c r="A880">
        <v>1079</v>
      </c>
      <c r="B880" s="1">
        <v>45227</v>
      </c>
      <c r="C880" t="s">
        <v>13</v>
      </c>
      <c r="D880" t="s">
        <v>19</v>
      </c>
      <c r="E880">
        <v>1558.03</v>
      </c>
      <c r="F880">
        <v>38</v>
      </c>
      <c r="G880" t="s">
        <v>15</v>
      </c>
      <c r="H880">
        <v>1127.76</v>
      </c>
      <c r="I880">
        <v>1265.6600000000001</v>
      </c>
      <c r="J880" t="s">
        <v>16</v>
      </c>
      <c r="K880">
        <v>0.26</v>
      </c>
      <c r="L880" t="s">
        <v>24</v>
      </c>
      <c r="M880" t="s">
        <v>20</v>
      </c>
    </row>
    <row r="881" spans="1:13" x14ac:dyDescent="0.25">
      <c r="A881">
        <v>1030</v>
      </c>
      <c r="B881" s="1">
        <v>45143</v>
      </c>
      <c r="C881" t="s">
        <v>13</v>
      </c>
      <c r="D881" t="s">
        <v>19</v>
      </c>
      <c r="E881">
        <v>9733.4599999999991</v>
      </c>
      <c r="F881">
        <v>34</v>
      </c>
      <c r="G881" t="s">
        <v>30</v>
      </c>
      <c r="H881">
        <v>3125.07</v>
      </c>
      <c r="I881">
        <v>3564.19</v>
      </c>
      <c r="J881" t="s">
        <v>16</v>
      </c>
      <c r="K881">
        <v>0.09</v>
      </c>
      <c r="L881" t="s">
        <v>17</v>
      </c>
      <c r="M881" t="s">
        <v>18</v>
      </c>
    </row>
    <row r="882" spans="1:13" x14ac:dyDescent="0.25">
      <c r="A882">
        <v>1051</v>
      </c>
      <c r="B882" s="1">
        <v>45215</v>
      </c>
      <c r="C882" t="s">
        <v>32</v>
      </c>
      <c r="D882" t="s">
        <v>19</v>
      </c>
      <c r="E882">
        <v>7617</v>
      </c>
      <c r="F882">
        <v>43</v>
      </c>
      <c r="G882" t="s">
        <v>25</v>
      </c>
      <c r="H882">
        <v>287.99</v>
      </c>
      <c r="I882">
        <v>666.64</v>
      </c>
      <c r="J882" t="s">
        <v>16</v>
      </c>
      <c r="K882">
        <v>0</v>
      </c>
      <c r="L882" t="s">
        <v>24</v>
      </c>
      <c r="M882" t="s">
        <v>18</v>
      </c>
    </row>
    <row r="883" spans="1:13" x14ac:dyDescent="0.25">
      <c r="A883">
        <v>1081</v>
      </c>
      <c r="B883" s="1">
        <v>45028</v>
      </c>
      <c r="C883" t="s">
        <v>13</v>
      </c>
      <c r="D883" t="s">
        <v>22</v>
      </c>
      <c r="E883">
        <v>9680.84</v>
      </c>
      <c r="F883">
        <v>19</v>
      </c>
      <c r="G883" t="s">
        <v>23</v>
      </c>
      <c r="H883">
        <v>2443.69</v>
      </c>
      <c r="I883">
        <v>2462.34</v>
      </c>
      <c r="J883" t="s">
        <v>26</v>
      </c>
      <c r="K883">
        <v>7.0000000000000007E-2</v>
      </c>
      <c r="L883" t="s">
        <v>24</v>
      </c>
      <c r="M883" t="s">
        <v>20</v>
      </c>
    </row>
    <row r="884" spans="1:13" x14ac:dyDescent="0.25">
      <c r="A884">
        <v>1005</v>
      </c>
      <c r="B884" s="1">
        <v>45193</v>
      </c>
      <c r="C884" t="s">
        <v>31</v>
      </c>
      <c r="D884" t="s">
        <v>22</v>
      </c>
      <c r="E884">
        <v>4453.43</v>
      </c>
      <c r="F884">
        <v>6</v>
      </c>
      <c r="G884" t="s">
        <v>23</v>
      </c>
      <c r="H884">
        <v>122.5</v>
      </c>
      <c r="I884">
        <v>385.83</v>
      </c>
      <c r="J884" t="s">
        <v>16</v>
      </c>
      <c r="K884">
        <v>0.1</v>
      </c>
      <c r="L884" t="s">
        <v>17</v>
      </c>
      <c r="M884" t="s">
        <v>20</v>
      </c>
    </row>
    <row r="885" spans="1:13" x14ac:dyDescent="0.25">
      <c r="A885">
        <v>1029</v>
      </c>
      <c r="B885" s="1">
        <v>45140</v>
      </c>
      <c r="C885" t="s">
        <v>31</v>
      </c>
      <c r="D885" t="s">
        <v>22</v>
      </c>
      <c r="E885">
        <v>2855.85</v>
      </c>
      <c r="F885">
        <v>46</v>
      </c>
      <c r="G885" t="s">
        <v>15</v>
      </c>
      <c r="H885">
        <v>4609.66</v>
      </c>
      <c r="I885">
        <v>4879.1499999999996</v>
      </c>
      <c r="J885" t="s">
        <v>16</v>
      </c>
      <c r="K885">
        <v>0.3</v>
      </c>
      <c r="L885" t="s">
        <v>17</v>
      </c>
      <c r="M885" t="s">
        <v>20</v>
      </c>
    </row>
    <row r="886" spans="1:13" x14ac:dyDescent="0.25">
      <c r="A886">
        <v>1004</v>
      </c>
      <c r="B886" s="1">
        <v>45105</v>
      </c>
      <c r="C886" t="s">
        <v>13</v>
      </c>
      <c r="D886" t="s">
        <v>19</v>
      </c>
      <c r="E886">
        <v>8003.1</v>
      </c>
      <c r="F886">
        <v>38</v>
      </c>
      <c r="G886" t="s">
        <v>15</v>
      </c>
      <c r="H886">
        <v>4881.63</v>
      </c>
      <c r="I886">
        <v>5088.0600000000004</v>
      </c>
      <c r="J886" t="s">
        <v>16</v>
      </c>
      <c r="K886">
        <v>0.16</v>
      </c>
      <c r="L886" t="s">
        <v>27</v>
      </c>
      <c r="M886" t="s">
        <v>20</v>
      </c>
    </row>
    <row r="887" spans="1:13" x14ac:dyDescent="0.25">
      <c r="A887">
        <v>1010</v>
      </c>
      <c r="B887" s="1">
        <v>45014</v>
      </c>
      <c r="C887" t="s">
        <v>32</v>
      </c>
      <c r="D887" t="s">
        <v>22</v>
      </c>
      <c r="E887">
        <v>3329.91</v>
      </c>
      <c r="F887">
        <v>49</v>
      </c>
      <c r="G887" t="s">
        <v>23</v>
      </c>
      <c r="H887">
        <v>1150.3</v>
      </c>
      <c r="I887">
        <v>1306.02</v>
      </c>
      <c r="J887" t="s">
        <v>26</v>
      </c>
      <c r="K887">
        <v>0.06</v>
      </c>
      <c r="L887" t="s">
        <v>27</v>
      </c>
      <c r="M887" t="s">
        <v>20</v>
      </c>
    </row>
    <row r="888" spans="1:13" x14ac:dyDescent="0.25">
      <c r="A888">
        <v>1056</v>
      </c>
      <c r="B888" s="1">
        <v>44967</v>
      </c>
      <c r="C888" t="s">
        <v>13</v>
      </c>
      <c r="D888" t="s">
        <v>19</v>
      </c>
      <c r="E888">
        <v>3063.9</v>
      </c>
      <c r="F888">
        <v>42</v>
      </c>
      <c r="G888" t="s">
        <v>15</v>
      </c>
      <c r="H888">
        <v>1080.1199999999999</v>
      </c>
      <c r="I888">
        <v>1424.1699999999901</v>
      </c>
      <c r="J888" t="s">
        <v>26</v>
      </c>
      <c r="K888">
        <v>0.1</v>
      </c>
      <c r="L888" t="s">
        <v>17</v>
      </c>
      <c r="M888" t="s">
        <v>18</v>
      </c>
    </row>
    <row r="889" spans="1:13" x14ac:dyDescent="0.25">
      <c r="A889">
        <v>1017</v>
      </c>
      <c r="B889" s="1">
        <v>45002</v>
      </c>
      <c r="C889" t="s">
        <v>13</v>
      </c>
      <c r="D889" t="s">
        <v>14</v>
      </c>
      <c r="E889">
        <v>2401.81</v>
      </c>
      <c r="F889">
        <v>28</v>
      </c>
      <c r="G889" t="s">
        <v>25</v>
      </c>
      <c r="H889">
        <v>3780.91</v>
      </c>
      <c r="I889">
        <v>3892.73</v>
      </c>
      <c r="J889" t="s">
        <v>16</v>
      </c>
      <c r="K889">
        <v>0.1</v>
      </c>
      <c r="L889" t="s">
        <v>17</v>
      </c>
      <c r="M889" t="s">
        <v>20</v>
      </c>
    </row>
    <row r="890" spans="1:13" x14ac:dyDescent="0.25">
      <c r="A890">
        <v>1074</v>
      </c>
      <c r="B890" s="1">
        <v>44972</v>
      </c>
      <c r="C890" t="s">
        <v>13</v>
      </c>
      <c r="D890" t="s">
        <v>19</v>
      </c>
      <c r="E890">
        <v>1383.82</v>
      </c>
      <c r="F890">
        <v>1</v>
      </c>
      <c r="G890" t="s">
        <v>15</v>
      </c>
      <c r="H890">
        <v>1304.23</v>
      </c>
      <c r="I890">
        <v>1705.71</v>
      </c>
      <c r="J890" t="s">
        <v>16</v>
      </c>
      <c r="K890">
        <v>0.01</v>
      </c>
      <c r="L890" t="s">
        <v>17</v>
      </c>
      <c r="M890" t="s">
        <v>20</v>
      </c>
    </row>
    <row r="891" spans="1:13" x14ac:dyDescent="0.25">
      <c r="A891">
        <v>1017</v>
      </c>
      <c r="B891" s="1">
        <v>45086</v>
      </c>
      <c r="C891" t="s">
        <v>28</v>
      </c>
      <c r="D891" t="s">
        <v>29</v>
      </c>
      <c r="E891">
        <v>2638.98</v>
      </c>
      <c r="F891">
        <v>35</v>
      </c>
      <c r="G891" t="s">
        <v>15</v>
      </c>
      <c r="H891">
        <v>4480.63</v>
      </c>
      <c r="I891">
        <v>4884.12</v>
      </c>
      <c r="J891" t="s">
        <v>26</v>
      </c>
      <c r="K891">
        <v>0.04</v>
      </c>
      <c r="L891" t="s">
        <v>17</v>
      </c>
      <c r="M891" t="s">
        <v>18</v>
      </c>
    </row>
    <row r="892" spans="1:13" x14ac:dyDescent="0.25">
      <c r="A892">
        <v>1084</v>
      </c>
      <c r="B892" s="1">
        <v>45006</v>
      </c>
      <c r="C892" t="s">
        <v>31</v>
      </c>
      <c r="D892" t="s">
        <v>22</v>
      </c>
      <c r="E892">
        <v>3617.67</v>
      </c>
      <c r="F892">
        <v>40</v>
      </c>
      <c r="G892" t="s">
        <v>23</v>
      </c>
      <c r="H892">
        <v>2890.95</v>
      </c>
      <c r="I892">
        <v>3104.43</v>
      </c>
      <c r="J892" t="s">
        <v>26</v>
      </c>
      <c r="K892">
        <v>0.21</v>
      </c>
      <c r="L892" t="s">
        <v>24</v>
      </c>
      <c r="M892" t="s">
        <v>18</v>
      </c>
    </row>
    <row r="893" spans="1:13" x14ac:dyDescent="0.25">
      <c r="A893">
        <v>1088</v>
      </c>
      <c r="B893" s="1">
        <v>45236</v>
      </c>
      <c r="C893" t="s">
        <v>21</v>
      </c>
      <c r="D893" t="s">
        <v>22</v>
      </c>
      <c r="E893">
        <v>6772.54</v>
      </c>
      <c r="F893">
        <v>8</v>
      </c>
      <c r="G893" t="s">
        <v>23</v>
      </c>
      <c r="H893">
        <v>1786.35</v>
      </c>
      <c r="I893">
        <v>1935.29</v>
      </c>
      <c r="J893" t="s">
        <v>26</v>
      </c>
      <c r="K893">
        <v>0.04</v>
      </c>
      <c r="L893" t="s">
        <v>17</v>
      </c>
      <c r="M893" t="s">
        <v>18</v>
      </c>
    </row>
    <row r="894" spans="1:13" x14ac:dyDescent="0.25">
      <c r="A894">
        <v>1069</v>
      </c>
      <c r="B894" s="1">
        <v>45012</v>
      </c>
      <c r="C894" t="s">
        <v>21</v>
      </c>
      <c r="D894" t="s">
        <v>29</v>
      </c>
      <c r="E894">
        <v>719.39</v>
      </c>
      <c r="F894">
        <v>47</v>
      </c>
      <c r="G894" t="s">
        <v>30</v>
      </c>
      <c r="H894">
        <v>4171.83</v>
      </c>
      <c r="I894">
        <v>4320.93</v>
      </c>
      <c r="J894" t="s">
        <v>26</v>
      </c>
      <c r="K894">
        <v>7.0000000000000007E-2</v>
      </c>
      <c r="L894" t="s">
        <v>17</v>
      </c>
      <c r="M894" t="s">
        <v>18</v>
      </c>
    </row>
    <row r="895" spans="1:13" x14ac:dyDescent="0.25">
      <c r="A895">
        <v>1034</v>
      </c>
      <c r="B895" s="1">
        <v>45018</v>
      </c>
      <c r="C895" t="s">
        <v>28</v>
      </c>
      <c r="D895" t="s">
        <v>19</v>
      </c>
      <c r="E895">
        <v>2184.02</v>
      </c>
      <c r="F895">
        <v>7</v>
      </c>
      <c r="G895" t="s">
        <v>30</v>
      </c>
      <c r="H895">
        <v>2492.36</v>
      </c>
      <c r="I895">
        <v>2738.68</v>
      </c>
      <c r="J895" t="s">
        <v>16</v>
      </c>
      <c r="K895">
        <v>0.11</v>
      </c>
      <c r="L895" t="s">
        <v>17</v>
      </c>
      <c r="M895" t="s">
        <v>18</v>
      </c>
    </row>
    <row r="896" spans="1:13" x14ac:dyDescent="0.25">
      <c r="A896">
        <v>1006</v>
      </c>
      <c r="B896" s="1">
        <v>45074</v>
      </c>
      <c r="C896" t="s">
        <v>13</v>
      </c>
      <c r="D896" t="s">
        <v>14</v>
      </c>
      <c r="E896">
        <v>8109.33</v>
      </c>
      <c r="F896">
        <v>11</v>
      </c>
      <c r="G896" t="s">
        <v>23</v>
      </c>
      <c r="H896">
        <v>4562.58</v>
      </c>
      <c r="I896">
        <v>4925.17</v>
      </c>
      <c r="J896" t="s">
        <v>26</v>
      </c>
      <c r="K896">
        <v>0.23</v>
      </c>
      <c r="L896" t="s">
        <v>17</v>
      </c>
      <c r="M896" t="s">
        <v>20</v>
      </c>
    </row>
    <row r="897" spans="1:13" x14ac:dyDescent="0.25">
      <c r="A897">
        <v>1053</v>
      </c>
      <c r="B897" s="1">
        <v>45087</v>
      </c>
      <c r="C897" t="s">
        <v>28</v>
      </c>
      <c r="D897" t="s">
        <v>29</v>
      </c>
      <c r="E897">
        <v>1554.53</v>
      </c>
      <c r="F897">
        <v>39</v>
      </c>
      <c r="G897" t="s">
        <v>15</v>
      </c>
      <c r="H897">
        <v>4643.67</v>
      </c>
      <c r="I897">
        <v>4829.5200000000004</v>
      </c>
      <c r="J897" t="s">
        <v>16</v>
      </c>
      <c r="K897">
        <v>0.17</v>
      </c>
      <c r="L897" t="s">
        <v>24</v>
      </c>
      <c r="M897" t="s">
        <v>18</v>
      </c>
    </row>
    <row r="898" spans="1:13" x14ac:dyDescent="0.25">
      <c r="A898">
        <v>1066</v>
      </c>
      <c r="B898" s="1">
        <v>45128</v>
      </c>
      <c r="C898" t="s">
        <v>28</v>
      </c>
      <c r="D898" t="s">
        <v>29</v>
      </c>
      <c r="E898">
        <v>3492.19</v>
      </c>
      <c r="F898">
        <v>4</v>
      </c>
      <c r="G898" t="s">
        <v>15</v>
      </c>
      <c r="H898">
        <v>868.83</v>
      </c>
      <c r="I898">
        <v>1177.75</v>
      </c>
      <c r="J898" t="s">
        <v>16</v>
      </c>
      <c r="K898">
        <v>0.21</v>
      </c>
      <c r="L898" t="s">
        <v>27</v>
      </c>
      <c r="M898" t="s">
        <v>20</v>
      </c>
    </row>
    <row r="899" spans="1:13" x14ac:dyDescent="0.25">
      <c r="A899">
        <v>1077</v>
      </c>
      <c r="B899" s="1">
        <v>45168</v>
      </c>
      <c r="C899" t="s">
        <v>32</v>
      </c>
      <c r="D899" t="s">
        <v>19</v>
      </c>
      <c r="E899">
        <v>8660.1200000000008</v>
      </c>
      <c r="F899">
        <v>25</v>
      </c>
      <c r="G899" t="s">
        <v>30</v>
      </c>
      <c r="H899">
        <v>61.5</v>
      </c>
      <c r="I899">
        <v>258.91999999999899</v>
      </c>
      <c r="J899" t="s">
        <v>26</v>
      </c>
      <c r="K899">
        <v>0.17</v>
      </c>
      <c r="L899" t="s">
        <v>27</v>
      </c>
      <c r="M899" t="s">
        <v>18</v>
      </c>
    </row>
    <row r="900" spans="1:13" x14ac:dyDescent="0.25">
      <c r="A900">
        <v>1043</v>
      </c>
      <c r="B900" s="1">
        <v>45279</v>
      </c>
      <c r="C900" t="s">
        <v>31</v>
      </c>
      <c r="D900" t="s">
        <v>22</v>
      </c>
      <c r="E900">
        <v>1633.76</v>
      </c>
      <c r="F900">
        <v>12</v>
      </c>
      <c r="G900" t="s">
        <v>30</v>
      </c>
      <c r="H900">
        <v>4920.46</v>
      </c>
      <c r="I900">
        <v>5079.68</v>
      </c>
      <c r="J900" t="s">
        <v>26</v>
      </c>
      <c r="K900">
        <v>0.21</v>
      </c>
      <c r="L900" t="s">
        <v>27</v>
      </c>
      <c r="M900" t="s">
        <v>20</v>
      </c>
    </row>
    <row r="901" spans="1:13" x14ac:dyDescent="0.25">
      <c r="A901">
        <v>1075</v>
      </c>
      <c r="B901" s="1">
        <v>44928</v>
      </c>
      <c r="C901" t="s">
        <v>21</v>
      </c>
      <c r="D901" t="s">
        <v>19</v>
      </c>
      <c r="E901">
        <v>919.09</v>
      </c>
      <c r="F901">
        <v>26</v>
      </c>
      <c r="G901" t="s">
        <v>30</v>
      </c>
      <c r="H901">
        <v>4535.38</v>
      </c>
      <c r="I901">
        <v>4557.5600000000004</v>
      </c>
      <c r="J901" t="s">
        <v>26</v>
      </c>
      <c r="K901">
        <v>0</v>
      </c>
      <c r="L901" t="s">
        <v>27</v>
      </c>
      <c r="M901" t="s">
        <v>18</v>
      </c>
    </row>
    <row r="902" spans="1:13" x14ac:dyDescent="0.25">
      <c r="A902">
        <v>1023</v>
      </c>
      <c r="B902" s="1">
        <v>45151</v>
      </c>
      <c r="C902" t="s">
        <v>13</v>
      </c>
      <c r="D902" t="s">
        <v>29</v>
      </c>
      <c r="E902">
        <v>4896.93</v>
      </c>
      <c r="F902">
        <v>38</v>
      </c>
      <c r="G902" t="s">
        <v>25</v>
      </c>
      <c r="H902">
        <v>324.45</v>
      </c>
      <c r="I902">
        <v>336.37</v>
      </c>
      <c r="J902" t="s">
        <v>26</v>
      </c>
      <c r="K902">
        <v>0.28000000000000003</v>
      </c>
      <c r="L902" t="s">
        <v>27</v>
      </c>
      <c r="M902" t="s">
        <v>20</v>
      </c>
    </row>
    <row r="903" spans="1:13" x14ac:dyDescent="0.25">
      <c r="A903">
        <v>1055</v>
      </c>
      <c r="B903" s="1">
        <v>45215</v>
      </c>
      <c r="C903" t="s">
        <v>21</v>
      </c>
      <c r="D903" t="s">
        <v>29</v>
      </c>
      <c r="E903">
        <v>3093.95</v>
      </c>
      <c r="F903">
        <v>46</v>
      </c>
      <c r="G903" t="s">
        <v>25</v>
      </c>
      <c r="H903">
        <v>4173.5200000000004</v>
      </c>
      <c r="I903">
        <v>4294.8500000000004</v>
      </c>
      <c r="J903" t="s">
        <v>16</v>
      </c>
      <c r="K903">
        <v>0.03</v>
      </c>
      <c r="L903" t="s">
        <v>24</v>
      </c>
      <c r="M903" t="s">
        <v>20</v>
      </c>
    </row>
    <row r="904" spans="1:13" x14ac:dyDescent="0.25">
      <c r="A904">
        <v>1080</v>
      </c>
      <c r="B904" s="1">
        <v>45159</v>
      </c>
      <c r="C904" t="s">
        <v>21</v>
      </c>
      <c r="D904" t="s">
        <v>22</v>
      </c>
      <c r="E904">
        <v>5677.74</v>
      </c>
      <c r="F904">
        <v>12</v>
      </c>
      <c r="G904" t="s">
        <v>30</v>
      </c>
      <c r="H904">
        <v>2316.13</v>
      </c>
      <c r="I904">
        <v>2525.27</v>
      </c>
      <c r="J904" t="s">
        <v>16</v>
      </c>
      <c r="K904">
        <v>0.12</v>
      </c>
      <c r="L904" t="s">
        <v>27</v>
      </c>
      <c r="M904" t="s">
        <v>20</v>
      </c>
    </row>
    <row r="905" spans="1:13" x14ac:dyDescent="0.25">
      <c r="A905">
        <v>1095</v>
      </c>
      <c r="B905" s="1">
        <v>45003</v>
      </c>
      <c r="C905" t="s">
        <v>31</v>
      </c>
      <c r="D905" t="s">
        <v>22</v>
      </c>
      <c r="E905">
        <v>8057.67</v>
      </c>
      <c r="F905">
        <v>43</v>
      </c>
      <c r="G905" t="s">
        <v>15</v>
      </c>
      <c r="H905">
        <v>1331.86</v>
      </c>
      <c r="I905">
        <v>1758.98</v>
      </c>
      <c r="J905" t="s">
        <v>16</v>
      </c>
      <c r="K905">
        <v>0.23</v>
      </c>
      <c r="L905" t="s">
        <v>24</v>
      </c>
      <c r="M905" t="s">
        <v>20</v>
      </c>
    </row>
    <row r="906" spans="1:13" x14ac:dyDescent="0.25">
      <c r="A906">
        <v>1075</v>
      </c>
      <c r="B906" s="1">
        <v>45042</v>
      </c>
      <c r="C906" t="s">
        <v>21</v>
      </c>
      <c r="D906" t="s">
        <v>22</v>
      </c>
      <c r="E906">
        <v>1457.77</v>
      </c>
      <c r="F906">
        <v>37</v>
      </c>
      <c r="G906" t="s">
        <v>30</v>
      </c>
      <c r="H906">
        <v>4399.8</v>
      </c>
      <c r="I906">
        <v>4801.0600000000004</v>
      </c>
      <c r="J906" t="s">
        <v>26</v>
      </c>
      <c r="K906">
        <v>0.13</v>
      </c>
      <c r="L906" t="s">
        <v>24</v>
      </c>
      <c r="M906" t="s">
        <v>20</v>
      </c>
    </row>
    <row r="907" spans="1:13" x14ac:dyDescent="0.25">
      <c r="A907">
        <v>1016</v>
      </c>
      <c r="B907" s="1">
        <v>45080</v>
      </c>
      <c r="C907" t="s">
        <v>21</v>
      </c>
      <c r="D907" t="s">
        <v>19</v>
      </c>
      <c r="E907">
        <v>5848.92</v>
      </c>
      <c r="F907">
        <v>46</v>
      </c>
      <c r="G907" t="s">
        <v>25</v>
      </c>
      <c r="H907">
        <v>1023.5</v>
      </c>
      <c r="I907">
        <v>1164.4100000000001</v>
      </c>
      <c r="J907" t="s">
        <v>16</v>
      </c>
      <c r="K907">
        <v>0.28000000000000003</v>
      </c>
      <c r="L907" t="s">
        <v>27</v>
      </c>
      <c r="M907" t="s">
        <v>20</v>
      </c>
    </row>
    <row r="908" spans="1:13" x14ac:dyDescent="0.25">
      <c r="A908">
        <v>1008</v>
      </c>
      <c r="B908" s="1">
        <v>45029</v>
      </c>
      <c r="C908" t="s">
        <v>28</v>
      </c>
      <c r="D908" t="s">
        <v>22</v>
      </c>
      <c r="E908">
        <v>5104.54</v>
      </c>
      <c r="F908">
        <v>24</v>
      </c>
      <c r="G908" t="s">
        <v>15</v>
      </c>
      <c r="H908">
        <v>4739.13</v>
      </c>
      <c r="I908">
        <v>4868.95</v>
      </c>
      <c r="J908" t="s">
        <v>26</v>
      </c>
      <c r="K908">
        <v>0.14000000000000001</v>
      </c>
      <c r="L908" t="s">
        <v>27</v>
      </c>
      <c r="M908" t="s">
        <v>20</v>
      </c>
    </row>
    <row r="909" spans="1:13" x14ac:dyDescent="0.25">
      <c r="A909">
        <v>1004</v>
      </c>
      <c r="B909" s="1">
        <v>45120</v>
      </c>
      <c r="C909" t="s">
        <v>31</v>
      </c>
      <c r="D909" t="s">
        <v>29</v>
      </c>
      <c r="E909">
        <v>1526.38</v>
      </c>
      <c r="F909">
        <v>16</v>
      </c>
      <c r="G909" t="s">
        <v>25</v>
      </c>
      <c r="H909">
        <v>1067.83</v>
      </c>
      <c r="I909">
        <v>1189.22</v>
      </c>
      <c r="J909" t="s">
        <v>16</v>
      </c>
      <c r="K909">
        <v>0.26</v>
      </c>
      <c r="L909" t="s">
        <v>27</v>
      </c>
      <c r="M909" t="s">
        <v>20</v>
      </c>
    </row>
    <row r="910" spans="1:13" x14ac:dyDescent="0.25">
      <c r="A910">
        <v>1004</v>
      </c>
      <c r="B910" s="1">
        <v>45092</v>
      </c>
      <c r="C910" t="s">
        <v>32</v>
      </c>
      <c r="D910" t="s">
        <v>29</v>
      </c>
      <c r="E910">
        <v>6277.59</v>
      </c>
      <c r="F910">
        <v>13</v>
      </c>
      <c r="G910" t="s">
        <v>15</v>
      </c>
      <c r="H910">
        <v>3087.73</v>
      </c>
      <c r="I910">
        <v>3263.96</v>
      </c>
      <c r="J910" t="s">
        <v>26</v>
      </c>
      <c r="K910">
        <v>0.24</v>
      </c>
      <c r="L910" t="s">
        <v>17</v>
      </c>
      <c r="M910" t="s">
        <v>20</v>
      </c>
    </row>
    <row r="911" spans="1:13" x14ac:dyDescent="0.25">
      <c r="A911">
        <v>1056</v>
      </c>
      <c r="B911" s="1">
        <v>45285</v>
      </c>
      <c r="C911" t="s">
        <v>13</v>
      </c>
      <c r="D911" t="s">
        <v>14</v>
      </c>
      <c r="E911">
        <v>2809.04</v>
      </c>
      <c r="F911">
        <v>25</v>
      </c>
      <c r="G911" t="s">
        <v>25</v>
      </c>
      <c r="H911">
        <v>1154.28</v>
      </c>
      <c r="I911">
        <v>1408.4</v>
      </c>
      <c r="J911" t="s">
        <v>16</v>
      </c>
      <c r="K911">
        <v>0.28999999999999998</v>
      </c>
      <c r="L911" t="s">
        <v>24</v>
      </c>
      <c r="M911" t="s">
        <v>20</v>
      </c>
    </row>
    <row r="912" spans="1:13" x14ac:dyDescent="0.25">
      <c r="A912">
        <v>1025</v>
      </c>
      <c r="B912" s="1">
        <v>45016</v>
      </c>
      <c r="C912" t="s">
        <v>21</v>
      </c>
      <c r="D912" t="s">
        <v>19</v>
      </c>
      <c r="E912">
        <v>4929.5600000000004</v>
      </c>
      <c r="F912">
        <v>4</v>
      </c>
      <c r="G912" t="s">
        <v>15</v>
      </c>
      <c r="H912">
        <v>2751.06</v>
      </c>
      <c r="I912">
        <v>2976.0099999999902</v>
      </c>
      <c r="J912" t="s">
        <v>16</v>
      </c>
      <c r="K912">
        <v>0.28000000000000003</v>
      </c>
      <c r="L912" t="s">
        <v>27</v>
      </c>
      <c r="M912" t="s">
        <v>18</v>
      </c>
    </row>
    <row r="913" spans="1:13" x14ac:dyDescent="0.25">
      <c r="A913">
        <v>1067</v>
      </c>
      <c r="B913" s="1">
        <v>45100</v>
      </c>
      <c r="C913" t="s">
        <v>13</v>
      </c>
      <c r="D913" t="s">
        <v>14</v>
      </c>
      <c r="E913">
        <v>914.5</v>
      </c>
      <c r="F913">
        <v>11</v>
      </c>
      <c r="G913" t="s">
        <v>15</v>
      </c>
      <c r="H913">
        <v>3435.68</v>
      </c>
      <c r="I913">
        <v>3552.6299999999901</v>
      </c>
      <c r="J913" t="s">
        <v>26</v>
      </c>
      <c r="K913">
        <v>0.27</v>
      </c>
      <c r="L913" t="s">
        <v>17</v>
      </c>
      <c r="M913" t="s">
        <v>20</v>
      </c>
    </row>
    <row r="914" spans="1:13" x14ac:dyDescent="0.25">
      <c r="A914">
        <v>1096</v>
      </c>
      <c r="B914" s="1">
        <v>45048</v>
      </c>
      <c r="C914" t="s">
        <v>32</v>
      </c>
      <c r="D914" t="s">
        <v>29</v>
      </c>
      <c r="E914">
        <v>4649.88</v>
      </c>
      <c r="F914">
        <v>32</v>
      </c>
      <c r="G914" t="s">
        <v>15</v>
      </c>
      <c r="H914">
        <v>991.63</v>
      </c>
      <c r="I914">
        <v>1065.55</v>
      </c>
      <c r="J914" t="s">
        <v>16</v>
      </c>
      <c r="K914">
        <v>0.22</v>
      </c>
      <c r="L914" t="s">
        <v>24</v>
      </c>
      <c r="M914" t="s">
        <v>20</v>
      </c>
    </row>
    <row r="915" spans="1:13" x14ac:dyDescent="0.25">
      <c r="A915">
        <v>1067</v>
      </c>
      <c r="B915" s="1">
        <v>45069</v>
      </c>
      <c r="C915" t="s">
        <v>13</v>
      </c>
      <c r="D915" t="s">
        <v>14</v>
      </c>
      <c r="E915">
        <v>3133.99</v>
      </c>
      <c r="F915">
        <v>49</v>
      </c>
      <c r="G915" t="s">
        <v>15</v>
      </c>
      <c r="H915">
        <v>2628.38</v>
      </c>
      <c r="I915">
        <v>2644.54</v>
      </c>
      <c r="J915" t="s">
        <v>16</v>
      </c>
      <c r="K915">
        <v>0.11</v>
      </c>
      <c r="L915" t="s">
        <v>17</v>
      </c>
      <c r="M915" t="s">
        <v>18</v>
      </c>
    </row>
    <row r="916" spans="1:13" x14ac:dyDescent="0.25">
      <c r="A916">
        <v>1027</v>
      </c>
      <c r="B916" s="1">
        <v>45032</v>
      </c>
      <c r="C916" t="s">
        <v>32</v>
      </c>
      <c r="D916" t="s">
        <v>29</v>
      </c>
      <c r="E916">
        <v>8241.57</v>
      </c>
      <c r="F916">
        <v>7</v>
      </c>
      <c r="G916" t="s">
        <v>23</v>
      </c>
      <c r="H916">
        <v>2371.85</v>
      </c>
      <c r="I916">
        <v>2457.29</v>
      </c>
      <c r="J916" t="s">
        <v>26</v>
      </c>
      <c r="K916">
        <v>0.03</v>
      </c>
      <c r="L916" t="s">
        <v>17</v>
      </c>
      <c r="M916" t="s">
        <v>20</v>
      </c>
    </row>
    <row r="917" spans="1:13" x14ac:dyDescent="0.25">
      <c r="A917">
        <v>1093</v>
      </c>
      <c r="B917" s="1">
        <v>45231</v>
      </c>
      <c r="C917" t="s">
        <v>28</v>
      </c>
      <c r="D917" t="s">
        <v>14</v>
      </c>
      <c r="E917">
        <v>664.09</v>
      </c>
      <c r="F917">
        <v>46</v>
      </c>
      <c r="G917" t="s">
        <v>25</v>
      </c>
      <c r="H917">
        <v>401.64</v>
      </c>
      <c r="I917">
        <v>757.26</v>
      </c>
      <c r="J917" t="s">
        <v>26</v>
      </c>
      <c r="K917">
        <v>0.21</v>
      </c>
      <c r="L917" t="s">
        <v>27</v>
      </c>
      <c r="M917" t="s">
        <v>20</v>
      </c>
    </row>
    <row r="918" spans="1:13" x14ac:dyDescent="0.25">
      <c r="A918">
        <v>1032</v>
      </c>
      <c r="B918" s="1">
        <v>45286</v>
      </c>
      <c r="C918" t="s">
        <v>21</v>
      </c>
      <c r="D918" t="s">
        <v>22</v>
      </c>
      <c r="E918">
        <v>4244.21</v>
      </c>
      <c r="F918">
        <v>11</v>
      </c>
      <c r="G918" t="s">
        <v>25</v>
      </c>
      <c r="H918">
        <v>4100.62</v>
      </c>
      <c r="I918">
        <v>4230</v>
      </c>
      <c r="J918" t="s">
        <v>26</v>
      </c>
      <c r="K918">
        <v>0.28999999999999998</v>
      </c>
      <c r="L918" t="s">
        <v>24</v>
      </c>
      <c r="M918" t="s">
        <v>18</v>
      </c>
    </row>
    <row r="919" spans="1:13" x14ac:dyDescent="0.25">
      <c r="A919">
        <v>1050</v>
      </c>
      <c r="B919" s="1">
        <v>45243</v>
      </c>
      <c r="C919" t="s">
        <v>32</v>
      </c>
      <c r="D919" t="s">
        <v>14</v>
      </c>
      <c r="E919">
        <v>4638.47</v>
      </c>
      <c r="F919">
        <v>28</v>
      </c>
      <c r="G919" t="s">
        <v>23</v>
      </c>
      <c r="H919">
        <v>1711.63</v>
      </c>
      <c r="I919">
        <v>1951.24</v>
      </c>
      <c r="J919" t="s">
        <v>26</v>
      </c>
      <c r="K919">
        <v>0.22</v>
      </c>
      <c r="L919" t="s">
        <v>17</v>
      </c>
      <c r="M919" t="s">
        <v>18</v>
      </c>
    </row>
    <row r="920" spans="1:13" x14ac:dyDescent="0.25">
      <c r="A920">
        <v>1061</v>
      </c>
      <c r="B920" s="1">
        <v>45049</v>
      </c>
      <c r="C920" t="s">
        <v>13</v>
      </c>
      <c r="D920" t="s">
        <v>22</v>
      </c>
      <c r="E920">
        <v>7277.56</v>
      </c>
      <c r="F920">
        <v>41</v>
      </c>
      <c r="G920" t="s">
        <v>15</v>
      </c>
      <c r="H920">
        <v>2894.18</v>
      </c>
      <c r="I920">
        <v>3193.92</v>
      </c>
      <c r="J920" t="s">
        <v>26</v>
      </c>
      <c r="K920">
        <v>0.28000000000000003</v>
      </c>
      <c r="L920" t="s">
        <v>24</v>
      </c>
      <c r="M920" t="s">
        <v>20</v>
      </c>
    </row>
    <row r="921" spans="1:13" x14ac:dyDescent="0.25">
      <c r="A921">
        <v>1051</v>
      </c>
      <c r="B921" s="1">
        <v>44935</v>
      </c>
      <c r="C921" t="s">
        <v>21</v>
      </c>
      <c r="D921" t="s">
        <v>22</v>
      </c>
      <c r="E921">
        <v>5785.45</v>
      </c>
      <c r="F921">
        <v>23</v>
      </c>
      <c r="G921" t="s">
        <v>15</v>
      </c>
      <c r="H921">
        <v>2598.1799999999998</v>
      </c>
      <c r="I921">
        <v>3042.73</v>
      </c>
      <c r="J921" t="s">
        <v>16</v>
      </c>
      <c r="K921">
        <v>0.24</v>
      </c>
      <c r="L921" t="s">
        <v>27</v>
      </c>
      <c r="M921" t="s">
        <v>18</v>
      </c>
    </row>
    <row r="922" spans="1:13" x14ac:dyDescent="0.25">
      <c r="A922">
        <v>1019</v>
      </c>
      <c r="B922" s="1">
        <v>45188</v>
      </c>
      <c r="C922" t="s">
        <v>28</v>
      </c>
      <c r="D922" t="s">
        <v>19</v>
      </c>
      <c r="E922">
        <v>6705.4</v>
      </c>
      <c r="F922">
        <v>45</v>
      </c>
      <c r="G922" t="s">
        <v>25</v>
      </c>
      <c r="H922">
        <v>2590.64</v>
      </c>
      <c r="I922">
        <v>3036.18</v>
      </c>
      <c r="J922" t="s">
        <v>26</v>
      </c>
      <c r="K922">
        <v>0.05</v>
      </c>
      <c r="L922" t="s">
        <v>24</v>
      </c>
      <c r="M922" t="s">
        <v>20</v>
      </c>
    </row>
    <row r="923" spans="1:13" x14ac:dyDescent="0.25">
      <c r="A923">
        <v>1021</v>
      </c>
      <c r="B923" s="1">
        <v>44999</v>
      </c>
      <c r="C923" t="s">
        <v>21</v>
      </c>
      <c r="D923" t="s">
        <v>22</v>
      </c>
      <c r="E923">
        <v>7792.79</v>
      </c>
      <c r="F923">
        <v>23</v>
      </c>
      <c r="G923" t="s">
        <v>23</v>
      </c>
      <c r="H923">
        <v>580.75</v>
      </c>
      <c r="I923">
        <v>956.16</v>
      </c>
      <c r="J923" t="s">
        <v>16</v>
      </c>
      <c r="K923">
        <v>7.0000000000000007E-2</v>
      </c>
      <c r="L923" t="s">
        <v>17</v>
      </c>
      <c r="M923" t="s">
        <v>20</v>
      </c>
    </row>
    <row r="924" spans="1:13" x14ac:dyDescent="0.25">
      <c r="A924">
        <v>1005</v>
      </c>
      <c r="B924" s="1">
        <v>45285</v>
      </c>
      <c r="C924" t="s">
        <v>32</v>
      </c>
      <c r="D924" t="s">
        <v>22</v>
      </c>
      <c r="E924">
        <v>8635.81</v>
      </c>
      <c r="F924">
        <v>28</v>
      </c>
      <c r="G924" t="s">
        <v>15</v>
      </c>
      <c r="H924">
        <v>2146.2399999999998</v>
      </c>
      <c r="I924">
        <v>2173.4699999999998</v>
      </c>
      <c r="J924" t="s">
        <v>16</v>
      </c>
      <c r="K924">
        <v>0.1</v>
      </c>
      <c r="L924" t="s">
        <v>17</v>
      </c>
      <c r="M924" t="s">
        <v>20</v>
      </c>
    </row>
    <row r="925" spans="1:13" x14ac:dyDescent="0.25">
      <c r="A925">
        <v>1082</v>
      </c>
      <c r="B925" s="1">
        <v>45149</v>
      </c>
      <c r="C925" t="s">
        <v>28</v>
      </c>
      <c r="D925" t="s">
        <v>14</v>
      </c>
      <c r="E925">
        <v>3207.37</v>
      </c>
      <c r="F925">
        <v>43</v>
      </c>
      <c r="G925" t="s">
        <v>15</v>
      </c>
      <c r="H925">
        <v>2289.2199999999998</v>
      </c>
      <c r="I925">
        <v>2581</v>
      </c>
      <c r="J925" t="s">
        <v>26</v>
      </c>
      <c r="K925">
        <v>0.05</v>
      </c>
      <c r="L925" t="s">
        <v>24</v>
      </c>
      <c r="M925" t="s">
        <v>18</v>
      </c>
    </row>
    <row r="926" spans="1:13" x14ac:dyDescent="0.25">
      <c r="A926">
        <v>1092</v>
      </c>
      <c r="B926" s="1">
        <v>44967</v>
      </c>
      <c r="C926" t="s">
        <v>13</v>
      </c>
      <c r="D926" t="s">
        <v>29</v>
      </c>
      <c r="E926">
        <v>5426.42</v>
      </c>
      <c r="F926">
        <v>47</v>
      </c>
      <c r="G926" t="s">
        <v>15</v>
      </c>
      <c r="H926">
        <v>3681.53</v>
      </c>
      <c r="I926">
        <v>4076.96</v>
      </c>
      <c r="J926" t="s">
        <v>16</v>
      </c>
      <c r="K926">
        <v>0.17</v>
      </c>
      <c r="L926" t="s">
        <v>17</v>
      </c>
      <c r="M926" t="s">
        <v>20</v>
      </c>
    </row>
    <row r="927" spans="1:13" x14ac:dyDescent="0.25">
      <c r="A927">
        <v>1042</v>
      </c>
      <c r="B927" s="1">
        <v>45130</v>
      </c>
      <c r="C927" t="s">
        <v>28</v>
      </c>
      <c r="D927" t="s">
        <v>19</v>
      </c>
      <c r="E927">
        <v>8417.07</v>
      </c>
      <c r="F927">
        <v>26</v>
      </c>
      <c r="G927" t="s">
        <v>30</v>
      </c>
      <c r="H927">
        <v>4208.09</v>
      </c>
      <c r="I927">
        <v>4226.5600000000004</v>
      </c>
      <c r="J927" t="s">
        <v>16</v>
      </c>
      <c r="K927">
        <v>0.28999999999999998</v>
      </c>
      <c r="L927" t="s">
        <v>17</v>
      </c>
      <c r="M927" t="s">
        <v>20</v>
      </c>
    </row>
    <row r="928" spans="1:13" x14ac:dyDescent="0.25">
      <c r="A928">
        <v>1061</v>
      </c>
      <c r="B928" s="1">
        <v>45190</v>
      </c>
      <c r="C928" t="s">
        <v>28</v>
      </c>
      <c r="D928" t="s">
        <v>22</v>
      </c>
      <c r="E928">
        <v>9895.57</v>
      </c>
      <c r="F928">
        <v>25</v>
      </c>
      <c r="G928" t="s">
        <v>23</v>
      </c>
      <c r="H928">
        <v>2747.66</v>
      </c>
      <c r="I928">
        <v>3027.0099999999902</v>
      </c>
      <c r="J928" t="s">
        <v>26</v>
      </c>
      <c r="K928">
        <v>0.23</v>
      </c>
      <c r="L928" t="s">
        <v>17</v>
      </c>
      <c r="M928" t="s">
        <v>18</v>
      </c>
    </row>
    <row r="929" spans="1:13" x14ac:dyDescent="0.25">
      <c r="A929">
        <v>1022</v>
      </c>
      <c r="B929" s="1">
        <v>45254</v>
      </c>
      <c r="C929" t="s">
        <v>31</v>
      </c>
      <c r="D929" t="s">
        <v>19</v>
      </c>
      <c r="E929">
        <v>8906.24</v>
      </c>
      <c r="F929">
        <v>29</v>
      </c>
      <c r="G929" t="s">
        <v>15</v>
      </c>
      <c r="H929">
        <v>479.58</v>
      </c>
      <c r="I929">
        <v>909.88</v>
      </c>
      <c r="J929" t="s">
        <v>16</v>
      </c>
      <c r="K929">
        <v>0.13</v>
      </c>
      <c r="L929" t="s">
        <v>27</v>
      </c>
      <c r="M929" t="s">
        <v>20</v>
      </c>
    </row>
    <row r="930" spans="1:13" x14ac:dyDescent="0.25">
      <c r="A930">
        <v>1021</v>
      </c>
      <c r="B930" s="1">
        <v>45104</v>
      </c>
      <c r="C930" t="s">
        <v>28</v>
      </c>
      <c r="D930" t="s">
        <v>14</v>
      </c>
      <c r="E930">
        <v>3777.53</v>
      </c>
      <c r="F930">
        <v>19</v>
      </c>
      <c r="G930" t="s">
        <v>30</v>
      </c>
      <c r="H930">
        <v>1222.4000000000001</v>
      </c>
      <c r="I930">
        <v>1464.71</v>
      </c>
      <c r="J930" t="s">
        <v>26</v>
      </c>
      <c r="K930">
        <v>0</v>
      </c>
      <c r="L930" t="s">
        <v>27</v>
      </c>
      <c r="M930" t="s">
        <v>20</v>
      </c>
    </row>
    <row r="931" spans="1:13" x14ac:dyDescent="0.25">
      <c r="A931">
        <v>1070</v>
      </c>
      <c r="B931" s="1">
        <v>45274</v>
      </c>
      <c r="C931" t="s">
        <v>28</v>
      </c>
      <c r="D931" t="s">
        <v>22</v>
      </c>
      <c r="E931">
        <v>2032.15</v>
      </c>
      <c r="F931">
        <v>33</v>
      </c>
      <c r="G931" t="s">
        <v>23</v>
      </c>
      <c r="H931">
        <v>866.42</v>
      </c>
      <c r="I931">
        <v>878.43</v>
      </c>
      <c r="J931" t="s">
        <v>26</v>
      </c>
      <c r="K931">
        <v>0.09</v>
      </c>
      <c r="L931" t="s">
        <v>17</v>
      </c>
      <c r="M931" t="s">
        <v>20</v>
      </c>
    </row>
    <row r="932" spans="1:13" x14ac:dyDescent="0.25">
      <c r="A932">
        <v>1001</v>
      </c>
      <c r="B932" s="1">
        <v>45244</v>
      </c>
      <c r="C932" t="s">
        <v>21</v>
      </c>
      <c r="D932" t="s">
        <v>14</v>
      </c>
      <c r="E932">
        <v>4944.99</v>
      </c>
      <c r="F932">
        <v>36</v>
      </c>
      <c r="G932" t="s">
        <v>15</v>
      </c>
      <c r="H932">
        <v>666.84</v>
      </c>
      <c r="I932">
        <v>682.24</v>
      </c>
      <c r="J932" t="s">
        <v>26</v>
      </c>
      <c r="K932">
        <v>0.16</v>
      </c>
      <c r="L932" t="s">
        <v>24</v>
      </c>
      <c r="M932" t="s">
        <v>20</v>
      </c>
    </row>
    <row r="933" spans="1:13" x14ac:dyDescent="0.25">
      <c r="A933">
        <v>1005</v>
      </c>
      <c r="B933" s="1">
        <v>45010</v>
      </c>
      <c r="C933" t="s">
        <v>13</v>
      </c>
      <c r="D933" t="s">
        <v>19</v>
      </c>
      <c r="E933">
        <v>7442.25</v>
      </c>
      <c r="F933">
        <v>14</v>
      </c>
      <c r="G933" t="s">
        <v>25</v>
      </c>
      <c r="H933">
        <v>1861.2</v>
      </c>
      <c r="I933">
        <v>2075.35</v>
      </c>
      <c r="J933" t="s">
        <v>16</v>
      </c>
      <c r="K933">
        <v>0.1</v>
      </c>
      <c r="L933" t="s">
        <v>27</v>
      </c>
      <c r="M933" t="s">
        <v>20</v>
      </c>
    </row>
    <row r="934" spans="1:13" x14ac:dyDescent="0.25">
      <c r="A934">
        <v>1012</v>
      </c>
      <c r="B934" s="1">
        <v>45244</v>
      </c>
      <c r="C934" t="s">
        <v>21</v>
      </c>
      <c r="D934" t="s">
        <v>14</v>
      </c>
      <c r="E934">
        <v>4976.43</v>
      </c>
      <c r="F934">
        <v>14</v>
      </c>
      <c r="G934" t="s">
        <v>30</v>
      </c>
      <c r="H934">
        <v>1185.5</v>
      </c>
      <c r="I934">
        <v>1271.45</v>
      </c>
      <c r="J934" t="s">
        <v>16</v>
      </c>
      <c r="K934">
        <v>0.03</v>
      </c>
      <c r="L934" t="s">
        <v>24</v>
      </c>
      <c r="M934" t="s">
        <v>20</v>
      </c>
    </row>
    <row r="935" spans="1:13" x14ac:dyDescent="0.25">
      <c r="A935">
        <v>1090</v>
      </c>
      <c r="B935" s="1">
        <v>45037</v>
      </c>
      <c r="C935" t="s">
        <v>21</v>
      </c>
      <c r="D935" t="s">
        <v>19</v>
      </c>
      <c r="E935">
        <v>4883.49</v>
      </c>
      <c r="F935">
        <v>35</v>
      </c>
      <c r="G935" t="s">
        <v>30</v>
      </c>
      <c r="H935">
        <v>1130.5999999999999</v>
      </c>
      <c r="I935">
        <v>1466.1799999999901</v>
      </c>
      <c r="J935" t="s">
        <v>16</v>
      </c>
      <c r="K935">
        <v>0.13</v>
      </c>
      <c r="L935" t="s">
        <v>17</v>
      </c>
      <c r="M935" t="s">
        <v>18</v>
      </c>
    </row>
    <row r="936" spans="1:13" x14ac:dyDescent="0.25">
      <c r="A936">
        <v>1046</v>
      </c>
      <c r="B936" s="1">
        <v>45177</v>
      </c>
      <c r="C936" t="s">
        <v>32</v>
      </c>
      <c r="D936" t="s">
        <v>14</v>
      </c>
      <c r="E936">
        <v>8398.48</v>
      </c>
      <c r="F936">
        <v>30</v>
      </c>
      <c r="G936" t="s">
        <v>15</v>
      </c>
      <c r="H936">
        <v>320.73</v>
      </c>
      <c r="I936">
        <v>678.04</v>
      </c>
      <c r="J936" t="s">
        <v>16</v>
      </c>
      <c r="K936">
        <v>0.08</v>
      </c>
      <c r="L936" t="s">
        <v>17</v>
      </c>
      <c r="M936" t="s">
        <v>20</v>
      </c>
    </row>
    <row r="937" spans="1:13" x14ac:dyDescent="0.25">
      <c r="A937">
        <v>1034</v>
      </c>
      <c r="B937" s="1">
        <v>44933</v>
      </c>
      <c r="C937" t="s">
        <v>21</v>
      </c>
      <c r="D937" t="s">
        <v>19</v>
      </c>
      <c r="E937">
        <v>3677.9</v>
      </c>
      <c r="F937">
        <v>28</v>
      </c>
      <c r="G937" t="s">
        <v>15</v>
      </c>
      <c r="H937">
        <v>137.47</v>
      </c>
      <c r="I937">
        <v>234.63</v>
      </c>
      <c r="J937" t="s">
        <v>26</v>
      </c>
      <c r="K937">
        <v>0.27</v>
      </c>
      <c r="L937" t="s">
        <v>24</v>
      </c>
      <c r="M937" t="s">
        <v>20</v>
      </c>
    </row>
    <row r="938" spans="1:13" x14ac:dyDescent="0.25">
      <c r="A938">
        <v>1049</v>
      </c>
      <c r="B938" s="1">
        <v>45010</v>
      </c>
      <c r="C938" t="s">
        <v>31</v>
      </c>
      <c r="D938" t="s">
        <v>29</v>
      </c>
      <c r="E938">
        <v>8611.9699999999993</v>
      </c>
      <c r="F938">
        <v>17</v>
      </c>
      <c r="G938" t="s">
        <v>30</v>
      </c>
      <c r="H938">
        <v>558.70000000000005</v>
      </c>
      <c r="I938">
        <v>1004.08</v>
      </c>
      <c r="J938" t="s">
        <v>16</v>
      </c>
      <c r="K938">
        <v>0.03</v>
      </c>
      <c r="L938" t="s">
        <v>27</v>
      </c>
      <c r="M938" t="s">
        <v>18</v>
      </c>
    </row>
    <row r="939" spans="1:13" x14ac:dyDescent="0.25">
      <c r="A939">
        <v>1078</v>
      </c>
      <c r="B939" s="1">
        <v>45134</v>
      </c>
      <c r="C939" t="s">
        <v>31</v>
      </c>
      <c r="D939" t="s">
        <v>14</v>
      </c>
      <c r="E939">
        <v>4127.37</v>
      </c>
      <c r="F939">
        <v>3</v>
      </c>
      <c r="G939" t="s">
        <v>25</v>
      </c>
      <c r="H939">
        <v>902.38</v>
      </c>
      <c r="I939">
        <v>1128.9100000000001</v>
      </c>
      <c r="J939" t="s">
        <v>26</v>
      </c>
      <c r="K939">
        <v>0.01</v>
      </c>
      <c r="L939" t="s">
        <v>24</v>
      </c>
      <c r="M939" t="s">
        <v>20</v>
      </c>
    </row>
    <row r="940" spans="1:13" x14ac:dyDescent="0.25">
      <c r="A940">
        <v>1090</v>
      </c>
      <c r="B940" s="1">
        <v>45240</v>
      </c>
      <c r="C940" t="s">
        <v>32</v>
      </c>
      <c r="D940" t="s">
        <v>14</v>
      </c>
      <c r="E940">
        <v>3349.51</v>
      </c>
      <c r="F940">
        <v>16</v>
      </c>
      <c r="G940" t="s">
        <v>25</v>
      </c>
      <c r="H940">
        <v>2183.37</v>
      </c>
      <c r="I940">
        <v>2263.3599999999901</v>
      </c>
      <c r="J940" t="s">
        <v>16</v>
      </c>
      <c r="K940">
        <v>0</v>
      </c>
      <c r="L940" t="s">
        <v>24</v>
      </c>
      <c r="M940" t="s">
        <v>20</v>
      </c>
    </row>
    <row r="941" spans="1:13" x14ac:dyDescent="0.25">
      <c r="A941">
        <v>1045</v>
      </c>
      <c r="B941" s="1">
        <v>44948</v>
      </c>
      <c r="C941" t="s">
        <v>13</v>
      </c>
      <c r="D941" t="s">
        <v>29</v>
      </c>
      <c r="E941">
        <v>4594.5</v>
      </c>
      <c r="F941">
        <v>46</v>
      </c>
      <c r="G941" t="s">
        <v>23</v>
      </c>
      <c r="H941">
        <v>2577.08</v>
      </c>
      <c r="I941">
        <v>2961.56</v>
      </c>
      <c r="J941" t="s">
        <v>16</v>
      </c>
      <c r="K941">
        <v>0.1</v>
      </c>
      <c r="L941" t="s">
        <v>17</v>
      </c>
      <c r="M941" t="s">
        <v>18</v>
      </c>
    </row>
    <row r="942" spans="1:13" x14ac:dyDescent="0.25">
      <c r="A942">
        <v>1027</v>
      </c>
      <c r="B942" s="1">
        <v>44929</v>
      </c>
      <c r="C942" t="s">
        <v>13</v>
      </c>
      <c r="D942" t="s">
        <v>29</v>
      </c>
      <c r="E942">
        <v>7648.22</v>
      </c>
      <c r="F942">
        <v>30</v>
      </c>
      <c r="G942" t="s">
        <v>15</v>
      </c>
      <c r="H942">
        <v>745.93</v>
      </c>
      <c r="I942">
        <v>1143.02</v>
      </c>
      <c r="J942" t="s">
        <v>16</v>
      </c>
      <c r="K942">
        <v>0.2</v>
      </c>
      <c r="L942" t="s">
        <v>27</v>
      </c>
      <c r="M942" t="s">
        <v>18</v>
      </c>
    </row>
    <row r="943" spans="1:13" x14ac:dyDescent="0.25">
      <c r="A943">
        <v>1073</v>
      </c>
      <c r="B943" s="1">
        <v>45053</v>
      </c>
      <c r="C943" t="s">
        <v>21</v>
      </c>
      <c r="D943" t="s">
        <v>14</v>
      </c>
      <c r="E943">
        <v>1347.42</v>
      </c>
      <c r="F943">
        <v>29</v>
      </c>
      <c r="G943" t="s">
        <v>25</v>
      </c>
      <c r="H943">
        <v>2152.6799999999998</v>
      </c>
      <c r="I943">
        <v>2475.9299999999998</v>
      </c>
      <c r="J943" t="s">
        <v>16</v>
      </c>
      <c r="K943">
        <v>0.22</v>
      </c>
      <c r="L943" t="s">
        <v>24</v>
      </c>
      <c r="M943" t="s">
        <v>18</v>
      </c>
    </row>
    <row r="944" spans="1:13" x14ac:dyDescent="0.25">
      <c r="A944">
        <v>1026</v>
      </c>
      <c r="B944" s="1">
        <v>45223</v>
      </c>
      <c r="C944" t="s">
        <v>21</v>
      </c>
      <c r="D944" t="s">
        <v>29</v>
      </c>
      <c r="E944">
        <v>2044.55</v>
      </c>
      <c r="F944">
        <v>45</v>
      </c>
      <c r="G944" t="s">
        <v>23</v>
      </c>
      <c r="H944">
        <v>1741.66</v>
      </c>
      <c r="I944">
        <v>2169.86</v>
      </c>
      <c r="J944" t="s">
        <v>16</v>
      </c>
      <c r="K944">
        <v>0.14000000000000001</v>
      </c>
      <c r="L944" t="s">
        <v>27</v>
      </c>
      <c r="M944" t="s">
        <v>18</v>
      </c>
    </row>
    <row r="945" spans="1:13" x14ac:dyDescent="0.25">
      <c r="A945">
        <v>1047</v>
      </c>
      <c r="B945" s="1">
        <v>45114</v>
      </c>
      <c r="C945" t="s">
        <v>21</v>
      </c>
      <c r="D945" t="s">
        <v>22</v>
      </c>
      <c r="E945">
        <v>9519.2999999999993</v>
      </c>
      <c r="F945">
        <v>15</v>
      </c>
      <c r="G945" t="s">
        <v>25</v>
      </c>
      <c r="H945">
        <v>957.95</v>
      </c>
      <c r="I945">
        <v>1329.26</v>
      </c>
      <c r="J945" t="s">
        <v>26</v>
      </c>
      <c r="K945">
        <v>0.21</v>
      </c>
      <c r="L945" t="s">
        <v>17</v>
      </c>
      <c r="M945" t="s">
        <v>18</v>
      </c>
    </row>
    <row r="946" spans="1:13" x14ac:dyDescent="0.25">
      <c r="A946">
        <v>1086</v>
      </c>
      <c r="B946" s="1">
        <v>45288</v>
      </c>
      <c r="C946" t="s">
        <v>13</v>
      </c>
      <c r="D946" t="s">
        <v>19</v>
      </c>
      <c r="E946">
        <v>1837.37</v>
      </c>
      <c r="F946">
        <v>46</v>
      </c>
      <c r="G946" t="s">
        <v>15</v>
      </c>
      <c r="H946">
        <v>83.86</v>
      </c>
      <c r="I946">
        <v>526.14</v>
      </c>
      <c r="J946" t="s">
        <v>16</v>
      </c>
      <c r="K946">
        <v>0.11</v>
      </c>
      <c r="L946" t="s">
        <v>27</v>
      </c>
      <c r="M946" t="s">
        <v>18</v>
      </c>
    </row>
    <row r="947" spans="1:13" x14ac:dyDescent="0.25">
      <c r="A947">
        <v>1056</v>
      </c>
      <c r="B947" s="1">
        <v>44940</v>
      </c>
      <c r="C947" t="s">
        <v>28</v>
      </c>
      <c r="D947" t="s">
        <v>19</v>
      </c>
      <c r="E947">
        <v>5720.5</v>
      </c>
      <c r="F947">
        <v>25</v>
      </c>
      <c r="G947" t="s">
        <v>23</v>
      </c>
      <c r="H947">
        <v>2361.7399999999998</v>
      </c>
      <c r="I947">
        <v>2584.35</v>
      </c>
      <c r="J947" t="s">
        <v>16</v>
      </c>
      <c r="K947">
        <v>0.2</v>
      </c>
      <c r="L947" t="s">
        <v>17</v>
      </c>
      <c r="M947" t="s">
        <v>18</v>
      </c>
    </row>
    <row r="948" spans="1:13" x14ac:dyDescent="0.25">
      <c r="A948">
        <v>1094</v>
      </c>
      <c r="B948" s="1">
        <v>44938</v>
      </c>
      <c r="C948" t="s">
        <v>31</v>
      </c>
      <c r="D948" t="s">
        <v>19</v>
      </c>
      <c r="E948">
        <v>5835.21</v>
      </c>
      <c r="F948">
        <v>38</v>
      </c>
      <c r="G948" t="s">
        <v>23</v>
      </c>
      <c r="H948">
        <v>3443.98</v>
      </c>
      <c r="I948">
        <v>3820.3</v>
      </c>
      <c r="J948" t="s">
        <v>16</v>
      </c>
      <c r="K948">
        <v>0.01</v>
      </c>
      <c r="L948" t="s">
        <v>27</v>
      </c>
      <c r="M948" t="s">
        <v>20</v>
      </c>
    </row>
    <row r="949" spans="1:13" x14ac:dyDescent="0.25">
      <c r="A949">
        <v>1063</v>
      </c>
      <c r="B949" s="1">
        <v>45013</v>
      </c>
      <c r="C949" t="s">
        <v>28</v>
      </c>
      <c r="D949" t="s">
        <v>22</v>
      </c>
      <c r="E949">
        <v>4947.28</v>
      </c>
      <c r="F949">
        <v>42</v>
      </c>
      <c r="G949" t="s">
        <v>23</v>
      </c>
      <c r="H949">
        <v>1170.07</v>
      </c>
      <c r="I949">
        <v>1669.94999999999</v>
      </c>
      <c r="J949" t="s">
        <v>16</v>
      </c>
      <c r="K949">
        <v>0.12</v>
      </c>
      <c r="L949" t="s">
        <v>24</v>
      </c>
      <c r="M949" t="s">
        <v>20</v>
      </c>
    </row>
    <row r="950" spans="1:13" x14ac:dyDescent="0.25">
      <c r="A950">
        <v>1048</v>
      </c>
      <c r="B950" s="1">
        <v>44938</v>
      </c>
      <c r="C950" t="s">
        <v>28</v>
      </c>
      <c r="D950" t="s">
        <v>29</v>
      </c>
      <c r="E950">
        <v>6482.98</v>
      </c>
      <c r="F950">
        <v>47</v>
      </c>
      <c r="G950" t="s">
        <v>25</v>
      </c>
      <c r="H950">
        <v>702.44</v>
      </c>
      <c r="I950">
        <v>1067.6600000000001</v>
      </c>
      <c r="J950" t="s">
        <v>26</v>
      </c>
      <c r="K950">
        <v>0.24</v>
      </c>
      <c r="L950" t="s">
        <v>17</v>
      </c>
      <c r="M950" t="s">
        <v>20</v>
      </c>
    </row>
    <row r="951" spans="1:13" x14ac:dyDescent="0.25">
      <c r="A951">
        <v>1061</v>
      </c>
      <c r="B951" s="1">
        <v>44951</v>
      </c>
      <c r="C951" t="s">
        <v>13</v>
      </c>
      <c r="D951" t="s">
        <v>29</v>
      </c>
      <c r="E951">
        <v>2375.2800000000002</v>
      </c>
      <c r="F951">
        <v>38</v>
      </c>
      <c r="G951" t="s">
        <v>15</v>
      </c>
      <c r="H951">
        <v>4440.8599999999997</v>
      </c>
      <c r="I951">
        <v>4506.8099999999904</v>
      </c>
      <c r="J951" t="s">
        <v>16</v>
      </c>
      <c r="K951">
        <v>0.24</v>
      </c>
      <c r="L951" t="s">
        <v>24</v>
      </c>
      <c r="M951" t="s">
        <v>18</v>
      </c>
    </row>
    <row r="952" spans="1:13" x14ac:dyDescent="0.25">
      <c r="A952">
        <v>1081</v>
      </c>
      <c r="B952" s="1">
        <v>45227</v>
      </c>
      <c r="C952" t="s">
        <v>28</v>
      </c>
      <c r="D952" t="s">
        <v>14</v>
      </c>
      <c r="E952">
        <v>5571.36</v>
      </c>
      <c r="F952">
        <v>23</v>
      </c>
      <c r="G952" t="s">
        <v>23</v>
      </c>
      <c r="H952">
        <v>1411.37</v>
      </c>
      <c r="I952">
        <v>1675.35</v>
      </c>
      <c r="J952" t="s">
        <v>26</v>
      </c>
      <c r="K952">
        <v>0.21</v>
      </c>
      <c r="L952" t="s">
        <v>17</v>
      </c>
      <c r="M952" t="s">
        <v>20</v>
      </c>
    </row>
    <row r="953" spans="1:13" x14ac:dyDescent="0.25">
      <c r="A953">
        <v>1026</v>
      </c>
      <c r="B953" s="1">
        <v>45169</v>
      </c>
      <c r="C953" t="s">
        <v>32</v>
      </c>
      <c r="D953" t="s">
        <v>29</v>
      </c>
      <c r="E953">
        <v>3784.52</v>
      </c>
      <c r="F953">
        <v>25</v>
      </c>
      <c r="G953" t="s">
        <v>30</v>
      </c>
      <c r="H953">
        <v>1156.8800000000001</v>
      </c>
      <c r="I953">
        <v>1454.68</v>
      </c>
      <c r="J953" t="s">
        <v>16</v>
      </c>
      <c r="K953">
        <v>0.06</v>
      </c>
      <c r="L953" t="s">
        <v>27</v>
      </c>
      <c r="M953" t="s">
        <v>18</v>
      </c>
    </row>
    <row r="954" spans="1:13" x14ac:dyDescent="0.25">
      <c r="A954">
        <v>1036</v>
      </c>
      <c r="B954" s="1">
        <v>45048</v>
      </c>
      <c r="C954" t="s">
        <v>21</v>
      </c>
      <c r="D954" t="s">
        <v>14</v>
      </c>
      <c r="E954">
        <v>6650.51</v>
      </c>
      <c r="F954">
        <v>42</v>
      </c>
      <c r="G954" t="s">
        <v>15</v>
      </c>
      <c r="H954">
        <v>4292.63</v>
      </c>
      <c r="I954">
        <v>4387.99</v>
      </c>
      <c r="J954" t="s">
        <v>26</v>
      </c>
      <c r="K954">
        <v>7.0000000000000007E-2</v>
      </c>
      <c r="L954" t="s">
        <v>27</v>
      </c>
      <c r="M954" t="s">
        <v>20</v>
      </c>
    </row>
    <row r="955" spans="1:13" x14ac:dyDescent="0.25">
      <c r="A955">
        <v>1001</v>
      </c>
      <c r="B955" s="1">
        <v>45073</v>
      </c>
      <c r="C955" t="s">
        <v>32</v>
      </c>
      <c r="D955" t="s">
        <v>22</v>
      </c>
      <c r="E955">
        <v>1498.11</v>
      </c>
      <c r="F955">
        <v>7</v>
      </c>
      <c r="G955" t="s">
        <v>30</v>
      </c>
      <c r="H955">
        <v>4094.68</v>
      </c>
      <c r="I955">
        <v>4576.5</v>
      </c>
      <c r="J955" t="s">
        <v>26</v>
      </c>
      <c r="K955">
        <v>0.3</v>
      </c>
      <c r="L955" t="s">
        <v>17</v>
      </c>
      <c r="M955" t="s">
        <v>20</v>
      </c>
    </row>
    <row r="956" spans="1:13" x14ac:dyDescent="0.25">
      <c r="A956">
        <v>1008</v>
      </c>
      <c r="B956" s="1">
        <v>44981</v>
      </c>
      <c r="C956" t="s">
        <v>31</v>
      </c>
      <c r="D956" t="s">
        <v>19</v>
      </c>
      <c r="E956">
        <v>5751.69</v>
      </c>
      <c r="F956">
        <v>22</v>
      </c>
      <c r="G956" t="s">
        <v>30</v>
      </c>
      <c r="H956">
        <v>2269.3200000000002</v>
      </c>
      <c r="I956">
        <v>2365.35</v>
      </c>
      <c r="J956" t="s">
        <v>26</v>
      </c>
      <c r="K956">
        <v>0.03</v>
      </c>
      <c r="L956" t="s">
        <v>17</v>
      </c>
      <c r="M956" t="s">
        <v>20</v>
      </c>
    </row>
    <row r="957" spans="1:13" x14ac:dyDescent="0.25">
      <c r="A957">
        <v>1099</v>
      </c>
      <c r="B957" s="1">
        <v>45164</v>
      </c>
      <c r="C957" t="s">
        <v>21</v>
      </c>
      <c r="D957" t="s">
        <v>19</v>
      </c>
      <c r="E957">
        <v>1934.18</v>
      </c>
      <c r="F957">
        <v>17</v>
      </c>
      <c r="G957" t="s">
        <v>23</v>
      </c>
      <c r="H957">
        <v>2471.73</v>
      </c>
      <c r="I957">
        <v>2568.73</v>
      </c>
      <c r="J957" t="s">
        <v>26</v>
      </c>
      <c r="K957">
        <v>0.05</v>
      </c>
      <c r="L957" t="s">
        <v>17</v>
      </c>
      <c r="M957" t="s">
        <v>20</v>
      </c>
    </row>
    <row r="958" spans="1:13" x14ac:dyDescent="0.25">
      <c r="A958">
        <v>1052</v>
      </c>
      <c r="B958" s="1">
        <v>45282</v>
      </c>
      <c r="C958" t="s">
        <v>28</v>
      </c>
      <c r="D958" t="s">
        <v>19</v>
      </c>
      <c r="E958">
        <v>2858.57</v>
      </c>
      <c r="F958">
        <v>18</v>
      </c>
      <c r="G958" t="s">
        <v>23</v>
      </c>
      <c r="H958">
        <v>1127.8599999999999</v>
      </c>
      <c r="I958">
        <v>1586.29</v>
      </c>
      <c r="J958" t="s">
        <v>26</v>
      </c>
      <c r="K958">
        <v>0.04</v>
      </c>
      <c r="L958" t="s">
        <v>27</v>
      </c>
      <c r="M958" t="s">
        <v>18</v>
      </c>
    </row>
    <row r="959" spans="1:13" x14ac:dyDescent="0.25">
      <c r="A959">
        <v>1079</v>
      </c>
      <c r="B959" s="1">
        <v>45099</v>
      </c>
      <c r="C959" t="s">
        <v>31</v>
      </c>
      <c r="D959" t="s">
        <v>29</v>
      </c>
      <c r="E959">
        <v>2265.23</v>
      </c>
      <c r="F959">
        <v>49</v>
      </c>
      <c r="G959" t="s">
        <v>25</v>
      </c>
      <c r="H959">
        <v>437.59</v>
      </c>
      <c r="I959">
        <v>675.54</v>
      </c>
      <c r="J959" t="s">
        <v>16</v>
      </c>
      <c r="K959">
        <v>0.1</v>
      </c>
      <c r="L959" t="s">
        <v>17</v>
      </c>
      <c r="M959" t="s">
        <v>18</v>
      </c>
    </row>
    <row r="960" spans="1:13" x14ac:dyDescent="0.25">
      <c r="A960">
        <v>1047</v>
      </c>
      <c r="B960" s="1">
        <v>45147</v>
      </c>
      <c r="C960" t="s">
        <v>21</v>
      </c>
      <c r="D960" t="s">
        <v>14</v>
      </c>
      <c r="E960">
        <v>1910.09</v>
      </c>
      <c r="F960">
        <v>41</v>
      </c>
      <c r="G960" t="s">
        <v>25</v>
      </c>
      <c r="H960">
        <v>2888.49</v>
      </c>
      <c r="I960">
        <v>2929.45</v>
      </c>
      <c r="J960" t="s">
        <v>26</v>
      </c>
      <c r="K960">
        <v>0.06</v>
      </c>
      <c r="L960" t="s">
        <v>17</v>
      </c>
      <c r="M960" t="s">
        <v>20</v>
      </c>
    </row>
    <row r="961" spans="1:13" x14ac:dyDescent="0.25">
      <c r="A961">
        <v>1056</v>
      </c>
      <c r="B961" s="1">
        <v>45045</v>
      </c>
      <c r="C961" t="s">
        <v>28</v>
      </c>
      <c r="D961" t="s">
        <v>14</v>
      </c>
      <c r="E961">
        <v>8274.5400000000009</v>
      </c>
      <c r="F961">
        <v>10</v>
      </c>
      <c r="G961" t="s">
        <v>25</v>
      </c>
      <c r="H961">
        <v>536.80999999999995</v>
      </c>
      <c r="I961">
        <v>839.92</v>
      </c>
      <c r="J961" t="s">
        <v>16</v>
      </c>
      <c r="K961">
        <v>0.15</v>
      </c>
      <c r="L961" t="s">
        <v>24</v>
      </c>
      <c r="M961" t="s">
        <v>18</v>
      </c>
    </row>
    <row r="962" spans="1:13" x14ac:dyDescent="0.25">
      <c r="A962">
        <v>1086</v>
      </c>
      <c r="B962" s="1">
        <v>45235</v>
      </c>
      <c r="C962" t="s">
        <v>32</v>
      </c>
      <c r="D962" t="s">
        <v>22</v>
      </c>
      <c r="E962">
        <v>2928.5</v>
      </c>
      <c r="F962">
        <v>10</v>
      </c>
      <c r="G962" t="s">
        <v>15</v>
      </c>
      <c r="H962">
        <v>2273.91</v>
      </c>
      <c r="I962">
        <v>2578.7999999999902</v>
      </c>
      <c r="J962" t="s">
        <v>26</v>
      </c>
      <c r="K962">
        <v>0.14000000000000001</v>
      </c>
      <c r="L962" t="s">
        <v>17</v>
      </c>
      <c r="M962" t="s">
        <v>18</v>
      </c>
    </row>
    <row r="963" spans="1:13" x14ac:dyDescent="0.25">
      <c r="A963">
        <v>1014</v>
      </c>
      <c r="B963" s="1">
        <v>45109</v>
      </c>
      <c r="C963" t="s">
        <v>21</v>
      </c>
      <c r="D963" t="s">
        <v>29</v>
      </c>
      <c r="E963">
        <v>9278.5300000000007</v>
      </c>
      <c r="F963">
        <v>7</v>
      </c>
      <c r="G963" t="s">
        <v>25</v>
      </c>
      <c r="H963">
        <v>4705.46</v>
      </c>
      <c r="I963">
        <v>4747.07</v>
      </c>
      <c r="J963" t="s">
        <v>26</v>
      </c>
      <c r="K963">
        <v>0.27</v>
      </c>
      <c r="L963" t="s">
        <v>24</v>
      </c>
      <c r="M963" t="s">
        <v>20</v>
      </c>
    </row>
    <row r="964" spans="1:13" x14ac:dyDescent="0.25">
      <c r="A964">
        <v>1090</v>
      </c>
      <c r="B964" s="1">
        <v>45214</v>
      </c>
      <c r="C964" t="s">
        <v>28</v>
      </c>
      <c r="D964" t="s">
        <v>22</v>
      </c>
      <c r="E964">
        <v>9702.27</v>
      </c>
      <c r="F964">
        <v>48</v>
      </c>
      <c r="G964" t="s">
        <v>30</v>
      </c>
      <c r="H964">
        <v>4766.53</v>
      </c>
      <c r="I964">
        <v>5253.07</v>
      </c>
      <c r="J964" t="s">
        <v>16</v>
      </c>
      <c r="K964">
        <v>0.01</v>
      </c>
      <c r="L964" t="s">
        <v>24</v>
      </c>
      <c r="M964" t="s">
        <v>18</v>
      </c>
    </row>
    <row r="965" spans="1:13" x14ac:dyDescent="0.25">
      <c r="A965">
        <v>1028</v>
      </c>
      <c r="B965" s="1">
        <v>45233</v>
      </c>
      <c r="C965" t="s">
        <v>32</v>
      </c>
      <c r="D965" t="s">
        <v>14</v>
      </c>
      <c r="E965">
        <v>5755.48</v>
      </c>
      <c r="F965">
        <v>38</v>
      </c>
      <c r="G965" t="s">
        <v>25</v>
      </c>
      <c r="H965">
        <v>1234.69</v>
      </c>
      <c r="I965">
        <v>1511.26</v>
      </c>
      <c r="J965" t="s">
        <v>26</v>
      </c>
      <c r="K965">
        <v>0.1</v>
      </c>
      <c r="L965" t="s">
        <v>24</v>
      </c>
      <c r="M965" t="s">
        <v>18</v>
      </c>
    </row>
    <row r="966" spans="1:13" x14ac:dyDescent="0.25">
      <c r="A966">
        <v>1087</v>
      </c>
      <c r="B966" s="1">
        <v>45226</v>
      </c>
      <c r="C966" t="s">
        <v>31</v>
      </c>
      <c r="D966" t="s">
        <v>14</v>
      </c>
      <c r="E966">
        <v>1515.71</v>
      </c>
      <c r="F966">
        <v>27</v>
      </c>
      <c r="G966" t="s">
        <v>23</v>
      </c>
      <c r="H966">
        <v>3139.36</v>
      </c>
      <c r="I966">
        <v>3423.66</v>
      </c>
      <c r="J966" t="s">
        <v>26</v>
      </c>
      <c r="K966">
        <v>0.18</v>
      </c>
      <c r="L966" t="s">
        <v>27</v>
      </c>
      <c r="M966" t="s">
        <v>18</v>
      </c>
    </row>
    <row r="967" spans="1:13" x14ac:dyDescent="0.25">
      <c r="A967">
        <v>1078</v>
      </c>
      <c r="B967" s="1">
        <v>45008</v>
      </c>
      <c r="C967" t="s">
        <v>31</v>
      </c>
      <c r="D967" t="s">
        <v>19</v>
      </c>
      <c r="E967">
        <v>3808.03</v>
      </c>
      <c r="F967">
        <v>33</v>
      </c>
      <c r="G967" t="s">
        <v>25</v>
      </c>
      <c r="H967">
        <v>2396.6799999999998</v>
      </c>
      <c r="I967">
        <v>2661.54</v>
      </c>
      <c r="J967" t="s">
        <v>26</v>
      </c>
      <c r="K967">
        <v>0.18</v>
      </c>
      <c r="L967" t="s">
        <v>24</v>
      </c>
      <c r="M967" t="s">
        <v>18</v>
      </c>
    </row>
    <row r="968" spans="1:13" x14ac:dyDescent="0.25">
      <c r="A968">
        <v>1088</v>
      </c>
      <c r="B968" s="1">
        <v>45137</v>
      </c>
      <c r="C968" t="s">
        <v>31</v>
      </c>
      <c r="D968" t="s">
        <v>29</v>
      </c>
      <c r="E968">
        <v>7997.55</v>
      </c>
      <c r="F968">
        <v>1</v>
      </c>
      <c r="G968" t="s">
        <v>15</v>
      </c>
      <c r="H968">
        <v>4384.6400000000003</v>
      </c>
      <c r="I968">
        <v>4693.8999999999996</v>
      </c>
      <c r="J968" t="s">
        <v>26</v>
      </c>
      <c r="K968">
        <v>0.14000000000000001</v>
      </c>
      <c r="L968" t="s">
        <v>17</v>
      </c>
      <c r="M968" t="s">
        <v>20</v>
      </c>
    </row>
    <row r="969" spans="1:13" x14ac:dyDescent="0.25">
      <c r="A969">
        <v>1002</v>
      </c>
      <c r="B969" s="1">
        <v>45076</v>
      </c>
      <c r="C969" t="s">
        <v>31</v>
      </c>
      <c r="D969" t="s">
        <v>14</v>
      </c>
      <c r="E969">
        <v>3737.17</v>
      </c>
      <c r="F969">
        <v>44</v>
      </c>
      <c r="G969" t="s">
        <v>15</v>
      </c>
      <c r="H969">
        <v>1393.58</v>
      </c>
      <c r="I969">
        <v>1533.09</v>
      </c>
      <c r="J969" t="s">
        <v>16</v>
      </c>
      <c r="K969">
        <v>0.24</v>
      </c>
      <c r="L969" t="s">
        <v>27</v>
      </c>
      <c r="M969" t="s">
        <v>20</v>
      </c>
    </row>
    <row r="970" spans="1:13" x14ac:dyDescent="0.25">
      <c r="A970">
        <v>1026</v>
      </c>
      <c r="B970" s="1">
        <v>44963</v>
      </c>
      <c r="C970" t="s">
        <v>13</v>
      </c>
      <c r="D970" t="s">
        <v>19</v>
      </c>
      <c r="E970">
        <v>961.47</v>
      </c>
      <c r="F970">
        <v>34</v>
      </c>
      <c r="G970" t="s">
        <v>30</v>
      </c>
      <c r="H970">
        <v>68.33</v>
      </c>
      <c r="I970">
        <v>219.07999999999899</v>
      </c>
      <c r="J970" t="s">
        <v>26</v>
      </c>
      <c r="K970">
        <v>0.02</v>
      </c>
      <c r="L970" t="s">
        <v>27</v>
      </c>
      <c r="M970" t="s">
        <v>18</v>
      </c>
    </row>
    <row r="971" spans="1:13" x14ac:dyDescent="0.25">
      <c r="A971">
        <v>1014</v>
      </c>
      <c r="B971" s="1">
        <v>45278</v>
      </c>
      <c r="C971" t="s">
        <v>21</v>
      </c>
      <c r="D971" t="s">
        <v>29</v>
      </c>
      <c r="E971">
        <v>5612.17</v>
      </c>
      <c r="F971">
        <v>4</v>
      </c>
      <c r="G971" t="s">
        <v>15</v>
      </c>
      <c r="H971">
        <v>854.68</v>
      </c>
      <c r="I971">
        <v>1115.24</v>
      </c>
      <c r="J971" t="s">
        <v>26</v>
      </c>
      <c r="K971">
        <v>0.24</v>
      </c>
      <c r="L971" t="s">
        <v>27</v>
      </c>
      <c r="M971" t="s">
        <v>20</v>
      </c>
    </row>
    <row r="972" spans="1:13" x14ac:dyDescent="0.25">
      <c r="A972">
        <v>1059</v>
      </c>
      <c r="B972" s="1">
        <v>45238</v>
      </c>
      <c r="C972" t="s">
        <v>21</v>
      </c>
      <c r="D972" t="s">
        <v>22</v>
      </c>
      <c r="E972">
        <v>8466.7000000000007</v>
      </c>
      <c r="F972">
        <v>17</v>
      </c>
      <c r="G972" t="s">
        <v>25</v>
      </c>
      <c r="H972">
        <v>1780.14</v>
      </c>
      <c r="I972">
        <v>2185.42</v>
      </c>
      <c r="J972" t="s">
        <v>16</v>
      </c>
      <c r="K972">
        <v>0.15</v>
      </c>
      <c r="L972" t="s">
        <v>27</v>
      </c>
      <c r="M972" t="s">
        <v>20</v>
      </c>
    </row>
    <row r="973" spans="1:13" x14ac:dyDescent="0.25">
      <c r="A973">
        <v>1056</v>
      </c>
      <c r="B973" s="1">
        <v>45287</v>
      </c>
      <c r="C973" t="s">
        <v>13</v>
      </c>
      <c r="D973" t="s">
        <v>29</v>
      </c>
      <c r="E973">
        <v>7979.67</v>
      </c>
      <c r="F973">
        <v>4</v>
      </c>
      <c r="G973" t="s">
        <v>23</v>
      </c>
      <c r="H973">
        <v>1612.82</v>
      </c>
      <c r="I973">
        <v>1647.25</v>
      </c>
      <c r="J973" t="s">
        <v>16</v>
      </c>
      <c r="K973">
        <v>0.04</v>
      </c>
      <c r="L973" t="s">
        <v>27</v>
      </c>
      <c r="M973" t="s">
        <v>20</v>
      </c>
    </row>
    <row r="974" spans="1:13" x14ac:dyDescent="0.25">
      <c r="A974">
        <v>1007</v>
      </c>
      <c r="B974" s="1">
        <v>44985</v>
      </c>
      <c r="C974" t="s">
        <v>28</v>
      </c>
      <c r="D974" t="s">
        <v>29</v>
      </c>
      <c r="E974">
        <v>1833.72</v>
      </c>
      <c r="F974">
        <v>43</v>
      </c>
      <c r="G974" t="s">
        <v>15</v>
      </c>
      <c r="H974">
        <v>3967.25</v>
      </c>
      <c r="I974">
        <v>4272.92</v>
      </c>
      <c r="J974" t="s">
        <v>26</v>
      </c>
      <c r="K974">
        <v>0.27</v>
      </c>
      <c r="L974" t="s">
        <v>27</v>
      </c>
      <c r="M974" t="s">
        <v>18</v>
      </c>
    </row>
    <row r="975" spans="1:13" x14ac:dyDescent="0.25">
      <c r="A975">
        <v>1003</v>
      </c>
      <c r="B975" s="1">
        <v>45057</v>
      </c>
      <c r="C975" t="s">
        <v>28</v>
      </c>
      <c r="D975" t="s">
        <v>14</v>
      </c>
      <c r="E975">
        <v>6760.37</v>
      </c>
      <c r="F975">
        <v>26</v>
      </c>
      <c r="G975" t="s">
        <v>30</v>
      </c>
      <c r="H975">
        <v>3418.78</v>
      </c>
      <c r="I975">
        <v>3824.1</v>
      </c>
      <c r="J975" t="s">
        <v>26</v>
      </c>
      <c r="K975">
        <v>0.19</v>
      </c>
      <c r="L975" t="s">
        <v>27</v>
      </c>
      <c r="M975" t="s">
        <v>18</v>
      </c>
    </row>
    <row r="976" spans="1:13" x14ac:dyDescent="0.25">
      <c r="A976">
        <v>1023</v>
      </c>
      <c r="B976" s="1">
        <v>45128</v>
      </c>
      <c r="C976" t="s">
        <v>31</v>
      </c>
      <c r="D976" t="s">
        <v>14</v>
      </c>
      <c r="E976">
        <v>2282.9899999999998</v>
      </c>
      <c r="F976">
        <v>4</v>
      </c>
      <c r="G976" t="s">
        <v>25</v>
      </c>
      <c r="H976">
        <v>1532.8</v>
      </c>
      <c r="I976">
        <v>1619.69</v>
      </c>
      <c r="J976" t="s">
        <v>16</v>
      </c>
      <c r="K976">
        <v>0.05</v>
      </c>
      <c r="L976" t="s">
        <v>24</v>
      </c>
      <c r="M976" t="s">
        <v>20</v>
      </c>
    </row>
    <row r="977" spans="1:13" x14ac:dyDescent="0.25">
      <c r="A977">
        <v>1018</v>
      </c>
      <c r="B977" s="1">
        <v>45169</v>
      </c>
      <c r="C977" t="s">
        <v>32</v>
      </c>
      <c r="D977" t="s">
        <v>29</v>
      </c>
      <c r="E977">
        <v>2260.25</v>
      </c>
      <c r="F977">
        <v>1</v>
      </c>
      <c r="G977" t="s">
        <v>30</v>
      </c>
      <c r="H977">
        <v>2315.83</v>
      </c>
      <c r="I977">
        <v>2333.19</v>
      </c>
      <c r="J977" t="s">
        <v>26</v>
      </c>
      <c r="K977">
        <v>0.01</v>
      </c>
      <c r="L977" t="s">
        <v>17</v>
      </c>
      <c r="M977" t="s">
        <v>20</v>
      </c>
    </row>
    <row r="978" spans="1:13" x14ac:dyDescent="0.25">
      <c r="A978">
        <v>1038</v>
      </c>
      <c r="B978" s="1">
        <v>44961</v>
      </c>
      <c r="C978" t="s">
        <v>28</v>
      </c>
      <c r="D978" t="s">
        <v>14</v>
      </c>
      <c r="E978">
        <v>8753.31</v>
      </c>
      <c r="F978">
        <v>7</v>
      </c>
      <c r="G978" t="s">
        <v>15</v>
      </c>
      <c r="H978">
        <v>523.02</v>
      </c>
      <c r="I978">
        <v>686.25</v>
      </c>
      <c r="J978" t="s">
        <v>16</v>
      </c>
      <c r="K978">
        <v>0.04</v>
      </c>
      <c r="L978" t="s">
        <v>17</v>
      </c>
      <c r="M978" t="s">
        <v>18</v>
      </c>
    </row>
    <row r="979" spans="1:13" x14ac:dyDescent="0.25">
      <c r="A979">
        <v>1099</v>
      </c>
      <c r="B979" s="1">
        <v>45019</v>
      </c>
      <c r="C979" t="s">
        <v>32</v>
      </c>
      <c r="D979" t="s">
        <v>14</v>
      </c>
      <c r="E979">
        <v>2571.7199999999998</v>
      </c>
      <c r="F979">
        <v>30</v>
      </c>
      <c r="G979" t="s">
        <v>15</v>
      </c>
      <c r="H979">
        <v>4495.82</v>
      </c>
      <c r="I979">
        <v>4794.0099999999902</v>
      </c>
      <c r="J979" t="s">
        <v>26</v>
      </c>
      <c r="K979">
        <v>0.18</v>
      </c>
      <c r="L979" t="s">
        <v>24</v>
      </c>
      <c r="M979" t="s">
        <v>20</v>
      </c>
    </row>
    <row r="980" spans="1:13" x14ac:dyDescent="0.25">
      <c r="A980">
        <v>1015</v>
      </c>
      <c r="B980" s="1">
        <v>45133</v>
      </c>
      <c r="C980" t="s">
        <v>21</v>
      </c>
      <c r="D980" t="s">
        <v>14</v>
      </c>
      <c r="E980">
        <v>2706.15</v>
      </c>
      <c r="F980">
        <v>9</v>
      </c>
      <c r="G980" t="s">
        <v>30</v>
      </c>
      <c r="H980">
        <v>4680.3500000000004</v>
      </c>
      <c r="I980">
        <v>4758.1099999999997</v>
      </c>
      <c r="J980" t="s">
        <v>16</v>
      </c>
      <c r="K980">
        <v>0.05</v>
      </c>
      <c r="L980" t="s">
        <v>24</v>
      </c>
      <c r="M980" t="s">
        <v>18</v>
      </c>
    </row>
    <row r="981" spans="1:13" x14ac:dyDescent="0.25">
      <c r="A981">
        <v>1064</v>
      </c>
      <c r="B981" s="1">
        <v>45279</v>
      </c>
      <c r="C981" t="s">
        <v>32</v>
      </c>
      <c r="D981" t="s">
        <v>19</v>
      </c>
      <c r="E981">
        <v>106.47</v>
      </c>
      <c r="F981">
        <v>35</v>
      </c>
      <c r="G981" t="s">
        <v>25</v>
      </c>
      <c r="H981">
        <v>4900.03</v>
      </c>
      <c r="I981">
        <v>5118.83</v>
      </c>
      <c r="J981" t="s">
        <v>16</v>
      </c>
      <c r="K981">
        <v>7.0000000000000007E-2</v>
      </c>
      <c r="L981" t="s">
        <v>27</v>
      </c>
      <c r="M981" t="s">
        <v>20</v>
      </c>
    </row>
    <row r="982" spans="1:13" x14ac:dyDescent="0.25">
      <c r="A982">
        <v>1089</v>
      </c>
      <c r="B982" s="1">
        <v>45258</v>
      </c>
      <c r="C982" t="s">
        <v>21</v>
      </c>
      <c r="D982" t="s">
        <v>19</v>
      </c>
      <c r="E982">
        <v>8719.6200000000008</v>
      </c>
      <c r="F982">
        <v>8</v>
      </c>
      <c r="G982" t="s">
        <v>15</v>
      </c>
      <c r="H982">
        <v>4349.34</v>
      </c>
      <c r="I982">
        <v>4629.9799999999996</v>
      </c>
      <c r="J982" t="s">
        <v>16</v>
      </c>
      <c r="K982">
        <v>0.01</v>
      </c>
      <c r="L982" t="s">
        <v>27</v>
      </c>
      <c r="M982" t="s">
        <v>18</v>
      </c>
    </row>
    <row r="983" spans="1:13" x14ac:dyDescent="0.25">
      <c r="A983">
        <v>1028</v>
      </c>
      <c r="B983" s="1">
        <v>45231</v>
      </c>
      <c r="C983" t="s">
        <v>13</v>
      </c>
      <c r="D983" t="s">
        <v>29</v>
      </c>
      <c r="E983">
        <v>7946.69</v>
      </c>
      <c r="F983">
        <v>24</v>
      </c>
      <c r="G983" t="s">
        <v>23</v>
      </c>
      <c r="H983">
        <v>911.11</v>
      </c>
      <c r="I983">
        <v>1214.56</v>
      </c>
      <c r="J983" t="s">
        <v>26</v>
      </c>
      <c r="K983">
        <v>0.22</v>
      </c>
      <c r="L983" t="s">
        <v>24</v>
      </c>
      <c r="M983" t="s">
        <v>18</v>
      </c>
    </row>
    <row r="984" spans="1:13" x14ac:dyDescent="0.25">
      <c r="A984">
        <v>1074</v>
      </c>
      <c r="B984" s="1">
        <v>45276</v>
      </c>
      <c r="C984" t="s">
        <v>13</v>
      </c>
      <c r="D984" t="s">
        <v>14</v>
      </c>
      <c r="E984">
        <v>6310.56</v>
      </c>
      <c r="F984">
        <v>19</v>
      </c>
      <c r="G984" t="s">
        <v>15</v>
      </c>
      <c r="H984">
        <v>278.67</v>
      </c>
      <c r="I984">
        <v>423.13</v>
      </c>
      <c r="J984" t="s">
        <v>26</v>
      </c>
      <c r="K984">
        <v>0.24</v>
      </c>
      <c r="L984" t="s">
        <v>27</v>
      </c>
      <c r="M984" t="s">
        <v>18</v>
      </c>
    </row>
    <row r="985" spans="1:13" x14ac:dyDescent="0.25">
      <c r="A985">
        <v>1039</v>
      </c>
      <c r="B985" s="1">
        <v>45139</v>
      </c>
      <c r="C985" t="s">
        <v>31</v>
      </c>
      <c r="D985" t="s">
        <v>19</v>
      </c>
      <c r="E985">
        <v>7527.63</v>
      </c>
      <c r="F985">
        <v>36</v>
      </c>
      <c r="G985" t="s">
        <v>25</v>
      </c>
      <c r="H985">
        <v>2919</v>
      </c>
      <c r="I985">
        <v>3125.01</v>
      </c>
      <c r="J985" t="s">
        <v>26</v>
      </c>
      <c r="K985">
        <v>0.24</v>
      </c>
      <c r="L985" t="s">
        <v>17</v>
      </c>
      <c r="M985" t="s">
        <v>18</v>
      </c>
    </row>
    <row r="986" spans="1:13" x14ac:dyDescent="0.25">
      <c r="A986">
        <v>1057</v>
      </c>
      <c r="B986" s="1">
        <v>45085</v>
      </c>
      <c r="C986" t="s">
        <v>28</v>
      </c>
      <c r="D986" t="s">
        <v>29</v>
      </c>
      <c r="E986">
        <v>1605.28</v>
      </c>
      <c r="F986">
        <v>43</v>
      </c>
      <c r="G986" t="s">
        <v>15</v>
      </c>
      <c r="H986">
        <v>4567.3900000000003</v>
      </c>
      <c r="I986">
        <v>4958.78</v>
      </c>
      <c r="J986" t="s">
        <v>26</v>
      </c>
      <c r="K986">
        <v>0.04</v>
      </c>
      <c r="L986" t="s">
        <v>17</v>
      </c>
      <c r="M986" t="s">
        <v>20</v>
      </c>
    </row>
    <row r="987" spans="1:13" x14ac:dyDescent="0.25">
      <c r="A987">
        <v>1017</v>
      </c>
      <c r="B987" s="1">
        <v>44950</v>
      </c>
      <c r="C987" t="s">
        <v>31</v>
      </c>
      <c r="D987" t="s">
        <v>14</v>
      </c>
      <c r="E987">
        <v>4637.3999999999996</v>
      </c>
      <c r="F987">
        <v>27</v>
      </c>
      <c r="G987" t="s">
        <v>30</v>
      </c>
      <c r="H987">
        <v>927.89</v>
      </c>
      <c r="I987">
        <v>1399.09</v>
      </c>
      <c r="J987" t="s">
        <v>16</v>
      </c>
      <c r="K987">
        <v>0.27</v>
      </c>
      <c r="L987" t="s">
        <v>27</v>
      </c>
      <c r="M987" t="s">
        <v>18</v>
      </c>
    </row>
    <row r="988" spans="1:13" x14ac:dyDescent="0.25">
      <c r="A988">
        <v>1086</v>
      </c>
      <c r="B988" s="1">
        <v>45219</v>
      </c>
      <c r="C988" t="s">
        <v>21</v>
      </c>
      <c r="D988" t="s">
        <v>22</v>
      </c>
      <c r="E988">
        <v>3577.07</v>
      </c>
      <c r="F988">
        <v>32</v>
      </c>
      <c r="G988" t="s">
        <v>15</v>
      </c>
      <c r="H988">
        <v>84.86</v>
      </c>
      <c r="I988">
        <v>517.17999999999995</v>
      </c>
      <c r="J988" t="s">
        <v>16</v>
      </c>
      <c r="K988">
        <v>0.2</v>
      </c>
      <c r="L988" t="s">
        <v>27</v>
      </c>
      <c r="M988" t="s">
        <v>20</v>
      </c>
    </row>
    <row r="989" spans="1:13" x14ac:dyDescent="0.25">
      <c r="A989">
        <v>1090</v>
      </c>
      <c r="B989" s="1">
        <v>44930</v>
      </c>
      <c r="C989" t="s">
        <v>31</v>
      </c>
      <c r="D989" t="s">
        <v>14</v>
      </c>
      <c r="E989">
        <v>1028.3900000000001</v>
      </c>
      <c r="F989">
        <v>14</v>
      </c>
      <c r="G989" t="s">
        <v>15</v>
      </c>
      <c r="H989">
        <v>4037.21</v>
      </c>
      <c r="I989">
        <v>4323.71</v>
      </c>
      <c r="J989" t="s">
        <v>16</v>
      </c>
      <c r="K989">
        <v>0.27</v>
      </c>
      <c r="L989" t="s">
        <v>27</v>
      </c>
      <c r="M989" t="s">
        <v>18</v>
      </c>
    </row>
    <row r="990" spans="1:13" x14ac:dyDescent="0.25">
      <c r="A990">
        <v>1044</v>
      </c>
      <c r="B990" s="1">
        <v>45146</v>
      </c>
      <c r="C990" t="s">
        <v>32</v>
      </c>
      <c r="D990" t="s">
        <v>14</v>
      </c>
      <c r="E990">
        <v>4912.6899999999996</v>
      </c>
      <c r="F990">
        <v>18</v>
      </c>
      <c r="G990" t="s">
        <v>25</v>
      </c>
      <c r="H990">
        <v>430.14</v>
      </c>
      <c r="I990">
        <v>641.17999999999995</v>
      </c>
      <c r="J990" t="s">
        <v>26</v>
      </c>
      <c r="K990">
        <v>0.13</v>
      </c>
      <c r="L990" t="s">
        <v>17</v>
      </c>
      <c r="M990" t="s">
        <v>18</v>
      </c>
    </row>
    <row r="991" spans="1:13" x14ac:dyDescent="0.25">
      <c r="A991">
        <v>1025</v>
      </c>
      <c r="B991" s="1">
        <v>45290</v>
      </c>
      <c r="C991" t="s">
        <v>21</v>
      </c>
      <c r="D991" t="s">
        <v>19</v>
      </c>
      <c r="E991">
        <v>9215.32</v>
      </c>
      <c r="F991">
        <v>28</v>
      </c>
      <c r="G991" t="s">
        <v>30</v>
      </c>
      <c r="H991">
        <v>2097.84</v>
      </c>
      <c r="I991">
        <v>2270.9899999999998</v>
      </c>
      <c r="J991" t="s">
        <v>26</v>
      </c>
      <c r="K991">
        <v>0.13</v>
      </c>
      <c r="L991" t="s">
        <v>27</v>
      </c>
      <c r="M991" t="s">
        <v>20</v>
      </c>
    </row>
    <row r="992" spans="1:13" x14ac:dyDescent="0.25">
      <c r="A992">
        <v>1017</v>
      </c>
      <c r="B992" s="1">
        <v>44946</v>
      </c>
      <c r="C992" t="s">
        <v>13</v>
      </c>
      <c r="D992" t="s">
        <v>29</v>
      </c>
      <c r="E992">
        <v>496.59</v>
      </c>
      <c r="F992">
        <v>29</v>
      </c>
      <c r="G992" t="s">
        <v>25</v>
      </c>
      <c r="H992">
        <v>3410.49</v>
      </c>
      <c r="I992">
        <v>3481.72</v>
      </c>
      <c r="J992" t="s">
        <v>26</v>
      </c>
      <c r="K992">
        <v>0.24</v>
      </c>
      <c r="L992" t="s">
        <v>24</v>
      </c>
      <c r="M992" t="s">
        <v>20</v>
      </c>
    </row>
    <row r="993" spans="1:13" x14ac:dyDescent="0.25">
      <c r="A993">
        <v>1013</v>
      </c>
      <c r="B993" s="1">
        <v>45078</v>
      </c>
      <c r="C993" t="s">
        <v>28</v>
      </c>
      <c r="D993" t="s">
        <v>29</v>
      </c>
      <c r="E993">
        <v>2985.46</v>
      </c>
      <c r="F993">
        <v>16</v>
      </c>
      <c r="G993" t="s">
        <v>15</v>
      </c>
      <c r="H993">
        <v>1222.1500000000001</v>
      </c>
      <c r="I993">
        <v>1284.3599999999999</v>
      </c>
      <c r="J993" t="s">
        <v>16</v>
      </c>
      <c r="K993">
        <v>0.03</v>
      </c>
      <c r="L993" t="s">
        <v>27</v>
      </c>
      <c r="M993" t="s">
        <v>20</v>
      </c>
    </row>
    <row r="994" spans="1:13" x14ac:dyDescent="0.25">
      <c r="A994">
        <v>1084</v>
      </c>
      <c r="B994" s="1">
        <v>44976</v>
      </c>
      <c r="C994" t="s">
        <v>21</v>
      </c>
      <c r="D994" t="s">
        <v>19</v>
      </c>
      <c r="E994">
        <v>2154.66</v>
      </c>
      <c r="F994">
        <v>35</v>
      </c>
      <c r="G994" t="s">
        <v>23</v>
      </c>
      <c r="H994">
        <v>465.61</v>
      </c>
      <c r="I994">
        <v>812.91</v>
      </c>
      <c r="J994" t="s">
        <v>26</v>
      </c>
      <c r="K994">
        <v>0.16</v>
      </c>
      <c r="L994" t="s">
        <v>24</v>
      </c>
      <c r="M994" t="s">
        <v>18</v>
      </c>
    </row>
    <row r="995" spans="1:13" x14ac:dyDescent="0.25">
      <c r="A995">
        <v>1025</v>
      </c>
      <c r="B995" s="1">
        <v>45103</v>
      </c>
      <c r="C995" t="s">
        <v>21</v>
      </c>
      <c r="D995" t="s">
        <v>14</v>
      </c>
      <c r="E995">
        <v>2457.65</v>
      </c>
      <c r="F995">
        <v>47</v>
      </c>
      <c r="G995" t="s">
        <v>15</v>
      </c>
      <c r="H995">
        <v>3861.61</v>
      </c>
      <c r="I995">
        <v>3998.91</v>
      </c>
      <c r="J995" t="s">
        <v>26</v>
      </c>
      <c r="K995">
        <v>0.25</v>
      </c>
      <c r="L995" t="s">
        <v>27</v>
      </c>
      <c r="M995" t="s">
        <v>18</v>
      </c>
    </row>
    <row r="996" spans="1:13" x14ac:dyDescent="0.25">
      <c r="A996">
        <v>1068</v>
      </c>
      <c r="B996" s="1">
        <v>45022</v>
      </c>
      <c r="C996" t="s">
        <v>32</v>
      </c>
      <c r="D996" t="s">
        <v>22</v>
      </c>
      <c r="E996">
        <v>9093.5</v>
      </c>
      <c r="F996">
        <v>31</v>
      </c>
      <c r="G996" t="s">
        <v>25</v>
      </c>
      <c r="H996">
        <v>3169.37</v>
      </c>
      <c r="I996">
        <v>3304.15</v>
      </c>
      <c r="J996" t="s">
        <v>16</v>
      </c>
      <c r="K996">
        <v>0.25</v>
      </c>
      <c r="L996" t="s">
        <v>27</v>
      </c>
      <c r="M996" t="s">
        <v>20</v>
      </c>
    </row>
    <row r="997" spans="1:13" x14ac:dyDescent="0.25">
      <c r="A997">
        <v>1010</v>
      </c>
      <c r="B997" s="1">
        <v>45031</v>
      </c>
      <c r="C997" t="s">
        <v>28</v>
      </c>
      <c r="D997" t="s">
        <v>14</v>
      </c>
      <c r="E997">
        <v>4733.88</v>
      </c>
      <c r="F997">
        <v>4</v>
      </c>
      <c r="G997" t="s">
        <v>23</v>
      </c>
      <c r="H997">
        <v>4943.03</v>
      </c>
      <c r="I997">
        <v>5442.15</v>
      </c>
      <c r="J997" t="s">
        <v>16</v>
      </c>
      <c r="K997">
        <v>0.28999999999999998</v>
      </c>
      <c r="L997" t="s">
        <v>17</v>
      </c>
      <c r="M997" t="s">
        <v>18</v>
      </c>
    </row>
    <row r="998" spans="1:13" x14ac:dyDescent="0.25">
      <c r="A998">
        <v>1067</v>
      </c>
      <c r="B998" s="1">
        <v>45176</v>
      </c>
      <c r="C998" t="s">
        <v>13</v>
      </c>
      <c r="D998" t="s">
        <v>14</v>
      </c>
      <c r="E998">
        <v>4716.3599999999997</v>
      </c>
      <c r="F998">
        <v>37</v>
      </c>
      <c r="G998" t="s">
        <v>25</v>
      </c>
      <c r="H998">
        <v>1754.32</v>
      </c>
      <c r="I998">
        <v>1856.3999999999901</v>
      </c>
      <c r="J998" t="s">
        <v>26</v>
      </c>
      <c r="K998">
        <v>0.21</v>
      </c>
      <c r="L998" t="s">
        <v>24</v>
      </c>
      <c r="M998" t="s">
        <v>20</v>
      </c>
    </row>
    <row r="999" spans="1:13" x14ac:dyDescent="0.25">
      <c r="A999">
        <v>1018</v>
      </c>
      <c r="B999" s="1">
        <v>45043</v>
      </c>
      <c r="C999" t="s">
        <v>21</v>
      </c>
      <c r="D999" t="s">
        <v>22</v>
      </c>
      <c r="E999">
        <v>7629.7</v>
      </c>
      <c r="F999">
        <v>17</v>
      </c>
      <c r="G999" t="s">
        <v>25</v>
      </c>
      <c r="H999">
        <v>355.72</v>
      </c>
      <c r="I999">
        <v>438.27</v>
      </c>
      <c r="J999" t="s">
        <v>16</v>
      </c>
      <c r="K999">
        <v>0.06</v>
      </c>
      <c r="L999" t="s">
        <v>24</v>
      </c>
      <c r="M999" t="s">
        <v>18</v>
      </c>
    </row>
    <row r="1000" spans="1:13" x14ac:dyDescent="0.25">
      <c r="A1000">
        <v>1100</v>
      </c>
      <c r="B1000" s="1">
        <v>45280</v>
      </c>
      <c r="C1000" t="s">
        <v>21</v>
      </c>
      <c r="D1000" t="s">
        <v>19</v>
      </c>
      <c r="E1000">
        <v>1629.47</v>
      </c>
      <c r="F1000">
        <v>39</v>
      </c>
      <c r="G1000" t="s">
        <v>30</v>
      </c>
      <c r="H1000">
        <v>3685.03</v>
      </c>
      <c r="I1000">
        <v>3743.39</v>
      </c>
      <c r="J1000" t="s">
        <v>26</v>
      </c>
      <c r="K1000">
        <v>0.01</v>
      </c>
      <c r="L1000" t="s">
        <v>24</v>
      </c>
      <c r="M1000" t="s">
        <v>18</v>
      </c>
    </row>
    <row r="1001" spans="1:13" x14ac:dyDescent="0.25">
      <c r="A1001">
        <v>1086</v>
      </c>
      <c r="B1001" s="1">
        <v>45154</v>
      </c>
      <c r="C1001" t="s">
        <v>32</v>
      </c>
      <c r="D1001" t="s">
        <v>29</v>
      </c>
      <c r="E1001">
        <v>4923.93</v>
      </c>
      <c r="F1001">
        <v>48</v>
      </c>
      <c r="G1001" t="s">
        <v>23</v>
      </c>
      <c r="H1001">
        <v>2632.58</v>
      </c>
      <c r="I1001">
        <v>2926.68</v>
      </c>
      <c r="J1001" t="s">
        <v>16</v>
      </c>
      <c r="K1001">
        <v>0.14000000000000001</v>
      </c>
      <c r="L1001" t="s">
        <v>17</v>
      </c>
      <c r="M1001" t="s">
        <v>18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B80E6-911D-4C12-8FF6-2D2F863A5A57}">
  <sheetPr codeName="Sheet7"/>
  <dimension ref="A1:P1001"/>
  <sheetViews>
    <sheetView workbookViewId="0">
      <selection activeCell="X8" sqref="X8"/>
    </sheetView>
  </sheetViews>
  <sheetFormatPr defaultRowHeight="15" x14ac:dyDescent="0.25"/>
  <cols>
    <col min="1" max="1" width="13" customWidth="1"/>
    <col min="2" max="2" width="12.140625" customWidth="1"/>
    <col min="3" max="3" width="15.85546875" customWidth="1"/>
    <col min="4" max="4" width="15.7109375" customWidth="1"/>
    <col min="5" max="5" width="14.42578125" customWidth="1"/>
    <col min="6" max="6" width="12.42578125" customWidth="1"/>
    <col min="7" max="7" width="13.28515625" customWidth="1"/>
    <col min="8" max="8" width="12.42578125" customWidth="1"/>
    <col min="9" max="9" width="9.42578125" customWidth="1"/>
    <col min="10" max="10" width="19.140625" customWidth="1"/>
    <col min="11" max="11" width="17.28515625" customWidth="1"/>
    <col min="12" max="12" width="18.85546875" customWidth="1"/>
    <col min="13" max="13" width="15.85546875" customWidth="1"/>
    <col min="14" max="14" width="11.7109375" customWidth="1"/>
    <col min="15" max="15" width="12.42578125" customWidth="1"/>
  </cols>
  <sheetData>
    <row r="1" spans="1:16" x14ac:dyDescent="0.25">
      <c r="A1" t="s">
        <v>0</v>
      </c>
      <c r="B1" t="s">
        <v>1</v>
      </c>
      <c r="C1" t="s">
        <v>4</v>
      </c>
      <c r="D1" t="s">
        <v>5</v>
      </c>
      <c r="E1" t="s">
        <v>7</v>
      </c>
      <c r="F1" t="s">
        <v>8</v>
      </c>
      <c r="G1" t="s">
        <v>10</v>
      </c>
      <c r="H1" t="s">
        <v>2</v>
      </c>
      <c r="I1" t="s">
        <v>3</v>
      </c>
      <c r="J1" t="s">
        <v>6</v>
      </c>
      <c r="K1" t="s">
        <v>9</v>
      </c>
      <c r="L1" t="s">
        <v>33</v>
      </c>
      <c r="M1" t="s">
        <v>34</v>
      </c>
      <c r="N1" t="s">
        <v>51</v>
      </c>
      <c r="O1" t="s">
        <v>52</v>
      </c>
      <c r="P1" t="s">
        <v>53</v>
      </c>
    </row>
    <row r="2" spans="1:16" x14ac:dyDescent="0.25">
      <c r="A2">
        <v>1052</v>
      </c>
      <c r="B2" s="1">
        <v>44960</v>
      </c>
      <c r="C2">
        <f t="shared" ref="C2:C65" si="0">(D2*F2)*(1-G2)</f>
        <v>4377.0636000000013</v>
      </c>
      <c r="D2">
        <v>18</v>
      </c>
      <c r="E2">
        <v>152.75</v>
      </c>
      <c r="F2">
        <v>267.22000000000003</v>
      </c>
      <c r="G2">
        <v>0.09</v>
      </c>
      <c r="H2" t="str">
        <f>PROPER(TRIM(sales_data!C2))</f>
        <v>Bob</v>
      </c>
      <c r="I2" t="str">
        <f>PROPER(TRIM(sales_data!D2))</f>
        <v>North</v>
      </c>
      <c r="J2" t="str">
        <f>PROPER(TRIM(sales_data!G2))</f>
        <v>Furniture</v>
      </c>
      <c r="K2" t="str">
        <f>PROPER(TRIM(sales_data!J2))</f>
        <v>Returning</v>
      </c>
      <c r="L2" t="str">
        <f>PROPER(TRIM(sales_data!L2))</f>
        <v>Cash</v>
      </c>
      <c r="M2" t="str">
        <f>PROPER(TRIM(sales_data!M2))</f>
        <v>Online</v>
      </c>
      <c r="N2">
        <f t="shared" ref="N2:N65" si="1">F2-E2</f>
        <v>114.47000000000003</v>
      </c>
      <c r="O2">
        <f t="shared" ref="O2:O65" si="2">N2*D2</f>
        <v>2060.4600000000005</v>
      </c>
      <c r="P2" t="str">
        <f t="shared" ref="P2:P65" si="3">TEXT(B2,"mmm")</f>
        <v>Feb</v>
      </c>
    </row>
    <row r="3" spans="1:16" x14ac:dyDescent="0.25">
      <c r="A3">
        <v>1093</v>
      </c>
      <c r="B3" s="1">
        <v>45037</v>
      </c>
      <c r="C3">
        <f t="shared" si="0"/>
        <v>63688.8272</v>
      </c>
      <c r="D3">
        <v>17</v>
      </c>
      <c r="E3">
        <v>3816.39</v>
      </c>
      <c r="F3">
        <v>4209.4399999999996</v>
      </c>
      <c r="G3">
        <v>0.11</v>
      </c>
      <c r="H3" t="str">
        <f>PROPER(TRIM(sales_data!C3))</f>
        <v>Bob</v>
      </c>
      <c r="I3" t="str">
        <f>PROPER(TRIM(sales_data!D3))</f>
        <v>West</v>
      </c>
      <c r="J3" t="str">
        <f>PROPER(TRIM(sales_data!G3))</f>
        <v>Furniture</v>
      </c>
      <c r="K3" t="str">
        <f>PROPER(TRIM(sales_data!J3))</f>
        <v>Returning</v>
      </c>
      <c r="L3" t="str">
        <f>PROPER(TRIM(sales_data!L3))</f>
        <v>Cash</v>
      </c>
      <c r="M3" t="str">
        <f>PROPER(TRIM(sales_data!M3))</f>
        <v>Retail</v>
      </c>
      <c r="N3">
        <f t="shared" si="1"/>
        <v>393.04999999999973</v>
      </c>
      <c r="O3">
        <f t="shared" si="2"/>
        <v>6681.8499999999949</v>
      </c>
      <c r="P3" t="str">
        <f t="shared" si="3"/>
        <v>Apr</v>
      </c>
    </row>
    <row r="4" spans="1:16" x14ac:dyDescent="0.25">
      <c r="A4">
        <v>1015</v>
      </c>
      <c r="B4" s="1">
        <v>45190</v>
      </c>
      <c r="C4">
        <f t="shared" si="0"/>
        <v>8913.6</v>
      </c>
      <c r="D4">
        <v>30</v>
      </c>
      <c r="E4">
        <v>261.56</v>
      </c>
      <c r="F4">
        <v>371.4</v>
      </c>
      <c r="G4">
        <v>0.2</v>
      </c>
      <c r="H4" t="str">
        <f>PROPER(TRIM(sales_data!C4))</f>
        <v>David</v>
      </c>
      <c r="I4" t="str">
        <f>PROPER(TRIM(sales_data!D4))</f>
        <v>South</v>
      </c>
      <c r="J4" t="str">
        <f>PROPER(TRIM(sales_data!G4))</f>
        <v>Food</v>
      </c>
      <c r="K4" t="str">
        <f>PROPER(TRIM(sales_data!J4))</f>
        <v>Returning</v>
      </c>
      <c r="L4" t="str">
        <f>PROPER(TRIM(sales_data!L4))</f>
        <v>Bank Transfer</v>
      </c>
      <c r="M4" t="str">
        <f>PROPER(TRIM(sales_data!M4))</f>
        <v>Retail</v>
      </c>
      <c r="N4">
        <f t="shared" si="1"/>
        <v>109.83999999999997</v>
      </c>
      <c r="O4">
        <f t="shared" si="2"/>
        <v>3295.1999999999994</v>
      </c>
      <c r="P4" t="str">
        <f t="shared" si="3"/>
        <v>Sep</v>
      </c>
    </row>
    <row r="5" spans="1:16" x14ac:dyDescent="0.25">
      <c r="A5">
        <v>1072</v>
      </c>
      <c r="B5" s="1">
        <v>45162</v>
      </c>
      <c r="C5">
        <f t="shared" si="0"/>
        <v>170757.405</v>
      </c>
      <c r="D5">
        <v>39</v>
      </c>
      <c r="E5">
        <v>4330.03</v>
      </c>
      <c r="F5">
        <v>4467.75</v>
      </c>
      <c r="G5">
        <v>0.02</v>
      </c>
      <c r="H5" t="str">
        <f>PROPER(TRIM(sales_data!C5))</f>
        <v>Bob</v>
      </c>
      <c r="I5" t="str">
        <f>PROPER(TRIM(sales_data!D5))</f>
        <v>South</v>
      </c>
      <c r="J5" t="str">
        <f>PROPER(TRIM(sales_data!G5))</f>
        <v>Clothing</v>
      </c>
      <c r="K5" t="str">
        <f>PROPER(TRIM(sales_data!J5))</f>
        <v>New</v>
      </c>
      <c r="L5" t="str">
        <f>PROPER(TRIM(sales_data!L5))</f>
        <v>Credit Card</v>
      </c>
      <c r="M5" t="str">
        <f>PROPER(TRIM(sales_data!M5))</f>
        <v>Retail</v>
      </c>
      <c r="N5">
        <f t="shared" si="1"/>
        <v>137.72000000000025</v>
      </c>
      <c r="O5">
        <f t="shared" si="2"/>
        <v>5371.0800000000099</v>
      </c>
      <c r="P5" t="str">
        <f t="shared" si="3"/>
        <v>Aug</v>
      </c>
    </row>
    <row r="6" spans="1:16" x14ac:dyDescent="0.25">
      <c r="A6">
        <v>1061</v>
      </c>
      <c r="B6" s="1">
        <v>45009</v>
      </c>
      <c r="C6">
        <f t="shared" si="0"/>
        <v>8284.8115999999991</v>
      </c>
      <c r="D6">
        <v>13</v>
      </c>
      <c r="E6">
        <v>637.37</v>
      </c>
      <c r="F6">
        <v>692.71</v>
      </c>
      <c r="G6">
        <v>0.08</v>
      </c>
      <c r="H6" t="str">
        <f>PROPER(TRIM(sales_data!C6))</f>
        <v>Charlie</v>
      </c>
      <c r="I6" t="str">
        <f>PROPER(TRIM(sales_data!D6))</f>
        <v>East</v>
      </c>
      <c r="J6" t="str">
        <f>PROPER(TRIM(sales_data!G6))</f>
        <v>Electronics</v>
      </c>
      <c r="K6" t="str">
        <f>PROPER(TRIM(sales_data!J6))</f>
        <v>New</v>
      </c>
      <c r="L6" t="str">
        <f>PROPER(TRIM(sales_data!L6))</f>
        <v>Credit Card</v>
      </c>
      <c r="M6" t="str">
        <f>PROPER(TRIM(sales_data!M6))</f>
        <v>Online</v>
      </c>
      <c r="N6">
        <f t="shared" si="1"/>
        <v>55.340000000000032</v>
      </c>
      <c r="O6">
        <f t="shared" si="2"/>
        <v>719.42000000000041</v>
      </c>
      <c r="P6" t="str">
        <f t="shared" si="3"/>
        <v>Mar</v>
      </c>
    </row>
    <row r="7" spans="1:16" x14ac:dyDescent="0.25">
      <c r="A7">
        <v>1021</v>
      </c>
      <c r="B7" s="1">
        <v>44968</v>
      </c>
      <c r="C7">
        <f t="shared" si="0"/>
        <v>27972.572800000002</v>
      </c>
      <c r="D7">
        <v>32</v>
      </c>
      <c r="E7">
        <v>900.79</v>
      </c>
      <c r="F7">
        <v>1106.51</v>
      </c>
      <c r="G7">
        <v>0.21</v>
      </c>
      <c r="H7" t="str">
        <f>PROPER(TRIM(sales_data!C7))</f>
        <v>Charlie</v>
      </c>
      <c r="I7" t="str">
        <f>PROPER(TRIM(sales_data!D7))</f>
        <v>West</v>
      </c>
      <c r="J7" t="str">
        <f>PROPER(TRIM(sales_data!G7))</f>
        <v>Food</v>
      </c>
      <c r="K7" t="str">
        <f>PROPER(TRIM(sales_data!J7))</f>
        <v>New</v>
      </c>
      <c r="L7" t="str">
        <f>PROPER(TRIM(sales_data!L7))</f>
        <v>Cash</v>
      </c>
      <c r="M7" t="str">
        <f>PROPER(TRIM(sales_data!M7))</f>
        <v>Online</v>
      </c>
      <c r="N7">
        <f t="shared" si="1"/>
        <v>205.72000000000003</v>
      </c>
      <c r="O7">
        <f t="shared" si="2"/>
        <v>6583.0400000000009</v>
      </c>
      <c r="P7" t="str">
        <f t="shared" si="3"/>
        <v>Feb</v>
      </c>
    </row>
    <row r="8" spans="1:16" x14ac:dyDescent="0.25">
      <c r="A8">
        <v>1083</v>
      </c>
      <c r="B8" s="1">
        <v>45027</v>
      </c>
      <c r="C8">
        <f t="shared" si="0"/>
        <v>65444.804600000003</v>
      </c>
      <c r="D8">
        <v>29</v>
      </c>
      <c r="E8">
        <v>2408.81</v>
      </c>
      <c r="F8">
        <v>2624.09</v>
      </c>
      <c r="G8">
        <v>0.14000000000000001</v>
      </c>
      <c r="H8" t="str">
        <f>PROPER(TRIM(sales_data!C8))</f>
        <v>Bob</v>
      </c>
      <c r="I8" t="str">
        <f>PROPER(TRIM(sales_data!D8))</f>
        <v>West</v>
      </c>
      <c r="J8" t="str">
        <f>PROPER(TRIM(sales_data!G8))</f>
        <v>Furniture</v>
      </c>
      <c r="K8" t="str">
        <f>PROPER(TRIM(sales_data!J8))</f>
        <v>Returning</v>
      </c>
      <c r="L8" t="str">
        <f>PROPER(TRIM(sales_data!L8))</f>
        <v>Cash</v>
      </c>
      <c r="M8" t="str">
        <f>PROPER(TRIM(sales_data!M8))</f>
        <v>Online</v>
      </c>
      <c r="N8">
        <f t="shared" si="1"/>
        <v>215.2800000000002</v>
      </c>
      <c r="O8">
        <f t="shared" si="2"/>
        <v>6243.1200000000063</v>
      </c>
      <c r="P8" t="str">
        <f t="shared" si="3"/>
        <v>Apr</v>
      </c>
    </row>
    <row r="9" spans="1:16" x14ac:dyDescent="0.25">
      <c r="A9">
        <v>1087</v>
      </c>
      <c r="B9" s="1">
        <v>44932</v>
      </c>
      <c r="C9">
        <f t="shared" si="0"/>
        <v>160489.03200000001</v>
      </c>
      <c r="D9">
        <v>46</v>
      </c>
      <c r="E9">
        <v>3702.51</v>
      </c>
      <c r="F9">
        <v>3964.65</v>
      </c>
      <c r="G9">
        <v>0.12</v>
      </c>
      <c r="H9" t="str">
        <f>PROPER(TRIM(sales_data!C9))</f>
        <v>Eve</v>
      </c>
      <c r="I9" t="str">
        <f>PROPER(TRIM(sales_data!D9))</f>
        <v>South</v>
      </c>
      <c r="J9" t="str">
        <f>PROPER(TRIM(sales_data!G9))</f>
        <v>Furniture</v>
      </c>
      <c r="K9" t="str">
        <f>PROPER(TRIM(sales_data!J9))</f>
        <v>New</v>
      </c>
      <c r="L9" t="str">
        <f>PROPER(TRIM(sales_data!L9))</f>
        <v>Bank Transfer</v>
      </c>
      <c r="M9" t="str">
        <f>PROPER(TRIM(sales_data!M9))</f>
        <v>Online</v>
      </c>
      <c r="N9">
        <f t="shared" si="1"/>
        <v>262.13999999999987</v>
      </c>
      <c r="O9">
        <f t="shared" si="2"/>
        <v>12058.439999999995</v>
      </c>
      <c r="P9" t="str">
        <f t="shared" si="3"/>
        <v>Jan</v>
      </c>
    </row>
    <row r="10" spans="1:16" x14ac:dyDescent="0.25">
      <c r="A10">
        <v>1075</v>
      </c>
      <c r="B10" s="1">
        <v>45106</v>
      </c>
      <c r="C10">
        <f t="shared" si="0"/>
        <v>31220.324999999713</v>
      </c>
      <c r="D10">
        <v>30</v>
      </c>
      <c r="E10">
        <v>738.06</v>
      </c>
      <c r="F10">
        <v>1095.44999999999</v>
      </c>
      <c r="G10">
        <v>0.05</v>
      </c>
      <c r="H10" t="str">
        <f>PROPER(TRIM(sales_data!C10))</f>
        <v>David</v>
      </c>
      <c r="I10" t="str">
        <f>PROPER(TRIM(sales_data!D10))</f>
        <v>South</v>
      </c>
      <c r="J10" t="str">
        <f>PROPER(TRIM(sales_data!G10))</f>
        <v>Furniture</v>
      </c>
      <c r="K10" t="str">
        <f>PROPER(TRIM(sales_data!J10))</f>
        <v>New</v>
      </c>
      <c r="L10" t="str">
        <f>PROPER(TRIM(sales_data!L10))</f>
        <v>Bank Transfer</v>
      </c>
      <c r="M10" t="str">
        <f>PROPER(TRIM(sales_data!M10))</f>
        <v>Online</v>
      </c>
      <c r="N10">
        <f t="shared" si="1"/>
        <v>357.3899999999901</v>
      </c>
      <c r="O10">
        <f t="shared" si="2"/>
        <v>10721.699999999702</v>
      </c>
      <c r="P10" t="str">
        <f t="shared" si="3"/>
        <v>Jun</v>
      </c>
    </row>
    <row r="11" spans="1:16" x14ac:dyDescent="0.25">
      <c r="A11">
        <v>1075</v>
      </c>
      <c r="B11" s="1">
        <v>45208</v>
      </c>
      <c r="C11">
        <f t="shared" si="0"/>
        <v>42005.4444</v>
      </c>
      <c r="D11">
        <v>18</v>
      </c>
      <c r="E11">
        <v>2228.35</v>
      </c>
      <c r="F11">
        <v>2682.34</v>
      </c>
      <c r="G11">
        <v>0.13</v>
      </c>
      <c r="H11" t="str">
        <f>PROPER(TRIM(sales_data!C11))</f>
        <v>Charlie</v>
      </c>
      <c r="I11" t="str">
        <f>PROPER(TRIM(sales_data!D11))</f>
        <v>West</v>
      </c>
      <c r="J11" t="str">
        <f>PROPER(TRIM(sales_data!G11))</f>
        <v>Clothing</v>
      </c>
      <c r="K11" t="str">
        <f>PROPER(TRIM(sales_data!J11))</f>
        <v>New</v>
      </c>
      <c r="L11" t="str">
        <f>PROPER(TRIM(sales_data!L11))</f>
        <v>Bank Transfer</v>
      </c>
      <c r="M11" t="str">
        <f>PROPER(TRIM(sales_data!M11))</f>
        <v>Online</v>
      </c>
      <c r="N11">
        <f t="shared" si="1"/>
        <v>453.99000000000024</v>
      </c>
      <c r="O11">
        <f t="shared" si="2"/>
        <v>8171.8200000000043</v>
      </c>
      <c r="P11" t="str">
        <f t="shared" si="3"/>
        <v>Oct</v>
      </c>
    </row>
    <row r="12" spans="1:16" x14ac:dyDescent="0.25">
      <c r="A12">
        <v>1088</v>
      </c>
      <c r="B12" s="1">
        <v>45246</v>
      </c>
      <c r="C12">
        <f t="shared" si="0"/>
        <v>25201.175999999999</v>
      </c>
      <c r="D12">
        <v>13</v>
      </c>
      <c r="E12">
        <v>2440.11</v>
      </c>
      <c r="F12">
        <v>2517.6</v>
      </c>
      <c r="G12">
        <v>0.23</v>
      </c>
      <c r="H12" t="str">
        <f>PROPER(TRIM(sales_data!C12))</f>
        <v>Eve</v>
      </c>
      <c r="I12" t="str">
        <f>PROPER(TRIM(sales_data!D12))</f>
        <v>North</v>
      </c>
      <c r="J12" t="str">
        <f>PROPER(TRIM(sales_data!G12))</f>
        <v>Furniture</v>
      </c>
      <c r="K12" t="str">
        <f>PROPER(TRIM(sales_data!J12))</f>
        <v>New</v>
      </c>
      <c r="L12" t="str">
        <f>PROPER(TRIM(sales_data!L12))</f>
        <v>Bank Transfer</v>
      </c>
      <c r="M12" t="str">
        <f>PROPER(TRIM(sales_data!M12))</f>
        <v>Retail</v>
      </c>
      <c r="N12">
        <f t="shared" si="1"/>
        <v>77.489999999999782</v>
      </c>
      <c r="O12">
        <f t="shared" si="2"/>
        <v>1007.3699999999972</v>
      </c>
      <c r="P12" t="str">
        <f t="shared" si="3"/>
        <v>Nov</v>
      </c>
    </row>
    <row r="13" spans="1:16" x14ac:dyDescent="0.25">
      <c r="A13">
        <v>1100</v>
      </c>
      <c r="B13" s="1">
        <v>45152</v>
      </c>
      <c r="C13">
        <f t="shared" si="0"/>
        <v>44997.126400000008</v>
      </c>
      <c r="D13">
        <v>43</v>
      </c>
      <c r="E13">
        <v>1100.81</v>
      </c>
      <c r="F13">
        <v>1137.44</v>
      </c>
      <c r="G13">
        <v>0.08</v>
      </c>
      <c r="H13" t="str">
        <f>PROPER(TRIM(sales_data!C13))</f>
        <v>Bob</v>
      </c>
      <c r="I13" t="str">
        <f>PROPER(TRIM(sales_data!D13))</f>
        <v>West</v>
      </c>
      <c r="J13" t="str">
        <f>PROPER(TRIM(sales_data!G13))</f>
        <v>Food</v>
      </c>
      <c r="K13" t="str">
        <f>PROPER(TRIM(sales_data!J13))</f>
        <v>Returning</v>
      </c>
      <c r="L13" t="str">
        <f>PROPER(TRIM(sales_data!L13))</f>
        <v>Bank Transfer</v>
      </c>
      <c r="M13" t="str">
        <f>PROPER(TRIM(sales_data!M13))</f>
        <v>Online</v>
      </c>
      <c r="N13">
        <f t="shared" si="1"/>
        <v>36.630000000000109</v>
      </c>
      <c r="O13">
        <f t="shared" si="2"/>
        <v>1575.0900000000047</v>
      </c>
      <c r="P13" t="str">
        <f t="shared" si="3"/>
        <v>Aug</v>
      </c>
    </row>
    <row r="14" spans="1:16" x14ac:dyDescent="0.25">
      <c r="A14">
        <v>1024</v>
      </c>
      <c r="B14" s="1">
        <v>45241</v>
      </c>
      <c r="C14">
        <f t="shared" si="0"/>
        <v>13462.890000000001</v>
      </c>
      <c r="D14">
        <v>21</v>
      </c>
      <c r="E14">
        <v>622.01</v>
      </c>
      <c r="F14">
        <v>641.09</v>
      </c>
      <c r="G14">
        <v>0</v>
      </c>
      <c r="H14" t="str">
        <f>PROPER(TRIM(sales_data!C14))</f>
        <v>Eve</v>
      </c>
      <c r="I14" t="str">
        <f>PROPER(TRIM(sales_data!D14))</f>
        <v>West</v>
      </c>
      <c r="J14" t="str">
        <f>PROPER(TRIM(sales_data!G14))</f>
        <v>Food</v>
      </c>
      <c r="K14" t="str">
        <f>PROPER(TRIM(sales_data!J14))</f>
        <v>Returning</v>
      </c>
      <c r="L14" t="str">
        <f>PROPER(TRIM(sales_data!L14))</f>
        <v>Bank Transfer</v>
      </c>
      <c r="M14" t="str">
        <f>PROPER(TRIM(sales_data!M14))</f>
        <v>Retail</v>
      </c>
      <c r="N14">
        <f t="shared" si="1"/>
        <v>19.080000000000041</v>
      </c>
      <c r="O14">
        <f t="shared" si="2"/>
        <v>400.68000000000086</v>
      </c>
      <c r="P14" t="str">
        <f t="shared" si="3"/>
        <v>Nov</v>
      </c>
    </row>
    <row r="15" spans="1:16" x14ac:dyDescent="0.25">
      <c r="A15">
        <v>1003</v>
      </c>
      <c r="B15" s="1">
        <v>45291</v>
      </c>
      <c r="C15">
        <f t="shared" si="0"/>
        <v>102495.59999999999</v>
      </c>
      <c r="D15">
        <v>30</v>
      </c>
      <c r="E15">
        <v>4190.28</v>
      </c>
      <c r="F15">
        <v>4270.6499999999996</v>
      </c>
      <c r="G15">
        <v>0.2</v>
      </c>
      <c r="H15" t="str">
        <f>PROPER(TRIM(sales_data!C15))</f>
        <v>Alice</v>
      </c>
      <c r="I15" t="str">
        <f>PROPER(TRIM(sales_data!D15))</f>
        <v>South</v>
      </c>
      <c r="J15" t="str">
        <f>PROPER(TRIM(sales_data!G15))</f>
        <v>Furniture</v>
      </c>
      <c r="K15" t="str">
        <f>PROPER(TRIM(sales_data!J15))</f>
        <v>New</v>
      </c>
      <c r="L15" t="str">
        <f>PROPER(TRIM(sales_data!L15))</f>
        <v>Cash</v>
      </c>
      <c r="M15" t="str">
        <f>PROPER(TRIM(sales_data!M15))</f>
        <v>Online</v>
      </c>
      <c r="N15">
        <f t="shared" si="1"/>
        <v>80.369999999999891</v>
      </c>
      <c r="O15">
        <f t="shared" si="2"/>
        <v>2411.0999999999967</v>
      </c>
      <c r="P15" t="str">
        <f t="shared" si="3"/>
        <v>Dec</v>
      </c>
    </row>
    <row r="16" spans="1:16" x14ac:dyDescent="0.25">
      <c r="A16">
        <v>1022</v>
      </c>
      <c r="B16" s="1">
        <v>45155</v>
      </c>
      <c r="C16">
        <f t="shared" si="0"/>
        <v>42785.735999999997</v>
      </c>
      <c r="D16">
        <v>21</v>
      </c>
      <c r="E16">
        <v>2537.1999999999998</v>
      </c>
      <c r="F16">
        <v>2869.6</v>
      </c>
      <c r="G16">
        <v>0.28999999999999998</v>
      </c>
      <c r="H16" t="str">
        <f>PROPER(TRIM(sales_data!C16))</f>
        <v>Charlie</v>
      </c>
      <c r="I16" t="str">
        <f>PROPER(TRIM(sales_data!D16))</f>
        <v>South</v>
      </c>
      <c r="J16" t="str">
        <f>PROPER(TRIM(sales_data!G16))</f>
        <v>Food</v>
      </c>
      <c r="K16" t="str">
        <f>PROPER(TRIM(sales_data!J16))</f>
        <v>New</v>
      </c>
      <c r="L16" t="str">
        <f>PROPER(TRIM(sales_data!L16))</f>
        <v>Bank Transfer</v>
      </c>
      <c r="M16" t="str">
        <f>PROPER(TRIM(sales_data!M16))</f>
        <v>Retail</v>
      </c>
      <c r="N16">
        <f t="shared" si="1"/>
        <v>332.40000000000009</v>
      </c>
      <c r="O16">
        <f t="shared" si="2"/>
        <v>6980.4000000000015</v>
      </c>
      <c r="P16" t="str">
        <f t="shared" si="3"/>
        <v>Aug</v>
      </c>
    </row>
    <row r="17" spans="1:16" x14ac:dyDescent="0.25">
      <c r="A17">
        <v>1053</v>
      </c>
      <c r="B17" s="1">
        <v>45215</v>
      </c>
      <c r="C17">
        <f t="shared" si="0"/>
        <v>19193.903999999999</v>
      </c>
      <c r="D17">
        <v>48</v>
      </c>
      <c r="E17">
        <v>121.19</v>
      </c>
      <c r="F17">
        <v>487.65</v>
      </c>
      <c r="G17">
        <v>0.18</v>
      </c>
      <c r="H17" t="str">
        <f>PROPER(TRIM(sales_data!C17))</f>
        <v>Bob</v>
      </c>
      <c r="I17" t="str">
        <f>PROPER(TRIM(sales_data!D17))</f>
        <v>North</v>
      </c>
      <c r="J17" t="str">
        <f>PROPER(TRIM(sales_data!G17))</f>
        <v>Furniture</v>
      </c>
      <c r="K17" t="str">
        <f>PROPER(TRIM(sales_data!J17))</f>
        <v>New</v>
      </c>
      <c r="L17" t="str">
        <f>PROPER(TRIM(sales_data!L17))</f>
        <v>Cash</v>
      </c>
      <c r="M17" t="str">
        <f>PROPER(TRIM(sales_data!M17))</f>
        <v>Retail</v>
      </c>
      <c r="N17">
        <f t="shared" si="1"/>
        <v>366.46</v>
      </c>
      <c r="O17">
        <f t="shared" si="2"/>
        <v>17590.079999999998</v>
      </c>
      <c r="P17" t="str">
        <f t="shared" si="3"/>
        <v>Oct</v>
      </c>
    </row>
    <row r="18" spans="1:16" x14ac:dyDescent="0.25">
      <c r="A18">
        <v>1002</v>
      </c>
      <c r="B18" s="1">
        <v>45076</v>
      </c>
      <c r="C18">
        <f t="shared" si="0"/>
        <v>72136.847999999984</v>
      </c>
      <c r="D18">
        <v>17</v>
      </c>
      <c r="E18">
        <v>4024.76</v>
      </c>
      <c r="F18">
        <v>4420.1499999999996</v>
      </c>
      <c r="G18">
        <v>0.04</v>
      </c>
      <c r="H18" t="str">
        <f>PROPER(TRIM(sales_data!C18))</f>
        <v>David</v>
      </c>
      <c r="I18" t="str">
        <f>PROPER(TRIM(sales_data!D18))</f>
        <v>North</v>
      </c>
      <c r="J18" t="str">
        <f>PROPER(TRIM(sales_data!G18))</f>
        <v>Furniture</v>
      </c>
      <c r="K18" t="str">
        <f>PROPER(TRIM(sales_data!J18))</f>
        <v>Returning</v>
      </c>
      <c r="L18" t="str">
        <f>PROPER(TRIM(sales_data!L18))</f>
        <v>Cash</v>
      </c>
      <c r="M18" t="str">
        <f>PROPER(TRIM(sales_data!M18))</f>
        <v>Online</v>
      </c>
      <c r="N18">
        <f t="shared" si="1"/>
        <v>395.38999999999942</v>
      </c>
      <c r="O18">
        <f t="shared" si="2"/>
        <v>6721.6299999999901</v>
      </c>
      <c r="P18" t="str">
        <f t="shared" si="3"/>
        <v>May</v>
      </c>
    </row>
    <row r="19" spans="1:16" x14ac:dyDescent="0.25">
      <c r="A19">
        <v>1088</v>
      </c>
      <c r="B19" s="1">
        <v>45203</v>
      </c>
      <c r="C19">
        <f t="shared" si="0"/>
        <v>181236.6</v>
      </c>
      <c r="D19">
        <v>40</v>
      </c>
      <c r="E19">
        <v>4904.93</v>
      </c>
      <c r="F19">
        <v>5034.3500000000004</v>
      </c>
      <c r="G19">
        <v>0.1</v>
      </c>
      <c r="H19" t="str">
        <f>PROPER(TRIM(sales_data!C19))</f>
        <v>Bob</v>
      </c>
      <c r="I19" t="str">
        <f>PROPER(TRIM(sales_data!D19))</f>
        <v>East</v>
      </c>
      <c r="J19" t="str">
        <f>PROPER(TRIM(sales_data!G19))</f>
        <v>Electronics</v>
      </c>
      <c r="K19" t="str">
        <f>PROPER(TRIM(sales_data!J19))</f>
        <v>New</v>
      </c>
      <c r="L19" t="str">
        <f>PROPER(TRIM(sales_data!L19))</f>
        <v>Credit Card</v>
      </c>
      <c r="M19" t="str">
        <f>PROPER(TRIM(sales_data!M19))</f>
        <v>Retail</v>
      </c>
      <c r="N19">
        <f t="shared" si="1"/>
        <v>129.42000000000007</v>
      </c>
      <c r="O19">
        <f t="shared" si="2"/>
        <v>5176.8000000000029</v>
      </c>
      <c r="P19" t="str">
        <f t="shared" si="3"/>
        <v>Oct</v>
      </c>
    </row>
    <row r="20" spans="1:16" x14ac:dyDescent="0.25">
      <c r="A20">
        <v>1030</v>
      </c>
      <c r="B20" s="1">
        <v>45124</v>
      </c>
      <c r="C20">
        <f t="shared" si="0"/>
        <v>45121.633199999997</v>
      </c>
      <c r="D20">
        <v>19</v>
      </c>
      <c r="E20">
        <v>3049.33</v>
      </c>
      <c r="F20">
        <v>3209.22</v>
      </c>
      <c r="G20">
        <v>0.26</v>
      </c>
      <c r="H20" t="str">
        <f>PROPER(TRIM(sales_data!C20))</f>
        <v>David</v>
      </c>
      <c r="I20" t="str">
        <f>PROPER(TRIM(sales_data!D20))</f>
        <v>West</v>
      </c>
      <c r="J20" t="str">
        <f>PROPER(TRIM(sales_data!G20))</f>
        <v>Clothing</v>
      </c>
      <c r="K20" t="str">
        <f>PROPER(TRIM(sales_data!J20))</f>
        <v>Returning</v>
      </c>
      <c r="L20" t="str">
        <f>PROPER(TRIM(sales_data!L20))</f>
        <v>Cash</v>
      </c>
      <c r="M20" t="str">
        <f>PROPER(TRIM(sales_data!M20))</f>
        <v>Online</v>
      </c>
      <c r="N20">
        <f t="shared" si="1"/>
        <v>159.88999999999987</v>
      </c>
      <c r="O20">
        <f t="shared" si="2"/>
        <v>3037.9099999999976</v>
      </c>
      <c r="P20" t="str">
        <f t="shared" si="3"/>
        <v>Jul</v>
      </c>
    </row>
    <row r="21" spans="1:16" x14ac:dyDescent="0.25">
      <c r="A21">
        <v>1038</v>
      </c>
      <c r="B21" s="1">
        <v>44996</v>
      </c>
      <c r="C21">
        <f t="shared" si="0"/>
        <v>38921.894999999997</v>
      </c>
      <c r="D21">
        <v>15</v>
      </c>
      <c r="E21">
        <v>2543.36</v>
      </c>
      <c r="F21">
        <v>2790.1</v>
      </c>
      <c r="G21">
        <v>7.0000000000000007E-2</v>
      </c>
      <c r="H21" t="str">
        <f>PROPER(TRIM(sales_data!C21))</f>
        <v>Bob</v>
      </c>
      <c r="I21" t="str">
        <f>PROPER(TRIM(sales_data!D21))</f>
        <v>South</v>
      </c>
      <c r="J21" t="str">
        <f>PROPER(TRIM(sales_data!G21))</f>
        <v>Clothing</v>
      </c>
      <c r="K21" t="str">
        <f>PROPER(TRIM(sales_data!J21))</f>
        <v>Returning</v>
      </c>
      <c r="L21" t="str">
        <f>PROPER(TRIM(sales_data!L21))</f>
        <v>Cash</v>
      </c>
      <c r="M21" t="str">
        <f>PROPER(TRIM(sales_data!M21))</f>
        <v>Online</v>
      </c>
      <c r="N21">
        <f t="shared" si="1"/>
        <v>246.73999999999978</v>
      </c>
      <c r="O21">
        <f t="shared" si="2"/>
        <v>3701.0999999999967</v>
      </c>
      <c r="P21" t="str">
        <f t="shared" si="3"/>
        <v>Mar</v>
      </c>
    </row>
    <row r="22" spans="1:16" x14ac:dyDescent="0.25">
      <c r="A22">
        <v>1002</v>
      </c>
      <c r="B22" s="1">
        <v>45038</v>
      </c>
      <c r="C22">
        <f t="shared" si="0"/>
        <v>32760.705600000005</v>
      </c>
      <c r="D22">
        <v>9</v>
      </c>
      <c r="E22">
        <v>4398.16</v>
      </c>
      <c r="F22">
        <v>4439.12</v>
      </c>
      <c r="G22">
        <v>0.18</v>
      </c>
      <c r="H22" t="str">
        <f>PROPER(TRIM(sales_data!C22))</f>
        <v>Eve</v>
      </c>
      <c r="I22" t="str">
        <f>PROPER(TRIM(sales_data!D22))</f>
        <v>North</v>
      </c>
      <c r="J22" t="str">
        <f>PROPER(TRIM(sales_data!G22))</f>
        <v>Electronics</v>
      </c>
      <c r="K22" t="str">
        <f>PROPER(TRIM(sales_data!J22))</f>
        <v>New</v>
      </c>
      <c r="L22" t="str">
        <f>PROPER(TRIM(sales_data!L22))</f>
        <v>Bank Transfer</v>
      </c>
      <c r="M22" t="str">
        <f>PROPER(TRIM(sales_data!M22))</f>
        <v>Online</v>
      </c>
      <c r="N22">
        <f t="shared" si="1"/>
        <v>40.960000000000036</v>
      </c>
      <c r="O22">
        <f t="shared" si="2"/>
        <v>368.64000000000033</v>
      </c>
      <c r="P22" t="str">
        <f t="shared" si="3"/>
        <v>Apr</v>
      </c>
    </row>
    <row r="23" spans="1:16" x14ac:dyDescent="0.25">
      <c r="A23">
        <v>1064</v>
      </c>
      <c r="B23" s="1">
        <v>44930</v>
      </c>
      <c r="C23">
        <f t="shared" si="0"/>
        <v>44654.896000000001</v>
      </c>
      <c r="D23">
        <v>10</v>
      </c>
      <c r="E23">
        <v>4764.96</v>
      </c>
      <c r="F23">
        <v>5074.42</v>
      </c>
      <c r="G23">
        <v>0.12</v>
      </c>
      <c r="H23" t="str">
        <f>PROPER(TRIM(sales_data!C23))</f>
        <v>Eve</v>
      </c>
      <c r="I23" t="str">
        <f>PROPER(TRIM(sales_data!D23))</f>
        <v>East</v>
      </c>
      <c r="J23" t="str">
        <f>PROPER(TRIM(sales_data!G23))</f>
        <v>Electronics</v>
      </c>
      <c r="K23" t="str">
        <f>PROPER(TRIM(sales_data!J23))</f>
        <v>New</v>
      </c>
      <c r="L23" t="str">
        <f>PROPER(TRIM(sales_data!L23))</f>
        <v>Cash</v>
      </c>
      <c r="M23" t="str">
        <f>PROPER(TRIM(sales_data!M23))</f>
        <v>Online</v>
      </c>
      <c r="N23">
        <f t="shared" si="1"/>
        <v>309.46000000000004</v>
      </c>
      <c r="O23">
        <f t="shared" si="2"/>
        <v>3094.6000000000004</v>
      </c>
      <c r="P23" t="str">
        <f t="shared" si="3"/>
        <v>Jan</v>
      </c>
    </row>
    <row r="24" spans="1:16" x14ac:dyDescent="0.25">
      <c r="A24">
        <v>1060</v>
      </c>
      <c r="B24" s="1">
        <v>45276</v>
      </c>
      <c r="C24">
        <f t="shared" si="0"/>
        <v>176896.3064</v>
      </c>
      <c r="D24">
        <v>44</v>
      </c>
      <c r="E24">
        <v>3784.96</v>
      </c>
      <c r="F24">
        <v>4276.99</v>
      </c>
      <c r="G24">
        <v>0.06</v>
      </c>
      <c r="H24" t="str">
        <f>PROPER(TRIM(sales_data!C24))</f>
        <v>Eve</v>
      </c>
      <c r="I24" t="str">
        <f>PROPER(TRIM(sales_data!D24))</f>
        <v>East</v>
      </c>
      <c r="J24" t="str">
        <f>PROPER(TRIM(sales_data!G24))</f>
        <v>Clothing</v>
      </c>
      <c r="K24" t="str">
        <f>PROPER(TRIM(sales_data!J24))</f>
        <v>New</v>
      </c>
      <c r="L24" t="str">
        <f>PROPER(TRIM(sales_data!L24))</f>
        <v>Bank Transfer</v>
      </c>
      <c r="M24" t="str">
        <f>PROPER(TRIM(sales_data!M24))</f>
        <v>Retail</v>
      </c>
      <c r="N24">
        <f t="shared" si="1"/>
        <v>492.02999999999975</v>
      </c>
      <c r="O24">
        <f t="shared" si="2"/>
        <v>21649.319999999989</v>
      </c>
      <c r="P24" t="str">
        <f t="shared" si="3"/>
        <v>Dec</v>
      </c>
    </row>
    <row r="25" spans="1:16" x14ac:dyDescent="0.25">
      <c r="A25">
        <v>1021</v>
      </c>
      <c r="B25" s="1">
        <v>45257</v>
      </c>
      <c r="C25">
        <f t="shared" si="0"/>
        <v>57528.572400000005</v>
      </c>
      <c r="D25">
        <v>31</v>
      </c>
      <c r="E25">
        <v>2254.9899999999998</v>
      </c>
      <c r="F25">
        <v>2441.79</v>
      </c>
      <c r="G25">
        <v>0.24</v>
      </c>
      <c r="H25" t="str">
        <f>PROPER(TRIM(sales_data!C25))</f>
        <v>Alice</v>
      </c>
      <c r="I25" t="str">
        <f>PROPER(TRIM(sales_data!D25))</f>
        <v>South</v>
      </c>
      <c r="J25" t="str">
        <f>PROPER(TRIM(sales_data!G25))</f>
        <v>Furniture</v>
      </c>
      <c r="K25" t="str">
        <f>PROPER(TRIM(sales_data!J25))</f>
        <v>Returning</v>
      </c>
      <c r="L25" t="str">
        <f>PROPER(TRIM(sales_data!L25))</f>
        <v>Bank Transfer</v>
      </c>
      <c r="M25" t="str">
        <f>PROPER(TRIM(sales_data!M25))</f>
        <v>Online</v>
      </c>
      <c r="N25">
        <f t="shared" si="1"/>
        <v>186.80000000000018</v>
      </c>
      <c r="O25">
        <f t="shared" si="2"/>
        <v>5790.8000000000056</v>
      </c>
      <c r="P25" t="str">
        <f t="shared" si="3"/>
        <v>Nov</v>
      </c>
    </row>
    <row r="26" spans="1:16" x14ac:dyDescent="0.25">
      <c r="A26">
        <v>1033</v>
      </c>
      <c r="B26" s="1">
        <v>45244</v>
      </c>
      <c r="C26">
        <f t="shared" si="0"/>
        <v>60285.576000000001</v>
      </c>
      <c r="D26">
        <v>23</v>
      </c>
      <c r="E26">
        <v>2981.5</v>
      </c>
      <c r="F26">
        <v>3360.4</v>
      </c>
      <c r="G26">
        <v>0.22</v>
      </c>
      <c r="H26" t="str">
        <f>PROPER(TRIM(sales_data!C26))</f>
        <v>David</v>
      </c>
      <c r="I26" t="str">
        <f>PROPER(TRIM(sales_data!D26))</f>
        <v>South</v>
      </c>
      <c r="J26" t="str">
        <f>PROPER(TRIM(sales_data!G26))</f>
        <v>Furniture</v>
      </c>
      <c r="K26" t="str">
        <f>PROPER(TRIM(sales_data!J26))</f>
        <v>Returning</v>
      </c>
      <c r="L26" t="str">
        <f>PROPER(TRIM(sales_data!L26))</f>
        <v>Bank Transfer</v>
      </c>
      <c r="M26" t="str">
        <f>PROPER(TRIM(sales_data!M26))</f>
        <v>Retail</v>
      </c>
      <c r="N26">
        <f t="shared" si="1"/>
        <v>378.90000000000009</v>
      </c>
      <c r="O26">
        <f t="shared" si="2"/>
        <v>8714.7000000000025</v>
      </c>
      <c r="P26" t="str">
        <f t="shared" si="3"/>
        <v>Nov</v>
      </c>
    </row>
    <row r="27" spans="1:16" x14ac:dyDescent="0.25">
      <c r="A27">
        <v>1076</v>
      </c>
      <c r="B27" s="1">
        <v>45276</v>
      </c>
      <c r="C27">
        <f t="shared" si="0"/>
        <v>90591.6</v>
      </c>
      <c r="D27">
        <v>30</v>
      </c>
      <c r="E27">
        <v>3519.63</v>
      </c>
      <c r="F27">
        <v>3774.65</v>
      </c>
      <c r="G27">
        <v>0.2</v>
      </c>
      <c r="H27" t="str">
        <f>PROPER(TRIM(sales_data!C27))</f>
        <v>Eve</v>
      </c>
      <c r="I27" t="str">
        <f>PROPER(TRIM(sales_data!D27))</f>
        <v>East</v>
      </c>
      <c r="J27" t="str">
        <f>PROPER(TRIM(sales_data!G27))</f>
        <v>Clothing</v>
      </c>
      <c r="K27" t="str">
        <f>PROPER(TRIM(sales_data!J27))</f>
        <v>New</v>
      </c>
      <c r="L27" t="str">
        <f>PROPER(TRIM(sales_data!L27))</f>
        <v>Credit Card</v>
      </c>
      <c r="M27" t="str">
        <f>PROPER(TRIM(sales_data!M27))</f>
        <v>Retail</v>
      </c>
      <c r="N27">
        <f t="shared" si="1"/>
        <v>255.01999999999998</v>
      </c>
      <c r="O27">
        <f t="shared" si="2"/>
        <v>7650.5999999999995</v>
      </c>
      <c r="P27" t="str">
        <f t="shared" si="3"/>
        <v>Dec</v>
      </c>
    </row>
    <row r="28" spans="1:16" x14ac:dyDescent="0.25">
      <c r="A28">
        <v>1058</v>
      </c>
      <c r="B28" s="1">
        <v>45021</v>
      </c>
      <c r="C28">
        <f t="shared" si="0"/>
        <v>33276.553199999995</v>
      </c>
      <c r="D28">
        <v>33</v>
      </c>
      <c r="E28">
        <v>1011.65</v>
      </c>
      <c r="F28">
        <v>1084.28</v>
      </c>
      <c r="G28">
        <v>7.0000000000000007E-2</v>
      </c>
      <c r="H28" t="str">
        <f>PROPER(TRIM(sales_data!C28))</f>
        <v>Alice</v>
      </c>
      <c r="I28" t="str">
        <f>PROPER(TRIM(sales_data!D28))</f>
        <v>North</v>
      </c>
      <c r="J28" t="str">
        <f>PROPER(TRIM(sales_data!G28))</f>
        <v>Furniture</v>
      </c>
      <c r="K28" t="str">
        <f>PROPER(TRIM(sales_data!J28))</f>
        <v>Returning</v>
      </c>
      <c r="L28" t="str">
        <f>PROPER(TRIM(sales_data!L28))</f>
        <v>Bank Transfer</v>
      </c>
      <c r="M28" t="str">
        <f>PROPER(TRIM(sales_data!M28))</f>
        <v>Retail</v>
      </c>
      <c r="N28">
        <f t="shared" si="1"/>
        <v>72.63</v>
      </c>
      <c r="O28">
        <f t="shared" si="2"/>
        <v>2396.79</v>
      </c>
      <c r="P28" t="str">
        <f t="shared" si="3"/>
        <v>Apr</v>
      </c>
    </row>
    <row r="29" spans="1:16" x14ac:dyDescent="0.25">
      <c r="A29">
        <v>1022</v>
      </c>
      <c r="B29" s="1">
        <v>45078</v>
      </c>
      <c r="C29">
        <f t="shared" si="0"/>
        <v>22339.6335</v>
      </c>
      <c r="D29">
        <v>9</v>
      </c>
      <c r="E29">
        <v>2263.65</v>
      </c>
      <c r="F29">
        <v>2558.9499999999998</v>
      </c>
      <c r="G29">
        <v>0.03</v>
      </c>
      <c r="H29" t="str">
        <f>PROPER(TRIM(sales_data!C29))</f>
        <v>David</v>
      </c>
      <c r="I29" t="str">
        <f>PROPER(TRIM(sales_data!D29))</f>
        <v>East</v>
      </c>
      <c r="J29" t="str">
        <f>PROPER(TRIM(sales_data!G29))</f>
        <v>Electronics</v>
      </c>
      <c r="K29" t="str">
        <f>PROPER(TRIM(sales_data!J29))</f>
        <v>New</v>
      </c>
      <c r="L29" t="str">
        <f>PROPER(TRIM(sales_data!L29))</f>
        <v>Cash</v>
      </c>
      <c r="M29" t="str">
        <f>PROPER(TRIM(sales_data!M29))</f>
        <v>Online</v>
      </c>
      <c r="N29">
        <f t="shared" si="1"/>
        <v>295.29999999999973</v>
      </c>
      <c r="O29">
        <f t="shared" si="2"/>
        <v>2657.6999999999975</v>
      </c>
      <c r="P29" t="str">
        <f t="shared" si="3"/>
        <v>Jun</v>
      </c>
    </row>
    <row r="30" spans="1:16" x14ac:dyDescent="0.25">
      <c r="A30">
        <v>1089</v>
      </c>
      <c r="B30" s="1">
        <v>45237</v>
      </c>
      <c r="C30">
        <f t="shared" si="0"/>
        <v>168310.98559999961</v>
      </c>
      <c r="D30">
        <v>47</v>
      </c>
      <c r="E30">
        <v>4157.62</v>
      </c>
      <c r="F30">
        <v>4314.5599999999904</v>
      </c>
      <c r="G30">
        <v>0.17</v>
      </c>
      <c r="H30" t="str">
        <f>PROPER(TRIM(sales_data!C30))</f>
        <v>Bob</v>
      </c>
      <c r="I30" t="str">
        <f>PROPER(TRIM(sales_data!D30))</f>
        <v>West</v>
      </c>
      <c r="J30" t="str">
        <f>PROPER(TRIM(sales_data!G30))</f>
        <v>Furniture</v>
      </c>
      <c r="K30" t="str">
        <f>PROPER(TRIM(sales_data!J30))</f>
        <v>New</v>
      </c>
      <c r="L30" t="str">
        <f>PROPER(TRIM(sales_data!L30))</f>
        <v>Bank Transfer</v>
      </c>
      <c r="M30" t="str">
        <f>PROPER(TRIM(sales_data!M30))</f>
        <v>Retail</v>
      </c>
      <c r="N30">
        <f t="shared" si="1"/>
        <v>156.9399999999905</v>
      </c>
      <c r="O30">
        <f t="shared" si="2"/>
        <v>7376.1799999995537</v>
      </c>
      <c r="P30" t="str">
        <f t="shared" si="3"/>
        <v>Nov</v>
      </c>
    </row>
    <row r="31" spans="1:16" x14ac:dyDescent="0.25">
      <c r="A31">
        <v>1049</v>
      </c>
      <c r="B31" s="1">
        <v>45063</v>
      </c>
      <c r="C31">
        <f t="shared" si="0"/>
        <v>2753.7325000000001</v>
      </c>
      <c r="D31">
        <v>1</v>
      </c>
      <c r="E31">
        <v>3290.89</v>
      </c>
      <c r="F31">
        <v>3317.75</v>
      </c>
      <c r="G31">
        <v>0.17</v>
      </c>
      <c r="H31" t="str">
        <f>PROPER(TRIM(sales_data!C31))</f>
        <v>Alice</v>
      </c>
      <c r="I31" t="str">
        <f>PROPER(TRIM(sales_data!D31))</f>
        <v>West</v>
      </c>
      <c r="J31" t="str">
        <f>PROPER(TRIM(sales_data!G31))</f>
        <v>Furniture</v>
      </c>
      <c r="K31" t="str">
        <f>PROPER(TRIM(sales_data!J31))</f>
        <v>Returning</v>
      </c>
      <c r="L31" t="str">
        <f>PROPER(TRIM(sales_data!L31))</f>
        <v>Bank Transfer</v>
      </c>
      <c r="M31" t="str">
        <f>PROPER(TRIM(sales_data!M31))</f>
        <v>Online</v>
      </c>
      <c r="N31">
        <f t="shared" si="1"/>
        <v>26.860000000000127</v>
      </c>
      <c r="O31">
        <f t="shared" si="2"/>
        <v>26.860000000000127</v>
      </c>
      <c r="P31" t="str">
        <f t="shared" si="3"/>
        <v>May</v>
      </c>
    </row>
    <row r="32" spans="1:16" x14ac:dyDescent="0.25">
      <c r="A32">
        <v>1091</v>
      </c>
      <c r="B32" s="1">
        <v>45173</v>
      </c>
      <c r="C32">
        <f t="shared" si="0"/>
        <v>99536.148799999981</v>
      </c>
      <c r="D32">
        <v>44</v>
      </c>
      <c r="E32">
        <v>2085.46</v>
      </c>
      <c r="F32">
        <v>2406.58</v>
      </c>
      <c r="G32">
        <v>0.06</v>
      </c>
      <c r="H32" t="str">
        <f>PROPER(TRIM(sales_data!C32))</f>
        <v>Charlie</v>
      </c>
      <c r="I32" t="str">
        <f>PROPER(TRIM(sales_data!D32))</f>
        <v>South</v>
      </c>
      <c r="J32" t="str">
        <f>PROPER(TRIM(sales_data!G32))</f>
        <v>Food</v>
      </c>
      <c r="K32" t="str">
        <f>PROPER(TRIM(sales_data!J32))</f>
        <v>Returning</v>
      </c>
      <c r="L32" t="str">
        <f>PROPER(TRIM(sales_data!L32))</f>
        <v>Bank Transfer</v>
      </c>
      <c r="M32" t="str">
        <f>PROPER(TRIM(sales_data!M32))</f>
        <v>Retail</v>
      </c>
      <c r="N32">
        <f t="shared" si="1"/>
        <v>321.11999999999989</v>
      </c>
      <c r="O32">
        <f t="shared" si="2"/>
        <v>14129.279999999995</v>
      </c>
      <c r="P32" t="str">
        <f t="shared" si="3"/>
        <v>Sep</v>
      </c>
    </row>
    <row r="33" spans="1:16" x14ac:dyDescent="0.25">
      <c r="A33">
        <v>1059</v>
      </c>
      <c r="B33" s="1">
        <v>45169</v>
      </c>
      <c r="C33">
        <f t="shared" si="0"/>
        <v>129123.03600000001</v>
      </c>
      <c r="D33">
        <v>35</v>
      </c>
      <c r="E33">
        <v>3333.64</v>
      </c>
      <c r="F33">
        <v>3764.52</v>
      </c>
      <c r="G33">
        <v>0.02</v>
      </c>
      <c r="H33" t="str">
        <f>PROPER(TRIM(sales_data!C33))</f>
        <v>Alice</v>
      </c>
      <c r="I33" t="str">
        <f>PROPER(TRIM(sales_data!D33))</f>
        <v>North</v>
      </c>
      <c r="J33" t="str">
        <f>PROPER(TRIM(sales_data!G33))</f>
        <v>Food</v>
      </c>
      <c r="K33" t="str">
        <f>PROPER(TRIM(sales_data!J33))</f>
        <v>Returning</v>
      </c>
      <c r="L33" t="str">
        <f>PROPER(TRIM(sales_data!L33))</f>
        <v>Credit Card</v>
      </c>
      <c r="M33" t="str">
        <f>PROPER(TRIM(sales_data!M33))</f>
        <v>Online</v>
      </c>
      <c r="N33">
        <f t="shared" si="1"/>
        <v>430.88000000000011</v>
      </c>
      <c r="O33">
        <f t="shared" si="2"/>
        <v>15080.800000000003</v>
      </c>
      <c r="P33" t="str">
        <f t="shared" si="3"/>
        <v>Aug</v>
      </c>
    </row>
    <row r="34" spans="1:16" x14ac:dyDescent="0.25">
      <c r="A34">
        <v>1042</v>
      </c>
      <c r="B34" s="1">
        <v>44957</v>
      </c>
      <c r="C34">
        <f t="shared" si="0"/>
        <v>8776.4291999999987</v>
      </c>
      <c r="D34">
        <v>11</v>
      </c>
      <c r="E34">
        <v>635.20000000000005</v>
      </c>
      <c r="F34">
        <v>814.14</v>
      </c>
      <c r="G34">
        <v>0.02</v>
      </c>
      <c r="H34" t="str">
        <f>PROPER(TRIM(sales_data!C34))</f>
        <v>Alice</v>
      </c>
      <c r="I34" t="str">
        <f>PROPER(TRIM(sales_data!D34))</f>
        <v>North</v>
      </c>
      <c r="J34" t="str">
        <f>PROPER(TRIM(sales_data!G34))</f>
        <v>Food</v>
      </c>
      <c r="K34" t="str">
        <f>PROPER(TRIM(sales_data!J34))</f>
        <v>Returning</v>
      </c>
      <c r="L34" t="str">
        <f>PROPER(TRIM(sales_data!L34))</f>
        <v>Cash</v>
      </c>
      <c r="M34" t="str">
        <f>PROPER(TRIM(sales_data!M34))</f>
        <v>Online</v>
      </c>
      <c r="N34">
        <f t="shared" si="1"/>
        <v>178.93999999999994</v>
      </c>
      <c r="O34">
        <f t="shared" si="2"/>
        <v>1968.3399999999992</v>
      </c>
      <c r="P34" t="str">
        <f t="shared" si="3"/>
        <v>Jan</v>
      </c>
    </row>
    <row r="35" spans="1:16" x14ac:dyDescent="0.25">
      <c r="A35">
        <v>1092</v>
      </c>
      <c r="B35" s="1">
        <v>44966</v>
      </c>
      <c r="C35">
        <f t="shared" si="0"/>
        <v>53279.87</v>
      </c>
      <c r="D35">
        <v>34</v>
      </c>
      <c r="E35">
        <v>2037.41</v>
      </c>
      <c r="F35">
        <v>2238.65</v>
      </c>
      <c r="G35">
        <v>0.3</v>
      </c>
      <c r="H35" t="str">
        <f>PROPER(TRIM(sales_data!C35))</f>
        <v>David</v>
      </c>
      <c r="I35" t="str">
        <f>PROPER(TRIM(sales_data!D35))</f>
        <v>West</v>
      </c>
      <c r="J35" t="str">
        <f>PROPER(TRIM(sales_data!G35))</f>
        <v>Furniture</v>
      </c>
      <c r="K35" t="str">
        <f>PROPER(TRIM(sales_data!J35))</f>
        <v>New</v>
      </c>
      <c r="L35" t="str">
        <f>PROPER(TRIM(sales_data!L35))</f>
        <v>Credit Card</v>
      </c>
      <c r="M35" t="str">
        <f>PROPER(TRIM(sales_data!M35))</f>
        <v>Online</v>
      </c>
      <c r="N35">
        <f t="shared" si="1"/>
        <v>201.24</v>
      </c>
      <c r="O35">
        <f t="shared" si="2"/>
        <v>6842.16</v>
      </c>
      <c r="P35" t="str">
        <f t="shared" si="3"/>
        <v>Feb</v>
      </c>
    </row>
    <row r="36" spans="1:16" x14ac:dyDescent="0.25">
      <c r="A36">
        <v>1060</v>
      </c>
      <c r="B36" s="1">
        <v>45155</v>
      </c>
      <c r="C36">
        <f t="shared" si="0"/>
        <v>53778.6944</v>
      </c>
      <c r="D36">
        <v>16</v>
      </c>
      <c r="E36">
        <v>3975.99</v>
      </c>
      <c r="F36">
        <v>4422.59</v>
      </c>
      <c r="G36">
        <v>0.24</v>
      </c>
      <c r="H36" t="str">
        <f>PROPER(TRIM(sales_data!C36))</f>
        <v>Bob</v>
      </c>
      <c r="I36" t="str">
        <f>PROPER(TRIM(sales_data!D36))</f>
        <v>East</v>
      </c>
      <c r="J36" t="str">
        <f>PROPER(TRIM(sales_data!G36))</f>
        <v>Clothing</v>
      </c>
      <c r="K36" t="str">
        <f>PROPER(TRIM(sales_data!J36))</f>
        <v>New</v>
      </c>
      <c r="L36" t="str">
        <f>PROPER(TRIM(sales_data!L36))</f>
        <v>Cash</v>
      </c>
      <c r="M36" t="str">
        <f>PROPER(TRIM(sales_data!M36))</f>
        <v>Online</v>
      </c>
      <c r="N36">
        <f t="shared" si="1"/>
        <v>446.60000000000036</v>
      </c>
      <c r="O36">
        <f t="shared" si="2"/>
        <v>7145.6000000000058</v>
      </c>
      <c r="P36" t="str">
        <f t="shared" si="3"/>
        <v>Aug</v>
      </c>
    </row>
    <row r="37" spans="1:16" x14ac:dyDescent="0.25">
      <c r="A37">
        <v>1080</v>
      </c>
      <c r="B37" s="1">
        <v>44962</v>
      </c>
      <c r="C37">
        <f t="shared" si="0"/>
        <v>10045.2312</v>
      </c>
      <c r="D37">
        <v>9</v>
      </c>
      <c r="E37">
        <v>1141.52</v>
      </c>
      <c r="F37">
        <v>1550.19</v>
      </c>
      <c r="G37">
        <v>0.28000000000000003</v>
      </c>
      <c r="H37" t="str">
        <f>PROPER(TRIM(sales_data!C37))</f>
        <v>Charlie</v>
      </c>
      <c r="I37" t="str">
        <f>PROPER(TRIM(sales_data!D37))</f>
        <v>South</v>
      </c>
      <c r="J37" t="str">
        <f>PROPER(TRIM(sales_data!G37))</f>
        <v>Electronics</v>
      </c>
      <c r="K37" t="str">
        <f>PROPER(TRIM(sales_data!J37))</f>
        <v>New</v>
      </c>
      <c r="L37" t="str">
        <f>PROPER(TRIM(sales_data!L37))</f>
        <v>Credit Card</v>
      </c>
      <c r="M37" t="str">
        <f>PROPER(TRIM(sales_data!M37))</f>
        <v>Retail</v>
      </c>
      <c r="N37">
        <f t="shared" si="1"/>
        <v>408.67000000000007</v>
      </c>
      <c r="O37">
        <f t="shared" si="2"/>
        <v>3678.0300000000007</v>
      </c>
      <c r="P37" t="str">
        <f t="shared" si="3"/>
        <v>Feb</v>
      </c>
    </row>
    <row r="38" spans="1:16" x14ac:dyDescent="0.25">
      <c r="A38">
        <v>1015</v>
      </c>
      <c r="B38" s="1">
        <v>45149</v>
      </c>
      <c r="C38">
        <f t="shared" si="0"/>
        <v>40031.667199999996</v>
      </c>
      <c r="D38">
        <v>32</v>
      </c>
      <c r="E38">
        <v>970.51</v>
      </c>
      <c r="F38">
        <v>1330.84</v>
      </c>
      <c r="G38">
        <v>0.06</v>
      </c>
      <c r="H38" t="str">
        <f>PROPER(TRIM(sales_data!C38))</f>
        <v>Eve</v>
      </c>
      <c r="I38" t="str">
        <f>PROPER(TRIM(sales_data!D38))</f>
        <v>East</v>
      </c>
      <c r="J38" t="str">
        <f>PROPER(TRIM(sales_data!G38))</f>
        <v>Furniture</v>
      </c>
      <c r="K38" t="str">
        <f>PROPER(TRIM(sales_data!J38))</f>
        <v>Returning</v>
      </c>
      <c r="L38" t="str">
        <f>PROPER(TRIM(sales_data!L38))</f>
        <v>Cash</v>
      </c>
      <c r="M38" t="str">
        <f>PROPER(TRIM(sales_data!M38))</f>
        <v>Retail</v>
      </c>
      <c r="N38">
        <f t="shared" si="1"/>
        <v>360.32999999999993</v>
      </c>
      <c r="O38">
        <f t="shared" si="2"/>
        <v>11530.559999999998</v>
      </c>
      <c r="P38" t="str">
        <f t="shared" si="3"/>
        <v>Aug</v>
      </c>
    </row>
    <row r="39" spans="1:16" x14ac:dyDescent="0.25">
      <c r="A39">
        <v>1062</v>
      </c>
      <c r="B39" s="1">
        <v>44932</v>
      </c>
      <c r="C39">
        <f t="shared" si="0"/>
        <v>52062.098999999995</v>
      </c>
      <c r="D39">
        <v>15</v>
      </c>
      <c r="E39">
        <v>4756.55</v>
      </c>
      <c r="F39">
        <v>4888.46</v>
      </c>
      <c r="G39">
        <v>0.28999999999999998</v>
      </c>
      <c r="H39" t="str">
        <f>PROPER(TRIM(sales_data!C39))</f>
        <v>Eve</v>
      </c>
      <c r="I39" t="str">
        <f>PROPER(TRIM(sales_data!D39))</f>
        <v>East</v>
      </c>
      <c r="J39" t="str">
        <f>PROPER(TRIM(sales_data!G39))</f>
        <v>Clothing</v>
      </c>
      <c r="K39" t="str">
        <f>PROPER(TRIM(sales_data!J39))</f>
        <v>New</v>
      </c>
      <c r="L39" t="str">
        <f>PROPER(TRIM(sales_data!L39))</f>
        <v>Credit Card</v>
      </c>
      <c r="M39" t="str">
        <f>PROPER(TRIM(sales_data!M39))</f>
        <v>Online</v>
      </c>
      <c r="N39">
        <f t="shared" si="1"/>
        <v>131.90999999999985</v>
      </c>
      <c r="O39">
        <f t="shared" si="2"/>
        <v>1978.6499999999978</v>
      </c>
      <c r="P39" t="str">
        <f t="shared" si="3"/>
        <v>Jan</v>
      </c>
    </row>
    <row r="40" spans="1:16" x14ac:dyDescent="0.25">
      <c r="A40">
        <v>1062</v>
      </c>
      <c r="B40" s="1">
        <v>45248</v>
      </c>
      <c r="C40">
        <f t="shared" si="0"/>
        <v>17798.399999999998</v>
      </c>
      <c r="D40">
        <v>12</v>
      </c>
      <c r="E40">
        <v>1088.99</v>
      </c>
      <c r="F40">
        <v>1545</v>
      </c>
      <c r="G40">
        <v>0.04</v>
      </c>
      <c r="H40" t="str">
        <f>PROPER(TRIM(sales_data!C40))</f>
        <v>Alice</v>
      </c>
      <c r="I40" t="str">
        <f>PROPER(TRIM(sales_data!D40))</f>
        <v>East</v>
      </c>
      <c r="J40" t="str">
        <f>PROPER(TRIM(sales_data!G40))</f>
        <v>Furniture</v>
      </c>
      <c r="K40" t="str">
        <f>PROPER(TRIM(sales_data!J40))</f>
        <v>Returning</v>
      </c>
      <c r="L40" t="str">
        <f>PROPER(TRIM(sales_data!L40))</f>
        <v>Bank Transfer</v>
      </c>
      <c r="M40" t="str">
        <f>PROPER(TRIM(sales_data!M40))</f>
        <v>Retail</v>
      </c>
      <c r="N40">
        <f t="shared" si="1"/>
        <v>456.01</v>
      </c>
      <c r="O40">
        <f t="shared" si="2"/>
        <v>5472.12</v>
      </c>
      <c r="P40" t="str">
        <f t="shared" si="3"/>
        <v>Nov</v>
      </c>
    </row>
    <row r="41" spans="1:16" x14ac:dyDescent="0.25">
      <c r="A41">
        <v>1047</v>
      </c>
      <c r="B41" s="1">
        <v>45146</v>
      </c>
      <c r="C41">
        <f t="shared" si="0"/>
        <v>40033.2405</v>
      </c>
      <c r="D41">
        <v>33</v>
      </c>
      <c r="E41">
        <v>1341.55</v>
      </c>
      <c r="F41">
        <v>1427.21</v>
      </c>
      <c r="G41">
        <v>0.15</v>
      </c>
      <c r="H41" t="str">
        <f>PROPER(TRIM(sales_data!C41))</f>
        <v>David</v>
      </c>
      <c r="I41" t="str">
        <f>PROPER(TRIM(sales_data!D41))</f>
        <v>North</v>
      </c>
      <c r="J41" t="str">
        <f>PROPER(TRIM(sales_data!G41))</f>
        <v>Electronics</v>
      </c>
      <c r="K41" t="str">
        <f>PROPER(TRIM(sales_data!J41))</f>
        <v>Returning</v>
      </c>
      <c r="L41" t="str">
        <f>PROPER(TRIM(sales_data!L41))</f>
        <v>Credit Card</v>
      </c>
      <c r="M41" t="str">
        <f>PROPER(TRIM(sales_data!M41))</f>
        <v>Online</v>
      </c>
      <c r="N41">
        <f t="shared" si="1"/>
        <v>85.660000000000082</v>
      </c>
      <c r="O41">
        <f t="shared" si="2"/>
        <v>2826.7800000000025</v>
      </c>
      <c r="P41" t="str">
        <f t="shared" si="3"/>
        <v>Aug</v>
      </c>
    </row>
    <row r="42" spans="1:16" x14ac:dyDescent="0.25">
      <c r="A42">
        <v>1062</v>
      </c>
      <c r="B42" s="1">
        <v>45001</v>
      </c>
      <c r="C42">
        <f t="shared" si="0"/>
        <v>174376.80000000002</v>
      </c>
      <c r="D42">
        <v>45</v>
      </c>
      <c r="E42">
        <v>4849.6000000000004</v>
      </c>
      <c r="F42">
        <v>5166.72</v>
      </c>
      <c r="G42">
        <v>0.25</v>
      </c>
      <c r="H42" t="str">
        <f>PROPER(TRIM(sales_data!C42))</f>
        <v>David</v>
      </c>
      <c r="I42" t="str">
        <f>PROPER(TRIM(sales_data!D42))</f>
        <v>West</v>
      </c>
      <c r="J42" t="str">
        <f>PROPER(TRIM(sales_data!G42))</f>
        <v>Furniture</v>
      </c>
      <c r="K42" t="str">
        <f>PROPER(TRIM(sales_data!J42))</f>
        <v>Returning</v>
      </c>
      <c r="L42" t="str">
        <f>PROPER(TRIM(sales_data!L42))</f>
        <v>Credit Card</v>
      </c>
      <c r="M42" t="str">
        <f>PROPER(TRIM(sales_data!M42))</f>
        <v>Online</v>
      </c>
      <c r="N42">
        <f t="shared" si="1"/>
        <v>317.11999999999989</v>
      </c>
      <c r="O42">
        <f t="shared" si="2"/>
        <v>14270.399999999994</v>
      </c>
      <c r="P42" t="str">
        <f t="shared" si="3"/>
        <v>Mar</v>
      </c>
    </row>
    <row r="43" spans="1:16" x14ac:dyDescent="0.25">
      <c r="A43">
        <v>1051</v>
      </c>
      <c r="B43" s="1">
        <v>44930</v>
      </c>
      <c r="C43">
        <f t="shared" si="0"/>
        <v>46757.592000000004</v>
      </c>
      <c r="D43">
        <v>14</v>
      </c>
      <c r="E43">
        <v>3686.81</v>
      </c>
      <c r="F43">
        <v>3710.92</v>
      </c>
      <c r="G43">
        <v>0.1</v>
      </c>
      <c r="H43" t="str">
        <f>PROPER(TRIM(sales_data!C43))</f>
        <v>Eve</v>
      </c>
      <c r="I43" t="str">
        <f>PROPER(TRIM(sales_data!D43))</f>
        <v>North</v>
      </c>
      <c r="J43" t="str">
        <f>PROPER(TRIM(sales_data!G43))</f>
        <v>Electronics</v>
      </c>
      <c r="K43" t="str">
        <f>PROPER(TRIM(sales_data!J43))</f>
        <v>New</v>
      </c>
      <c r="L43" t="str">
        <f>PROPER(TRIM(sales_data!L43))</f>
        <v>Bank Transfer</v>
      </c>
      <c r="M43" t="str">
        <f>PROPER(TRIM(sales_data!M43))</f>
        <v>Retail</v>
      </c>
      <c r="N43">
        <f t="shared" si="1"/>
        <v>24.110000000000127</v>
      </c>
      <c r="O43">
        <f t="shared" si="2"/>
        <v>337.54000000000178</v>
      </c>
      <c r="P43" t="str">
        <f t="shared" si="3"/>
        <v>Jan</v>
      </c>
    </row>
    <row r="44" spans="1:16" x14ac:dyDescent="0.25">
      <c r="A44">
        <v>1055</v>
      </c>
      <c r="B44" s="1">
        <v>45261</v>
      </c>
      <c r="C44">
        <f t="shared" si="0"/>
        <v>26715.403200000001</v>
      </c>
      <c r="D44">
        <v>8</v>
      </c>
      <c r="E44">
        <v>3513</v>
      </c>
      <c r="F44">
        <v>3838.42</v>
      </c>
      <c r="G44">
        <v>0.13</v>
      </c>
      <c r="H44" t="str">
        <f>PROPER(TRIM(sales_data!C44))</f>
        <v>Charlie</v>
      </c>
      <c r="I44" t="str">
        <f>PROPER(TRIM(sales_data!D44))</f>
        <v>West</v>
      </c>
      <c r="J44" t="str">
        <f>PROPER(TRIM(sales_data!G44))</f>
        <v>Furniture</v>
      </c>
      <c r="K44" t="str">
        <f>PROPER(TRIM(sales_data!J44))</f>
        <v>Returning</v>
      </c>
      <c r="L44" t="str">
        <f>PROPER(TRIM(sales_data!L44))</f>
        <v>Bank Transfer</v>
      </c>
      <c r="M44" t="str">
        <f>PROPER(TRIM(sales_data!M44))</f>
        <v>Online</v>
      </c>
      <c r="N44">
        <f t="shared" si="1"/>
        <v>325.42000000000007</v>
      </c>
      <c r="O44">
        <f t="shared" si="2"/>
        <v>2603.3600000000006</v>
      </c>
      <c r="P44" t="str">
        <f t="shared" si="3"/>
        <v>Dec</v>
      </c>
    </row>
    <row r="45" spans="1:16" x14ac:dyDescent="0.25">
      <c r="A45">
        <v>1064</v>
      </c>
      <c r="B45" s="1">
        <v>45060</v>
      </c>
      <c r="C45">
        <f t="shared" si="0"/>
        <v>33928.627199999995</v>
      </c>
      <c r="D45">
        <v>8</v>
      </c>
      <c r="E45">
        <v>4271.99</v>
      </c>
      <c r="F45">
        <v>4417.79</v>
      </c>
      <c r="G45">
        <v>0.04</v>
      </c>
      <c r="H45" t="str">
        <f>PROPER(TRIM(sales_data!C45))</f>
        <v>Bob</v>
      </c>
      <c r="I45" t="str">
        <f>PROPER(TRIM(sales_data!D45))</f>
        <v>South</v>
      </c>
      <c r="J45" t="str">
        <f>PROPER(TRIM(sales_data!G45))</f>
        <v>Electronics</v>
      </c>
      <c r="K45" t="str">
        <f>PROPER(TRIM(sales_data!J45))</f>
        <v>Returning</v>
      </c>
      <c r="L45" t="str">
        <f>PROPER(TRIM(sales_data!L45))</f>
        <v>Cash</v>
      </c>
      <c r="M45" t="str">
        <f>PROPER(TRIM(sales_data!M45))</f>
        <v>Online</v>
      </c>
      <c r="N45">
        <f t="shared" si="1"/>
        <v>145.80000000000018</v>
      </c>
      <c r="O45">
        <f t="shared" si="2"/>
        <v>1166.4000000000015</v>
      </c>
      <c r="P45" t="str">
        <f t="shared" si="3"/>
        <v>May</v>
      </c>
    </row>
    <row r="46" spans="1:16" x14ac:dyDescent="0.25">
      <c r="A46">
        <v>1003</v>
      </c>
      <c r="B46" s="1">
        <v>45044</v>
      </c>
      <c r="C46">
        <f t="shared" si="0"/>
        <v>22126.867200000001</v>
      </c>
      <c r="D46">
        <v>27</v>
      </c>
      <c r="E46">
        <v>623.32000000000005</v>
      </c>
      <c r="F46">
        <v>853.66</v>
      </c>
      <c r="G46">
        <v>0.04</v>
      </c>
      <c r="H46" t="str">
        <f>PROPER(TRIM(sales_data!C46))</f>
        <v>Charlie</v>
      </c>
      <c r="I46" t="str">
        <f>PROPER(TRIM(sales_data!D46))</f>
        <v>South</v>
      </c>
      <c r="J46" t="str">
        <f>PROPER(TRIM(sales_data!G46))</f>
        <v>Furniture</v>
      </c>
      <c r="K46" t="str">
        <f>PROPER(TRIM(sales_data!J46))</f>
        <v>Returning</v>
      </c>
      <c r="L46" t="str">
        <f>PROPER(TRIM(sales_data!L46))</f>
        <v>Cash</v>
      </c>
      <c r="M46" t="str">
        <f>PROPER(TRIM(sales_data!M46))</f>
        <v>Online</v>
      </c>
      <c r="N46">
        <f t="shared" si="1"/>
        <v>230.33999999999992</v>
      </c>
      <c r="O46">
        <f t="shared" si="2"/>
        <v>6219.1799999999976</v>
      </c>
      <c r="P46" t="str">
        <f t="shared" si="3"/>
        <v>Apr</v>
      </c>
    </row>
    <row r="47" spans="1:16" x14ac:dyDescent="0.25">
      <c r="A47">
        <v>1051</v>
      </c>
      <c r="B47" s="1">
        <v>45020</v>
      </c>
      <c r="C47">
        <f t="shared" si="0"/>
        <v>36193.975200000001</v>
      </c>
      <c r="D47">
        <v>12</v>
      </c>
      <c r="E47">
        <v>3544.48</v>
      </c>
      <c r="F47">
        <v>3723.66</v>
      </c>
      <c r="G47">
        <v>0.19</v>
      </c>
      <c r="H47" t="str">
        <f>PROPER(TRIM(sales_data!C47))</f>
        <v>Bob</v>
      </c>
      <c r="I47" t="str">
        <f>PROPER(TRIM(sales_data!D47))</f>
        <v>East</v>
      </c>
      <c r="J47" t="str">
        <f>PROPER(TRIM(sales_data!G47))</f>
        <v>Electronics</v>
      </c>
      <c r="K47" t="str">
        <f>PROPER(TRIM(sales_data!J47))</f>
        <v>Returning</v>
      </c>
      <c r="L47" t="str">
        <f>PROPER(TRIM(sales_data!L47))</f>
        <v>Cash</v>
      </c>
      <c r="M47" t="str">
        <f>PROPER(TRIM(sales_data!M47))</f>
        <v>Online</v>
      </c>
      <c r="N47">
        <f t="shared" si="1"/>
        <v>179.17999999999984</v>
      </c>
      <c r="O47">
        <f t="shared" si="2"/>
        <v>2150.159999999998</v>
      </c>
      <c r="P47" t="str">
        <f t="shared" si="3"/>
        <v>Apr</v>
      </c>
    </row>
    <row r="48" spans="1:16" x14ac:dyDescent="0.25">
      <c r="A48">
        <v>1007</v>
      </c>
      <c r="B48" s="1">
        <v>44988</v>
      </c>
      <c r="C48">
        <f t="shared" si="0"/>
        <v>2110.328</v>
      </c>
      <c r="D48">
        <v>1</v>
      </c>
      <c r="E48">
        <v>2543.2600000000002</v>
      </c>
      <c r="F48">
        <v>2637.91</v>
      </c>
      <c r="G48">
        <v>0.2</v>
      </c>
      <c r="H48" t="str">
        <f>PROPER(TRIM(sales_data!C48))</f>
        <v>Eve</v>
      </c>
      <c r="I48" t="str">
        <f>PROPER(TRIM(sales_data!D48))</f>
        <v>West</v>
      </c>
      <c r="J48" t="str">
        <f>PROPER(TRIM(sales_data!G48))</f>
        <v>Food</v>
      </c>
      <c r="K48" t="str">
        <f>PROPER(TRIM(sales_data!J48))</f>
        <v>Returning</v>
      </c>
      <c r="L48" t="str">
        <f>PROPER(TRIM(sales_data!L48))</f>
        <v>Credit Card</v>
      </c>
      <c r="M48" t="str">
        <f>PROPER(TRIM(sales_data!M48))</f>
        <v>Online</v>
      </c>
      <c r="N48">
        <f t="shared" si="1"/>
        <v>94.649999999999636</v>
      </c>
      <c r="O48">
        <f t="shared" si="2"/>
        <v>94.649999999999636</v>
      </c>
      <c r="P48" t="str">
        <f t="shared" si="3"/>
        <v>Mar</v>
      </c>
    </row>
    <row r="49" spans="1:16" x14ac:dyDescent="0.25">
      <c r="A49">
        <v>1021</v>
      </c>
      <c r="B49" s="1">
        <v>45120</v>
      </c>
      <c r="C49">
        <f t="shared" si="0"/>
        <v>147970.90769999998</v>
      </c>
      <c r="D49">
        <v>43</v>
      </c>
      <c r="E49">
        <v>4154.3</v>
      </c>
      <c r="F49">
        <v>4469.07</v>
      </c>
      <c r="G49">
        <v>0.23</v>
      </c>
      <c r="H49" t="str">
        <f>PROPER(TRIM(sales_data!C49))</f>
        <v>Bob</v>
      </c>
      <c r="I49" t="str">
        <f>PROPER(TRIM(sales_data!D49))</f>
        <v>West</v>
      </c>
      <c r="J49" t="str">
        <f>PROPER(TRIM(sales_data!G49))</f>
        <v>Furniture</v>
      </c>
      <c r="K49" t="str">
        <f>PROPER(TRIM(sales_data!J49))</f>
        <v>Returning</v>
      </c>
      <c r="L49" t="str">
        <f>PROPER(TRIM(sales_data!L49))</f>
        <v>Cash</v>
      </c>
      <c r="M49" t="str">
        <f>PROPER(TRIM(sales_data!M49))</f>
        <v>Retail</v>
      </c>
      <c r="N49">
        <f t="shared" si="1"/>
        <v>314.76999999999953</v>
      </c>
      <c r="O49">
        <f t="shared" si="2"/>
        <v>13535.109999999979</v>
      </c>
      <c r="P49" t="str">
        <f t="shared" si="3"/>
        <v>Jul</v>
      </c>
    </row>
    <row r="50" spans="1:16" x14ac:dyDescent="0.25">
      <c r="A50">
        <v>1073</v>
      </c>
      <c r="B50" s="1">
        <v>45261</v>
      </c>
      <c r="C50">
        <f t="shared" si="0"/>
        <v>99848.003999999986</v>
      </c>
      <c r="D50">
        <v>40</v>
      </c>
      <c r="E50">
        <v>2565.3000000000002</v>
      </c>
      <c r="F50">
        <v>3007.47</v>
      </c>
      <c r="G50">
        <v>0.17</v>
      </c>
      <c r="H50" t="str">
        <f>PROPER(TRIM(sales_data!C50))</f>
        <v>David</v>
      </c>
      <c r="I50" t="str">
        <f>PROPER(TRIM(sales_data!D50))</f>
        <v>West</v>
      </c>
      <c r="J50" t="str">
        <f>PROPER(TRIM(sales_data!G50))</f>
        <v>Furniture</v>
      </c>
      <c r="K50" t="str">
        <f>PROPER(TRIM(sales_data!J50))</f>
        <v>Returning</v>
      </c>
      <c r="L50" t="str">
        <f>PROPER(TRIM(sales_data!L50))</f>
        <v>Credit Card</v>
      </c>
      <c r="M50" t="str">
        <f>PROPER(TRIM(sales_data!M50))</f>
        <v>Retail</v>
      </c>
      <c r="N50">
        <f t="shared" si="1"/>
        <v>442.16999999999962</v>
      </c>
      <c r="O50">
        <f t="shared" si="2"/>
        <v>17686.799999999985</v>
      </c>
      <c r="P50" t="str">
        <f t="shared" si="3"/>
        <v>Dec</v>
      </c>
    </row>
    <row r="51" spans="1:16" x14ac:dyDescent="0.25">
      <c r="A51">
        <v>1039</v>
      </c>
      <c r="B51" s="1">
        <v>45129</v>
      </c>
      <c r="C51">
        <f t="shared" si="0"/>
        <v>122476.76280000001</v>
      </c>
      <c r="D51">
        <v>42</v>
      </c>
      <c r="E51">
        <v>3120.19</v>
      </c>
      <c r="F51">
        <v>3600.14</v>
      </c>
      <c r="G51">
        <v>0.19</v>
      </c>
      <c r="H51" t="str">
        <f>PROPER(TRIM(sales_data!C51))</f>
        <v>Alice</v>
      </c>
      <c r="I51" t="str">
        <f>PROPER(TRIM(sales_data!D51))</f>
        <v>East</v>
      </c>
      <c r="J51" t="str">
        <f>PROPER(TRIM(sales_data!G51))</f>
        <v>Clothing</v>
      </c>
      <c r="K51" t="str">
        <f>PROPER(TRIM(sales_data!J51))</f>
        <v>Returning</v>
      </c>
      <c r="L51" t="str">
        <f>PROPER(TRIM(sales_data!L51))</f>
        <v>Credit Card</v>
      </c>
      <c r="M51" t="str">
        <f>PROPER(TRIM(sales_data!M51))</f>
        <v>Retail</v>
      </c>
      <c r="N51">
        <f t="shared" si="1"/>
        <v>479.94999999999982</v>
      </c>
      <c r="O51">
        <f t="shared" si="2"/>
        <v>20157.899999999994</v>
      </c>
      <c r="P51" t="str">
        <f t="shared" si="3"/>
        <v>Jul</v>
      </c>
    </row>
    <row r="52" spans="1:16" x14ac:dyDescent="0.25">
      <c r="A52">
        <v>1018</v>
      </c>
      <c r="B52" s="1">
        <v>44952</v>
      </c>
      <c r="C52">
        <f t="shared" si="0"/>
        <v>27709.77</v>
      </c>
      <c r="D52">
        <v>11</v>
      </c>
      <c r="E52">
        <v>2414.8200000000002</v>
      </c>
      <c r="F52">
        <v>2519.0700000000002</v>
      </c>
      <c r="G52">
        <v>0</v>
      </c>
      <c r="H52" t="str">
        <f>PROPER(TRIM(sales_data!C52))</f>
        <v>Alice</v>
      </c>
      <c r="I52" t="str">
        <f>PROPER(TRIM(sales_data!D52))</f>
        <v>East</v>
      </c>
      <c r="J52" t="str">
        <f>PROPER(TRIM(sales_data!G52))</f>
        <v>Clothing</v>
      </c>
      <c r="K52" t="str">
        <f>PROPER(TRIM(sales_data!J52))</f>
        <v>Returning</v>
      </c>
      <c r="L52" t="str">
        <f>PROPER(TRIM(sales_data!L52))</f>
        <v>Cash</v>
      </c>
      <c r="M52" t="str">
        <f>PROPER(TRIM(sales_data!M52))</f>
        <v>Online</v>
      </c>
      <c r="N52">
        <f t="shared" si="1"/>
        <v>104.25</v>
      </c>
      <c r="O52">
        <f t="shared" si="2"/>
        <v>1146.75</v>
      </c>
      <c r="P52" t="str">
        <f t="shared" si="3"/>
        <v>Jan</v>
      </c>
    </row>
    <row r="53" spans="1:16" x14ac:dyDescent="0.25">
      <c r="A53">
        <v>1004</v>
      </c>
      <c r="B53" s="1">
        <v>45099</v>
      </c>
      <c r="C53">
        <f t="shared" si="0"/>
        <v>102939.71999999962</v>
      </c>
      <c r="D53">
        <v>39</v>
      </c>
      <c r="E53">
        <v>2416.89</v>
      </c>
      <c r="F53">
        <v>2778.3999999999901</v>
      </c>
      <c r="G53">
        <v>0.05</v>
      </c>
      <c r="H53" t="str">
        <f>PROPER(TRIM(sales_data!C53))</f>
        <v>Eve</v>
      </c>
      <c r="I53" t="str">
        <f>PROPER(TRIM(sales_data!D53))</f>
        <v>South</v>
      </c>
      <c r="J53" t="str">
        <f>PROPER(TRIM(sales_data!G53))</f>
        <v>Electronics</v>
      </c>
      <c r="K53" t="str">
        <f>PROPER(TRIM(sales_data!J53))</f>
        <v>Returning</v>
      </c>
      <c r="L53" t="str">
        <f>PROPER(TRIM(sales_data!L53))</f>
        <v>Cash</v>
      </c>
      <c r="M53" t="str">
        <f>PROPER(TRIM(sales_data!M53))</f>
        <v>Online</v>
      </c>
      <c r="N53">
        <f t="shared" si="1"/>
        <v>361.50999999999021</v>
      </c>
      <c r="O53">
        <f t="shared" si="2"/>
        <v>14098.889999999617</v>
      </c>
      <c r="P53" t="str">
        <f t="shared" si="3"/>
        <v>Jun</v>
      </c>
    </row>
    <row r="54" spans="1:16" x14ac:dyDescent="0.25">
      <c r="A54">
        <v>1089</v>
      </c>
      <c r="B54" s="1">
        <v>45226</v>
      </c>
      <c r="C54">
        <f t="shared" si="0"/>
        <v>126028.09799999998</v>
      </c>
      <c r="D54">
        <v>43</v>
      </c>
      <c r="E54">
        <v>3851.45</v>
      </c>
      <c r="F54">
        <v>4186.9799999999996</v>
      </c>
      <c r="G54">
        <v>0.3</v>
      </c>
      <c r="H54" t="str">
        <f>PROPER(TRIM(sales_data!C54))</f>
        <v>David</v>
      </c>
      <c r="I54" t="str">
        <f>PROPER(TRIM(sales_data!D54))</f>
        <v>North</v>
      </c>
      <c r="J54" t="str">
        <f>PROPER(TRIM(sales_data!G54))</f>
        <v>Furniture</v>
      </c>
      <c r="K54" t="str">
        <f>PROPER(TRIM(sales_data!J54))</f>
        <v>Returning</v>
      </c>
      <c r="L54" t="str">
        <f>PROPER(TRIM(sales_data!L54))</f>
        <v>Credit Card</v>
      </c>
      <c r="M54" t="str">
        <f>PROPER(TRIM(sales_data!M54))</f>
        <v>Online</v>
      </c>
      <c r="N54">
        <f t="shared" si="1"/>
        <v>335.52999999999975</v>
      </c>
      <c r="O54">
        <f t="shared" si="2"/>
        <v>14427.78999999999</v>
      </c>
      <c r="P54" t="str">
        <f t="shared" si="3"/>
        <v>Oct</v>
      </c>
    </row>
    <row r="55" spans="1:16" x14ac:dyDescent="0.25">
      <c r="A55">
        <v>1060</v>
      </c>
      <c r="B55" s="1">
        <v>45059</v>
      </c>
      <c r="C55">
        <f t="shared" si="0"/>
        <v>101458.87079999999</v>
      </c>
      <c r="D55">
        <v>31</v>
      </c>
      <c r="E55">
        <v>3161.4</v>
      </c>
      <c r="F55">
        <v>3339.66</v>
      </c>
      <c r="G55">
        <v>0.02</v>
      </c>
      <c r="H55" t="str">
        <f>PROPER(TRIM(sales_data!C55))</f>
        <v>Charlie</v>
      </c>
      <c r="I55" t="str">
        <f>PROPER(TRIM(sales_data!D55))</f>
        <v>West</v>
      </c>
      <c r="J55" t="str">
        <f>PROPER(TRIM(sales_data!G55))</f>
        <v>Electronics</v>
      </c>
      <c r="K55" t="str">
        <f>PROPER(TRIM(sales_data!J55))</f>
        <v>Returning</v>
      </c>
      <c r="L55" t="str">
        <f>PROPER(TRIM(sales_data!L55))</f>
        <v>Bank Transfer</v>
      </c>
      <c r="M55" t="str">
        <f>PROPER(TRIM(sales_data!M55))</f>
        <v>Online</v>
      </c>
      <c r="N55">
        <f t="shared" si="1"/>
        <v>178.25999999999976</v>
      </c>
      <c r="O55">
        <f t="shared" si="2"/>
        <v>5526.0599999999922</v>
      </c>
      <c r="P55" t="str">
        <f t="shared" si="3"/>
        <v>May</v>
      </c>
    </row>
    <row r="56" spans="1:16" x14ac:dyDescent="0.25">
      <c r="A56">
        <v>1014</v>
      </c>
      <c r="B56" s="1">
        <v>45252</v>
      </c>
      <c r="C56">
        <f t="shared" si="0"/>
        <v>43574.536000000007</v>
      </c>
      <c r="D56">
        <v>17</v>
      </c>
      <c r="E56">
        <v>3184.65</v>
      </c>
      <c r="F56">
        <v>3204.01</v>
      </c>
      <c r="G56">
        <v>0.2</v>
      </c>
      <c r="H56" t="str">
        <f>PROPER(TRIM(sales_data!C56))</f>
        <v>David</v>
      </c>
      <c r="I56" t="str">
        <f>PROPER(TRIM(sales_data!D56))</f>
        <v>West</v>
      </c>
      <c r="J56" t="str">
        <f>PROPER(TRIM(sales_data!G56))</f>
        <v>Food</v>
      </c>
      <c r="K56" t="str">
        <f>PROPER(TRIM(sales_data!J56))</f>
        <v>New</v>
      </c>
      <c r="L56" t="str">
        <f>PROPER(TRIM(sales_data!L56))</f>
        <v>Bank Transfer</v>
      </c>
      <c r="M56" t="str">
        <f>PROPER(TRIM(sales_data!M56))</f>
        <v>Online</v>
      </c>
      <c r="N56">
        <f t="shared" si="1"/>
        <v>19.360000000000127</v>
      </c>
      <c r="O56">
        <f t="shared" si="2"/>
        <v>329.12000000000216</v>
      </c>
      <c r="P56" t="str">
        <f t="shared" si="3"/>
        <v>Nov</v>
      </c>
    </row>
    <row r="57" spans="1:16" x14ac:dyDescent="0.25">
      <c r="A57">
        <v>1009</v>
      </c>
      <c r="B57" s="1">
        <v>45044</v>
      </c>
      <c r="C57">
        <f t="shared" si="0"/>
        <v>82353.314999999988</v>
      </c>
      <c r="D57">
        <v>33</v>
      </c>
      <c r="E57">
        <v>2278.9</v>
      </c>
      <c r="F57">
        <v>2626.9</v>
      </c>
      <c r="G57">
        <v>0.05</v>
      </c>
      <c r="H57" t="str">
        <f>PROPER(TRIM(sales_data!C57))</f>
        <v>Alice</v>
      </c>
      <c r="I57" t="str">
        <f>PROPER(TRIM(sales_data!D57))</f>
        <v>North</v>
      </c>
      <c r="J57" t="str">
        <f>PROPER(TRIM(sales_data!G57))</f>
        <v>Clothing</v>
      </c>
      <c r="K57" t="str">
        <f>PROPER(TRIM(sales_data!J57))</f>
        <v>New</v>
      </c>
      <c r="L57" t="str">
        <f>PROPER(TRIM(sales_data!L57))</f>
        <v>Credit Card</v>
      </c>
      <c r="M57" t="str">
        <f>PROPER(TRIM(sales_data!M57))</f>
        <v>Online</v>
      </c>
      <c r="N57">
        <f t="shared" si="1"/>
        <v>348</v>
      </c>
      <c r="O57">
        <f t="shared" si="2"/>
        <v>11484</v>
      </c>
      <c r="P57" t="str">
        <f t="shared" si="3"/>
        <v>Apr</v>
      </c>
    </row>
    <row r="58" spans="1:16" x14ac:dyDescent="0.25">
      <c r="A58">
        <v>1090</v>
      </c>
      <c r="B58" s="1">
        <v>45250</v>
      </c>
      <c r="C58">
        <f t="shared" si="0"/>
        <v>78680.908799999757</v>
      </c>
      <c r="D58">
        <v>32</v>
      </c>
      <c r="E58">
        <v>2678.99</v>
      </c>
      <c r="F58">
        <v>3152.2799999999902</v>
      </c>
      <c r="G58">
        <v>0.22</v>
      </c>
      <c r="H58" t="str">
        <f>PROPER(TRIM(sales_data!C58))</f>
        <v>Alice</v>
      </c>
      <c r="I58" t="str">
        <f>PROPER(TRIM(sales_data!D58))</f>
        <v>West</v>
      </c>
      <c r="J58" t="str">
        <f>PROPER(TRIM(sales_data!G58))</f>
        <v>Electronics</v>
      </c>
      <c r="K58" t="str">
        <f>PROPER(TRIM(sales_data!J58))</f>
        <v>Returning</v>
      </c>
      <c r="L58" t="str">
        <f>PROPER(TRIM(sales_data!L58))</f>
        <v>Cash</v>
      </c>
      <c r="M58" t="str">
        <f>PROPER(TRIM(sales_data!M58))</f>
        <v>Retail</v>
      </c>
      <c r="N58">
        <f t="shared" si="1"/>
        <v>473.28999999999041</v>
      </c>
      <c r="O58">
        <f t="shared" si="2"/>
        <v>15145.279999999693</v>
      </c>
      <c r="P58" t="str">
        <f t="shared" si="3"/>
        <v>Nov</v>
      </c>
    </row>
    <row r="59" spans="1:16" x14ac:dyDescent="0.25">
      <c r="A59">
        <v>1053</v>
      </c>
      <c r="B59" s="1">
        <v>45201</v>
      </c>
      <c r="C59">
        <f t="shared" si="0"/>
        <v>93038.426400000011</v>
      </c>
      <c r="D59">
        <v>29</v>
      </c>
      <c r="E59">
        <v>3741.3</v>
      </c>
      <c r="F59">
        <v>4061.04</v>
      </c>
      <c r="G59">
        <v>0.21</v>
      </c>
      <c r="H59" t="str">
        <f>PROPER(TRIM(sales_data!C59))</f>
        <v>David</v>
      </c>
      <c r="I59" t="str">
        <f>PROPER(TRIM(sales_data!D59))</f>
        <v>East</v>
      </c>
      <c r="J59" t="str">
        <f>PROPER(TRIM(sales_data!G59))</f>
        <v>Electronics</v>
      </c>
      <c r="K59" t="str">
        <f>PROPER(TRIM(sales_data!J59))</f>
        <v>Returning</v>
      </c>
      <c r="L59" t="str">
        <f>PROPER(TRIM(sales_data!L59))</f>
        <v>Credit Card</v>
      </c>
      <c r="M59" t="str">
        <f>PROPER(TRIM(sales_data!M59))</f>
        <v>Online</v>
      </c>
      <c r="N59">
        <f t="shared" si="1"/>
        <v>319.73999999999978</v>
      </c>
      <c r="O59">
        <f t="shared" si="2"/>
        <v>9272.4599999999937</v>
      </c>
      <c r="P59" t="str">
        <f t="shared" si="3"/>
        <v>Oct</v>
      </c>
    </row>
    <row r="60" spans="1:16" x14ac:dyDescent="0.25">
      <c r="A60">
        <v>1002</v>
      </c>
      <c r="B60" s="1">
        <v>45138</v>
      </c>
      <c r="C60">
        <f t="shared" si="0"/>
        <v>85184.000999999989</v>
      </c>
      <c r="D60">
        <v>21</v>
      </c>
      <c r="E60">
        <v>4138.41</v>
      </c>
      <c r="F60">
        <v>4361.7</v>
      </c>
      <c r="G60">
        <v>7.0000000000000007E-2</v>
      </c>
      <c r="H60" t="str">
        <f>PROPER(TRIM(sales_data!C60))</f>
        <v>David</v>
      </c>
      <c r="I60" t="str">
        <f>PROPER(TRIM(sales_data!D60))</f>
        <v>East</v>
      </c>
      <c r="J60" t="str">
        <f>PROPER(TRIM(sales_data!G60))</f>
        <v>Clothing</v>
      </c>
      <c r="K60" t="str">
        <f>PROPER(TRIM(sales_data!J60))</f>
        <v>Returning</v>
      </c>
      <c r="L60" t="str">
        <f>PROPER(TRIM(sales_data!L60))</f>
        <v>Credit Card</v>
      </c>
      <c r="M60" t="str">
        <f>PROPER(TRIM(sales_data!M60))</f>
        <v>Retail</v>
      </c>
      <c r="N60">
        <f t="shared" si="1"/>
        <v>223.28999999999996</v>
      </c>
      <c r="O60">
        <f t="shared" si="2"/>
        <v>4689.0899999999992</v>
      </c>
      <c r="P60" t="str">
        <f t="shared" si="3"/>
        <v>Jul</v>
      </c>
    </row>
    <row r="61" spans="1:16" x14ac:dyDescent="0.25">
      <c r="A61">
        <v>1084</v>
      </c>
      <c r="B61" s="1">
        <v>45151</v>
      </c>
      <c r="C61">
        <f t="shared" si="0"/>
        <v>72745.789199999999</v>
      </c>
      <c r="D61">
        <v>21</v>
      </c>
      <c r="E61">
        <v>3497.98</v>
      </c>
      <c r="F61">
        <v>3765.31</v>
      </c>
      <c r="G61">
        <v>0.08</v>
      </c>
      <c r="H61" t="str">
        <f>PROPER(TRIM(sales_data!C61))</f>
        <v>Alice</v>
      </c>
      <c r="I61" t="str">
        <f>PROPER(TRIM(sales_data!D61))</f>
        <v>West</v>
      </c>
      <c r="J61" t="str">
        <f>PROPER(TRIM(sales_data!G61))</f>
        <v>Furniture</v>
      </c>
      <c r="K61" t="str">
        <f>PROPER(TRIM(sales_data!J61))</f>
        <v>New</v>
      </c>
      <c r="L61" t="str">
        <f>PROPER(TRIM(sales_data!L61))</f>
        <v>Cash</v>
      </c>
      <c r="M61" t="str">
        <f>PROPER(TRIM(sales_data!M61))</f>
        <v>Online</v>
      </c>
      <c r="N61">
        <f t="shared" si="1"/>
        <v>267.32999999999993</v>
      </c>
      <c r="O61">
        <f t="shared" si="2"/>
        <v>5613.9299999999985</v>
      </c>
      <c r="P61" t="str">
        <f t="shared" si="3"/>
        <v>Aug</v>
      </c>
    </row>
    <row r="62" spans="1:16" x14ac:dyDescent="0.25">
      <c r="A62">
        <v>1092</v>
      </c>
      <c r="B62" s="1">
        <v>44946</v>
      </c>
      <c r="C62">
        <f t="shared" si="0"/>
        <v>151423.35999999999</v>
      </c>
      <c r="D62">
        <v>40</v>
      </c>
      <c r="E62">
        <v>4624.16</v>
      </c>
      <c r="F62">
        <v>4731.9799999999996</v>
      </c>
      <c r="G62">
        <v>0.2</v>
      </c>
      <c r="H62" t="str">
        <f>PROPER(TRIM(sales_data!C62))</f>
        <v>Charlie</v>
      </c>
      <c r="I62" t="str">
        <f>PROPER(TRIM(sales_data!D62))</f>
        <v>East</v>
      </c>
      <c r="J62" t="str">
        <f>PROPER(TRIM(sales_data!G62))</f>
        <v>Electronics</v>
      </c>
      <c r="K62" t="str">
        <f>PROPER(TRIM(sales_data!J62))</f>
        <v>New</v>
      </c>
      <c r="L62" t="str">
        <f>PROPER(TRIM(sales_data!L62))</f>
        <v>Bank Transfer</v>
      </c>
      <c r="M62" t="str">
        <f>PROPER(TRIM(sales_data!M62))</f>
        <v>Retail</v>
      </c>
      <c r="N62">
        <f t="shared" si="1"/>
        <v>107.81999999999971</v>
      </c>
      <c r="O62">
        <f t="shared" si="2"/>
        <v>4312.7999999999884</v>
      </c>
      <c r="P62" t="str">
        <f t="shared" si="3"/>
        <v>Jan</v>
      </c>
    </row>
    <row r="63" spans="1:16" x14ac:dyDescent="0.25">
      <c r="A63">
        <v>1060</v>
      </c>
      <c r="B63" s="1">
        <v>45039</v>
      </c>
      <c r="C63">
        <f t="shared" si="0"/>
        <v>90844.608800000002</v>
      </c>
      <c r="D63">
        <v>23</v>
      </c>
      <c r="E63">
        <v>4110.6000000000004</v>
      </c>
      <c r="F63">
        <v>4488.37</v>
      </c>
      <c r="G63">
        <v>0.12</v>
      </c>
      <c r="H63" t="str">
        <f>PROPER(TRIM(sales_data!C63))</f>
        <v>Eve</v>
      </c>
      <c r="I63" t="str">
        <f>PROPER(TRIM(sales_data!D63))</f>
        <v>East</v>
      </c>
      <c r="J63" t="str">
        <f>PROPER(TRIM(sales_data!G63))</f>
        <v>Clothing</v>
      </c>
      <c r="K63" t="str">
        <f>PROPER(TRIM(sales_data!J63))</f>
        <v>New</v>
      </c>
      <c r="L63" t="str">
        <f>PROPER(TRIM(sales_data!L63))</f>
        <v>Credit Card</v>
      </c>
      <c r="M63" t="str">
        <f>PROPER(TRIM(sales_data!M63))</f>
        <v>Online</v>
      </c>
      <c r="N63">
        <f t="shared" si="1"/>
        <v>377.76999999999953</v>
      </c>
      <c r="O63">
        <f t="shared" si="2"/>
        <v>8688.7099999999882</v>
      </c>
      <c r="P63" t="str">
        <f t="shared" si="3"/>
        <v>Apr</v>
      </c>
    </row>
    <row r="64" spans="1:16" x14ac:dyDescent="0.25">
      <c r="A64">
        <v>1071</v>
      </c>
      <c r="B64" s="1">
        <v>45066</v>
      </c>
      <c r="C64">
        <f t="shared" si="0"/>
        <v>18087.367200000001</v>
      </c>
      <c r="D64">
        <v>6</v>
      </c>
      <c r="E64">
        <v>2831.23</v>
      </c>
      <c r="F64">
        <v>3206.98</v>
      </c>
      <c r="G64">
        <v>0.06</v>
      </c>
      <c r="H64" t="str">
        <f>PROPER(TRIM(sales_data!C64))</f>
        <v>Eve</v>
      </c>
      <c r="I64" t="str">
        <f>PROPER(TRIM(sales_data!D64))</f>
        <v>West</v>
      </c>
      <c r="J64" t="str">
        <f>PROPER(TRIM(sales_data!G64))</f>
        <v>Furniture</v>
      </c>
      <c r="K64" t="str">
        <f>PROPER(TRIM(sales_data!J64))</f>
        <v>Returning</v>
      </c>
      <c r="L64" t="str">
        <f>PROPER(TRIM(sales_data!L64))</f>
        <v>Bank Transfer</v>
      </c>
      <c r="M64" t="str">
        <f>PROPER(TRIM(sales_data!M64))</f>
        <v>Retail</v>
      </c>
      <c r="N64">
        <f t="shared" si="1"/>
        <v>375.75</v>
      </c>
      <c r="O64">
        <f t="shared" si="2"/>
        <v>2254.5</v>
      </c>
      <c r="P64" t="str">
        <f t="shared" si="3"/>
        <v>May</v>
      </c>
    </row>
    <row r="65" spans="1:16" x14ac:dyDescent="0.25">
      <c r="A65">
        <v>1044</v>
      </c>
      <c r="B65" s="1">
        <v>44973</v>
      </c>
      <c r="C65">
        <f t="shared" si="0"/>
        <v>59283.681600000004</v>
      </c>
      <c r="D65">
        <v>22</v>
      </c>
      <c r="E65">
        <v>3373.46</v>
      </c>
      <c r="F65">
        <v>3454.76</v>
      </c>
      <c r="G65">
        <v>0.22</v>
      </c>
      <c r="H65" t="str">
        <f>PROPER(TRIM(sales_data!C65))</f>
        <v>David</v>
      </c>
      <c r="I65" t="str">
        <f>PROPER(TRIM(sales_data!D65))</f>
        <v>South</v>
      </c>
      <c r="J65" t="str">
        <f>PROPER(TRIM(sales_data!G65))</f>
        <v>Food</v>
      </c>
      <c r="K65" t="str">
        <f>PROPER(TRIM(sales_data!J65))</f>
        <v>Returning</v>
      </c>
      <c r="L65" t="str">
        <f>PROPER(TRIM(sales_data!L65))</f>
        <v>Bank Transfer</v>
      </c>
      <c r="M65" t="str">
        <f>PROPER(TRIM(sales_data!M65))</f>
        <v>Retail</v>
      </c>
      <c r="N65">
        <f t="shared" si="1"/>
        <v>81.300000000000182</v>
      </c>
      <c r="O65">
        <f t="shared" si="2"/>
        <v>1788.600000000004</v>
      </c>
      <c r="P65" t="str">
        <f t="shared" si="3"/>
        <v>Feb</v>
      </c>
    </row>
    <row r="66" spans="1:16" x14ac:dyDescent="0.25">
      <c r="A66">
        <v>1008</v>
      </c>
      <c r="B66" s="1">
        <v>44927</v>
      </c>
      <c r="C66">
        <f t="shared" ref="C66:C129" si="4">(D66*F66)*(1-G66)</f>
        <v>183223.38399999996</v>
      </c>
      <c r="D66">
        <v>38</v>
      </c>
      <c r="E66">
        <v>4635.2299999999996</v>
      </c>
      <c r="F66">
        <v>5075.4399999999996</v>
      </c>
      <c r="G66">
        <v>0.05</v>
      </c>
      <c r="H66" t="str">
        <f>PROPER(TRIM(sales_data!C66))</f>
        <v>Eve</v>
      </c>
      <c r="I66" t="str">
        <f>PROPER(TRIM(sales_data!D66))</f>
        <v>North</v>
      </c>
      <c r="J66" t="str">
        <f>PROPER(TRIM(sales_data!G66))</f>
        <v>Clothing</v>
      </c>
      <c r="K66" t="str">
        <f>PROPER(TRIM(sales_data!J66))</f>
        <v>Returning</v>
      </c>
      <c r="L66" t="str">
        <f>PROPER(TRIM(sales_data!L66))</f>
        <v>Cash</v>
      </c>
      <c r="M66" t="str">
        <f>PROPER(TRIM(sales_data!M66))</f>
        <v>Online</v>
      </c>
      <c r="N66">
        <f t="shared" ref="N66:N129" si="5">F66-E66</f>
        <v>440.21000000000004</v>
      </c>
      <c r="O66">
        <f t="shared" ref="O66:O129" si="6">N66*D66</f>
        <v>16727.980000000003</v>
      </c>
      <c r="P66" t="str">
        <f t="shared" ref="P66:P129" si="7">TEXT(B66,"mmm")</f>
        <v>Jan</v>
      </c>
    </row>
    <row r="67" spans="1:16" x14ac:dyDescent="0.25">
      <c r="A67">
        <v>1047</v>
      </c>
      <c r="B67" s="1">
        <v>45016</v>
      </c>
      <c r="C67">
        <f t="shared" si="4"/>
        <v>89170.636400000003</v>
      </c>
      <c r="D67">
        <v>37</v>
      </c>
      <c r="E67">
        <v>3114.88</v>
      </c>
      <c r="F67">
        <v>3256.78</v>
      </c>
      <c r="G67">
        <v>0.26</v>
      </c>
      <c r="H67" t="str">
        <f>PROPER(TRIM(sales_data!C67))</f>
        <v>Alice</v>
      </c>
      <c r="I67" t="str">
        <f>PROPER(TRIM(sales_data!D67))</f>
        <v>East</v>
      </c>
      <c r="J67" t="str">
        <f>PROPER(TRIM(sales_data!G67))</f>
        <v>Electronics</v>
      </c>
      <c r="K67" t="str">
        <f>PROPER(TRIM(sales_data!J67))</f>
        <v>Returning</v>
      </c>
      <c r="L67" t="str">
        <f>PROPER(TRIM(sales_data!L67))</f>
        <v>Credit Card</v>
      </c>
      <c r="M67" t="str">
        <f>PROPER(TRIM(sales_data!M67))</f>
        <v>Online</v>
      </c>
      <c r="N67">
        <f t="shared" si="5"/>
        <v>141.90000000000009</v>
      </c>
      <c r="O67">
        <f t="shared" si="6"/>
        <v>5250.3000000000029</v>
      </c>
      <c r="P67" t="str">
        <f t="shared" si="7"/>
        <v>Mar</v>
      </c>
    </row>
    <row r="68" spans="1:16" x14ac:dyDescent="0.25">
      <c r="A68">
        <v>1035</v>
      </c>
      <c r="B68" s="1">
        <v>45068</v>
      </c>
      <c r="C68">
        <f t="shared" si="4"/>
        <v>176871.82500000001</v>
      </c>
      <c r="D68">
        <v>45</v>
      </c>
      <c r="E68">
        <v>4132.79</v>
      </c>
      <c r="F68">
        <v>4624.1000000000004</v>
      </c>
      <c r="G68">
        <v>0.15</v>
      </c>
      <c r="H68" t="str">
        <f>PROPER(TRIM(sales_data!C68))</f>
        <v>Alice</v>
      </c>
      <c r="I68" t="str">
        <f>PROPER(TRIM(sales_data!D68))</f>
        <v>South</v>
      </c>
      <c r="J68" t="str">
        <f>PROPER(TRIM(sales_data!G68))</f>
        <v>Food</v>
      </c>
      <c r="K68" t="str">
        <f>PROPER(TRIM(sales_data!J68))</f>
        <v>New</v>
      </c>
      <c r="L68" t="str">
        <f>PROPER(TRIM(sales_data!L68))</f>
        <v>Credit Card</v>
      </c>
      <c r="M68" t="str">
        <f>PROPER(TRIM(sales_data!M68))</f>
        <v>Retail</v>
      </c>
      <c r="N68">
        <f t="shared" si="5"/>
        <v>491.3100000000004</v>
      </c>
      <c r="O68">
        <f t="shared" si="6"/>
        <v>22108.950000000019</v>
      </c>
      <c r="P68" t="str">
        <f t="shared" si="7"/>
        <v>May</v>
      </c>
    </row>
    <row r="69" spans="1:16" x14ac:dyDescent="0.25">
      <c r="A69">
        <v>1078</v>
      </c>
      <c r="B69" s="1">
        <v>45246</v>
      </c>
      <c r="C69">
        <f t="shared" si="4"/>
        <v>28380.104800000001</v>
      </c>
      <c r="D69">
        <v>8</v>
      </c>
      <c r="E69">
        <v>3459.61</v>
      </c>
      <c r="F69">
        <v>3657.23</v>
      </c>
      <c r="G69">
        <v>0.03</v>
      </c>
      <c r="H69" t="str">
        <f>PROPER(TRIM(sales_data!C69))</f>
        <v>David</v>
      </c>
      <c r="I69" t="str">
        <f>PROPER(TRIM(sales_data!D69))</f>
        <v>East</v>
      </c>
      <c r="J69" t="str">
        <f>PROPER(TRIM(sales_data!G69))</f>
        <v>Furniture</v>
      </c>
      <c r="K69" t="str">
        <f>PROPER(TRIM(sales_data!J69))</f>
        <v>Returning</v>
      </c>
      <c r="L69" t="str">
        <f>PROPER(TRIM(sales_data!L69))</f>
        <v>Bank Transfer</v>
      </c>
      <c r="M69" t="str">
        <f>PROPER(TRIM(sales_data!M69))</f>
        <v>Online</v>
      </c>
      <c r="N69">
        <f t="shared" si="5"/>
        <v>197.61999999999989</v>
      </c>
      <c r="O69">
        <f t="shared" si="6"/>
        <v>1580.9599999999991</v>
      </c>
      <c r="P69" t="str">
        <f t="shared" si="7"/>
        <v>Nov</v>
      </c>
    </row>
    <row r="70" spans="1:16" x14ac:dyDescent="0.25">
      <c r="A70">
        <v>1081</v>
      </c>
      <c r="B70" s="1">
        <v>44964</v>
      </c>
      <c r="C70">
        <f t="shared" si="4"/>
        <v>93258.583599999998</v>
      </c>
      <c r="D70">
        <v>41</v>
      </c>
      <c r="E70">
        <v>2782.08</v>
      </c>
      <c r="F70">
        <v>2879.24</v>
      </c>
      <c r="G70">
        <v>0.21</v>
      </c>
      <c r="H70" t="str">
        <f>PROPER(TRIM(sales_data!C70))</f>
        <v>David</v>
      </c>
      <c r="I70" t="str">
        <f>PROPER(TRIM(sales_data!D70))</f>
        <v>East</v>
      </c>
      <c r="J70" t="str">
        <f>PROPER(TRIM(sales_data!G70))</f>
        <v>Furniture</v>
      </c>
      <c r="K70" t="str">
        <f>PROPER(TRIM(sales_data!J70))</f>
        <v>New</v>
      </c>
      <c r="L70" t="str">
        <f>PROPER(TRIM(sales_data!L70))</f>
        <v>Bank Transfer</v>
      </c>
      <c r="M70" t="str">
        <f>PROPER(TRIM(sales_data!M70))</f>
        <v>Online</v>
      </c>
      <c r="N70">
        <f t="shared" si="5"/>
        <v>97.159999999999854</v>
      </c>
      <c r="O70">
        <f t="shared" si="6"/>
        <v>3983.559999999994</v>
      </c>
      <c r="P70" t="str">
        <f t="shared" si="7"/>
        <v>Feb</v>
      </c>
    </row>
    <row r="71" spans="1:16" x14ac:dyDescent="0.25">
      <c r="A71">
        <v>1036</v>
      </c>
      <c r="B71" s="1">
        <v>45219</v>
      </c>
      <c r="C71">
        <f t="shared" si="4"/>
        <v>58835.75039999959</v>
      </c>
      <c r="D71">
        <v>49</v>
      </c>
      <c r="E71">
        <v>1247.0999999999999</v>
      </c>
      <c r="F71">
        <v>1429.4399999999901</v>
      </c>
      <c r="G71">
        <v>0.16</v>
      </c>
      <c r="H71" t="str">
        <f>PROPER(TRIM(sales_data!C71))</f>
        <v>David</v>
      </c>
      <c r="I71" t="str">
        <f>PROPER(TRIM(sales_data!D71))</f>
        <v>North</v>
      </c>
      <c r="J71" t="str">
        <f>PROPER(TRIM(sales_data!G71))</f>
        <v>Clothing</v>
      </c>
      <c r="K71" t="str">
        <f>PROPER(TRIM(sales_data!J71))</f>
        <v>New</v>
      </c>
      <c r="L71" t="str">
        <f>PROPER(TRIM(sales_data!L71))</f>
        <v>Cash</v>
      </c>
      <c r="M71" t="str">
        <f>PROPER(TRIM(sales_data!M71))</f>
        <v>Online</v>
      </c>
      <c r="N71">
        <f t="shared" si="5"/>
        <v>182.33999999999014</v>
      </c>
      <c r="O71">
        <f t="shared" si="6"/>
        <v>8934.659999999516</v>
      </c>
      <c r="P71" t="str">
        <f t="shared" si="7"/>
        <v>Oct</v>
      </c>
    </row>
    <row r="72" spans="1:16" x14ac:dyDescent="0.25">
      <c r="A72">
        <v>1050</v>
      </c>
      <c r="B72" s="1">
        <v>45065</v>
      </c>
      <c r="C72">
        <f t="shared" si="4"/>
        <v>75942.503000000012</v>
      </c>
      <c r="D72">
        <v>35</v>
      </c>
      <c r="E72">
        <v>2158.69</v>
      </c>
      <c r="F72">
        <v>2384.38</v>
      </c>
      <c r="G72">
        <v>0.09</v>
      </c>
      <c r="H72" t="str">
        <f>PROPER(TRIM(sales_data!C72))</f>
        <v>Charlie</v>
      </c>
      <c r="I72" t="str">
        <f>PROPER(TRIM(sales_data!D72))</f>
        <v>East</v>
      </c>
      <c r="J72" t="str">
        <f>PROPER(TRIM(sales_data!G72))</f>
        <v>Clothing</v>
      </c>
      <c r="K72" t="str">
        <f>PROPER(TRIM(sales_data!J72))</f>
        <v>Returning</v>
      </c>
      <c r="L72" t="str">
        <f>PROPER(TRIM(sales_data!L72))</f>
        <v>Bank Transfer</v>
      </c>
      <c r="M72" t="str">
        <f>PROPER(TRIM(sales_data!M72))</f>
        <v>Retail</v>
      </c>
      <c r="N72">
        <f t="shared" si="5"/>
        <v>225.69000000000005</v>
      </c>
      <c r="O72">
        <f t="shared" si="6"/>
        <v>7899.1500000000015</v>
      </c>
      <c r="P72" t="str">
        <f t="shared" si="7"/>
        <v>May</v>
      </c>
    </row>
    <row r="73" spans="1:16" x14ac:dyDescent="0.25">
      <c r="A73">
        <v>1004</v>
      </c>
      <c r="B73" s="1">
        <v>45282</v>
      </c>
      <c r="C73">
        <f t="shared" si="4"/>
        <v>46742.655299999999</v>
      </c>
      <c r="D73">
        <v>11</v>
      </c>
      <c r="E73">
        <v>4840.33</v>
      </c>
      <c r="F73">
        <v>4884.29</v>
      </c>
      <c r="G73">
        <v>0.13</v>
      </c>
      <c r="H73" t="str">
        <f>PROPER(TRIM(sales_data!C73))</f>
        <v>Eve</v>
      </c>
      <c r="I73" t="str">
        <f>PROPER(TRIM(sales_data!D73))</f>
        <v>North</v>
      </c>
      <c r="J73" t="str">
        <f>PROPER(TRIM(sales_data!G73))</f>
        <v>Clothing</v>
      </c>
      <c r="K73" t="str">
        <f>PROPER(TRIM(sales_data!J73))</f>
        <v>New</v>
      </c>
      <c r="L73" t="str">
        <f>PROPER(TRIM(sales_data!L73))</f>
        <v>Cash</v>
      </c>
      <c r="M73" t="str">
        <f>PROPER(TRIM(sales_data!M73))</f>
        <v>Online</v>
      </c>
      <c r="N73">
        <f t="shared" si="5"/>
        <v>43.960000000000036</v>
      </c>
      <c r="O73">
        <f t="shared" si="6"/>
        <v>483.5600000000004</v>
      </c>
      <c r="P73" t="str">
        <f t="shared" si="7"/>
        <v>Dec</v>
      </c>
    </row>
    <row r="74" spans="1:16" x14ac:dyDescent="0.25">
      <c r="A74">
        <v>1002</v>
      </c>
      <c r="B74" s="1">
        <v>45259</v>
      </c>
      <c r="C74">
        <f t="shared" si="4"/>
        <v>78608.056800000006</v>
      </c>
      <c r="D74">
        <v>24</v>
      </c>
      <c r="E74">
        <v>3305.94</v>
      </c>
      <c r="F74">
        <v>3599.27</v>
      </c>
      <c r="G74">
        <v>0.09</v>
      </c>
      <c r="H74" t="str">
        <f>PROPER(TRIM(sales_data!C74))</f>
        <v>David</v>
      </c>
      <c r="I74" t="str">
        <f>PROPER(TRIM(sales_data!D74))</f>
        <v>North</v>
      </c>
      <c r="J74" t="str">
        <f>PROPER(TRIM(sales_data!G74))</f>
        <v>Furniture</v>
      </c>
      <c r="K74" t="str">
        <f>PROPER(TRIM(sales_data!J74))</f>
        <v>New</v>
      </c>
      <c r="L74" t="str">
        <f>PROPER(TRIM(sales_data!L74))</f>
        <v>Credit Card</v>
      </c>
      <c r="M74" t="str">
        <f>PROPER(TRIM(sales_data!M74))</f>
        <v>Retail</v>
      </c>
      <c r="N74">
        <f t="shared" si="5"/>
        <v>293.32999999999993</v>
      </c>
      <c r="O74">
        <f t="shared" si="6"/>
        <v>7039.9199999999983</v>
      </c>
      <c r="P74" t="str">
        <f t="shared" si="7"/>
        <v>Nov</v>
      </c>
    </row>
    <row r="75" spans="1:16" x14ac:dyDescent="0.25">
      <c r="A75">
        <v>1006</v>
      </c>
      <c r="B75" s="1">
        <v>45185</v>
      </c>
      <c r="C75">
        <f t="shared" si="4"/>
        <v>141848.728</v>
      </c>
      <c r="D75">
        <v>49</v>
      </c>
      <c r="E75">
        <v>2843.76</v>
      </c>
      <c r="F75">
        <v>3146.6</v>
      </c>
      <c r="G75">
        <v>0.08</v>
      </c>
      <c r="H75" t="str">
        <f>PROPER(TRIM(sales_data!C75))</f>
        <v>Bob</v>
      </c>
      <c r="I75" t="str">
        <f>PROPER(TRIM(sales_data!D75))</f>
        <v>North</v>
      </c>
      <c r="J75" t="str">
        <f>PROPER(TRIM(sales_data!G75))</f>
        <v>Food</v>
      </c>
      <c r="K75" t="str">
        <f>PROPER(TRIM(sales_data!J75))</f>
        <v>New</v>
      </c>
      <c r="L75" t="str">
        <f>PROPER(TRIM(sales_data!L75))</f>
        <v>Cash</v>
      </c>
      <c r="M75" t="str">
        <f>PROPER(TRIM(sales_data!M75))</f>
        <v>Retail</v>
      </c>
      <c r="N75">
        <f t="shared" si="5"/>
        <v>302.83999999999969</v>
      </c>
      <c r="O75">
        <f t="shared" si="6"/>
        <v>14839.159999999985</v>
      </c>
      <c r="P75" t="str">
        <f t="shared" si="7"/>
        <v>Sep</v>
      </c>
    </row>
    <row r="76" spans="1:16" x14ac:dyDescent="0.25">
      <c r="A76">
        <v>1054</v>
      </c>
      <c r="B76" s="1">
        <v>45087</v>
      </c>
      <c r="C76">
        <f t="shared" si="4"/>
        <v>100552.38900000001</v>
      </c>
      <c r="D76">
        <v>21</v>
      </c>
      <c r="E76">
        <v>4668.1400000000003</v>
      </c>
      <c r="F76">
        <v>5040.22</v>
      </c>
      <c r="G76">
        <v>0.05</v>
      </c>
      <c r="H76" t="str">
        <f>PROPER(TRIM(sales_data!C76))</f>
        <v>Bob</v>
      </c>
      <c r="I76" t="str">
        <f>PROPER(TRIM(sales_data!D76))</f>
        <v>South</v>
      </c>
      <c r="J76" t="str">
        <f>PROPER(TRIM(sales_data!G76))</f>
        <v>Furniture</v>
      </c>
      <c r="K76" t="str">
        <f>PROPER(TRIM(sales_data!J76))</f>
        <v>New</v>
      </c>
      <c r="L76" t="str">
        <f>PROPER(TRIM(sales_data!L76))</f>
        <v>Bank Transfer</v>
      </c>
      <c r="M76" t="str">
        <f>PROPER(TRIM(sales_data!M76))</f>
        <v>Online</v>
      </c>
      <c r="N76">
        <f t="shared" si="5"/>
        <v>372.07999999999993</v>
      </c>
      <c r="O76">
        <f t="shared" si="6"/>
        <v>7813.6799999999985</v>
      </c>
      <c r="P76" t="str">
        <f t="shared" si="7"/>
        <v>Jun</v>
      </c>
    </row>
    <row r="77" spans="1:16" x14ac:dyDescent="0.25">
      <c r="A77">
        <v>1004</v>
      </c>
      <c r="B77" s="1">
        <v>45104</v>
      </c>
      <c r="C77">
        <f t="shared" si="4"/>
        <v>5299.9856</v>
      </c>
      <c r="D77">
        <v>2</v>
      </c>
      <c r="E77">
        <v>2953.23</v>
      </c>
      <c r="F77">
        <v>2977.52</v>
      </c>
      <c r="G77">
        <v>0.11</v>
      </c>
      <c r="H77" t="str">
        <f>PROPER(TRIM(sales_data!C77))</f>
        <v>Alice</v>
      </c>
      <c r="I77" t="str">
        <f>PROPER(TRIM(sales_data!D77))</f>
        <v>West</v>
      </c>
      <c r="J77" t="str">
        <f>PROPER(TRIM(sales_data!G77))</f>
        <v>Electronics</v>
      </c>
      <c r="K77" t="str">
        <f>PROPER(TRIM(sales_data!J77))</f>
        <v>Returning</v>
      </c>
      <c r="L77" t="str">
        <f>PROPER(TRIM(sales_data!L77))</f>
        <v>Credit Card</v>
      </c>
      <c r="M77" t="str">
        <f>PROPER(TRIM(sales_data!M77))</f>
        <v>Retail</v>
      </c>
      <c r="N77">
        <f t="shared" si="5"/>
        <v>24.289999999999964</v>
      </c>
      <c r="O77">
        <f t="shared" si="6"/>
        <v>48.579999999999927</v>
      </c>
      <c r="P77" t="str">
        <f t="shared" si="7"/>
        <v>Jun</v>
      </c>
    </row>
    <row r="78" spans="1:16" x14ac:dyDescent="0.25">
      <c r="A78">
        <v>1054</v>
      </c>
      <c r="B78" s="1">
        <v>44936</v>
      </c>
      <c r="C78">
        <f t="shared" si="4"/>
        <v>107798.97600000001</v>
      </c>
      <c r="D78">
        <v>40</v>
      </c>
      <c r="E78">
        <v>2654.11</v>
      </c>
      <c r="F78">
        <v>2929.32</v>
      </c>
      <c r="G78">
        <v>0.08</v>
      </c>
      <c r="H78" t="str">
        <f>PROPER(TRIM(sales_data!C78))</f>
        <v>Eve</v>
      </c>
      <c r="I78" t="str">
        <f>PROPER(TRIM(sales_data!D78))</f>
        <v>South</v>
      </c>
      <c r="J78" t="str">
        <f>PROPER(TRIM(sales_data!G78))</f>
        <v>Furniture</v>
      </c>
      <c r="K78" t="str">
        <f>PROPER(TRIM(sales_data!J78))</f>
        <v>Returning</v>
      </c>
      <c r="L78" t="str">
        <f>PROPER(TRIM(sales_data!L78))</f>
        <v>Cash</v>
      </c>
      <c r="M78" t="str">
        <f>PROPER(TRIM(sales_data!M78))</f>
        <v>Online</v>
      </c>
      <c r="N78">
        <f t="shared" si="5"/>
        <v>275.21000000000004</v>
      </c>
      <c r="O78">
        <f t="shared" si="6"/>
        <v>11008.400000000001</v>
      </c>
      <c r="P78" t="str">
        <f t="shared" si="7"/>
        <v>Jan</v>
      </c>
    </row>
    <row r="79" spans="1:16" x14ac:dyDescent="0.25">
      <c r="A79">
        <v>1093</v>
      </c>
      <c r="B79" s="1">
        <v>45187</v>
      </c>
      <c r="C79">
        <f t="shared" si="4"/>
        <v>57706.095100000006</v>
      </c>
      <c r="D79">
        <v>19</v>
      </c>
      <c r="E79">
        <v>3808.59</v>
      </c>
      <c r="F79">
        <v>3844.51</v>
      </c>
      <c r="G79">
        <v>0.21</v>
      </c>
      <c r="H79" t="str">
        <f>PROPER(TRIM(sales_data!C79))</f>
        <v>David</v>
      </c>
      <c r="I79" t="str">
        <f>PROPER(TRIM(sales_data!D79))</f>
        <v>West</v>
      </c>
      <c r="J79" t="str">
        <f>PROPER(TRIM(sales_data!G79))</f>
        <v>Electronics</v>
      </c>
      <c r="K79" t="str">
        <f>PROPER(TRIM(sales_data!J79))</f>
        <v>New</v>
      </c>
      <c r="L79" t="str">
        <f>PROPER(TRIM(sales_data!L79))</f>
        <v>Credit Card</v>
      </c>
      <c r="M79" t="str">
        <f>PROPER(TRIM(sales_data!M79))</f>
        <v>Online</v>
      </c>
      <c r="N79">
        <f t="shared" si="5"/>
        <v>35.920000000000073</v>
      </c>
      <c r="O79">
        <f t="shared" si="6"/>
        <v>682.48000000000138</v>
      </c>
      <c r="P79" t="str">
        <f t="shared" si="7"/>
        <v>Sep</v>
      </c>
    </row>
    <row r="80" spans="1:16" x14ac:dyDescent="0.25">
      <c r="A80">
        <v>1063</v>
      </c>
      <c r="B80" s="1">
        <v>45064</v>
      </c>
      <c r="C80">
        <f t="shared" si="4"/>
        <v>121121.8125</v>
      </c>
      <c r="D80">
        <v>39</v>
      </c>
      <c r="E80">
        <v>3577.69</v>
      </c>
      <c r="F80">
        <v>3931.25</v>
      </c>
      <c r="G80">
        <v>0.21</v>
      </c>
      <c r="H80" t="str">
        <f>PROPER(TRIM(sales_data!C80))</f>
        <v>Bob</v>
      </c>
      <c r="I80" t="str">
        <f>PROPER(TRIM(sales_data!D80))</f>
        <v>West</v>
      </c>
      <c r="J80" t="str">
        <f>PROPER(TRIM(sales_data!G80))</f>
        <v>Food</v>
      </c>
      <c r="K80" t="str">
        <f>PROPER(TRIM(sales_data!J80))</f>
        <v>Returning</v>
      </c>
      <c r="L80" t="str">
        <f>PROPER(TRIM(sales_data!L80))</f>
        <v>Cash</v>
      </c>
      <c r="M80" t="str">
        <f>PROPER(TRIM(sales_data!M80))</f>
        <v>Retail</v>
      </c>
      <c r="N80">
        <f t="shared" si="5"/>
        <v>353.55999999999995</v>
      </c>
      <c r="O80">
        <f t="shared" si="6"/>
        <v>13788.839999999998</v>
      </c>
      <c r="P80" t="str">
        <f t="shared" si="7"/>
        <v>May</v>
      </c>
    </row>
    <row r="81" spans="1:16" x14ac:dyDescent="0.25">
      <c r="A81">
        <v>1018</v>
      </c>
      <c r="B81" s="1">
        <v>45098</v>
      </c>
      <c r="C81">
        <f t="shared" si="4"/>
        <v>24834.11</v>
      </c>
      <c r="D81">
        <v>28</v>
      </c>
      <c r="E81">
        <v>1006.14</v>
      </c>
      <c r="F81">
        <v>1043.45</v>
      </c>
      <c r="G81">
        <v>0.15</v>
      </c>
      <c r="H81" t="str">
        <f>PROPER(TRIM(sales_data!C81))</f>
        <v>Eve</v>
      </c>
      <c r="I81" t="str">
        <f>PROPER(TRIM(sales_data!D81))</f>
        <v>North</v>
      </c>
      <c r="J81" t="str">
        <f>PROPER(TRIM(sales_data!G81))</f>
        <v>Clothing</v>
      </c>
      <c r="K81" t="str">
        <f>PROPER(TRIM(sales_data!J81))</f>
        <v>New</v>
      </c>
      <c r="L81" t="str">
        <f>PROPER(TRIM(sales_data!L81))</f>
        <v>Bank Transfer</v>
      </c>
      <c r="M81" t="str">
        <f>PROPER(TRIM(sales_data!M81))</f>
        <v>Retail</v>
      </c>
      <c r="N81">
        <f t="shared" si="5"/>
        <v>37.310000000000059</v>
      </c>
      <c r="O81">
        <f t="shared" si="6"/>
        <v>1044.6800000000017</v>
      </c>
      <c r="P81" t="str">
        <f t="shared" si="7"/>
        <v>Jun</v>
      </c>
    </row>
    <row r="82" spans="1:16" x14ac:dyDescent="0.25">
      <c r="A82">
        <v>1090</v>
      </c>
      <c r="B82" s="1">
        <v>44939</v>
      </c>
      <c r="C82">
        <f t="shared" si="4"/>
        <v>37172.065700000006</v>
      </c>
      <c r="D82">
        <v>17</v>
      </c>
      <c r="E82">
        <v>2382.98</v>
      </c>
      <c r="F82">
        <v>2839.73</v>
      </c>
      <c r="G82">
        <v>0.23</v>
      </c>
      <c r="H82" t="str">
        <f>PROPER(TRIM(sales_data!C82))</f>
        <v>Alice</v>
      </c>
      <c r="I82" t="str">
        <f>PROPER(TRIM(sales_data!D82))</f>
        <v>East</v>
      </c>
      <c r="J82" t="str">
        <f>PROPER(TRIM(sales_data!G82))</f>
        <v>Clothing</v>
      </c>
      <c r="K82" t="str">
        <f>PROPER(TRIM(sales_data!J82))</f>
        <v>Returning</v>
      </c>
      <c r="L82" t="str">
        <f>PROPER(TRIM(sales_data!L82))</f>
        <v>Bank Transfer</v>
      </c>
      <c r="M82" t="str">
        <f>PROPER(TRIM(sales_data!M82))</f>
        <v>Retail</v>
      </c>
      <c r="N82">
        <f t="shared" si="5"/>
        <v>456.75</v>
      </c>
      <c r="O82">
        <f t="shared" si="6"/>
        <v>7764.75</v>
      </c>
      <c r="P82" t="str">
        <f t="shared" si="7"/>
        <v>Jan</v>
      </c>
    </row>
    <row r="83" spans="1:16" x14ac:dyDescent="0.25">
      <c r="A83">
        <v>1044</v>
      </c>
      <c r="B83" s="1">
        <v>45094</v>
      </c>
      <c r="C83">
        <f t="shared" si="4"/>
        <v>12343.365</v>
      </c>
      <c r="D83">
        <v>6</v>
      </c>
      <c r="E83">
        <v>2388.9499999999998</v>
      </c>
      <c r="F83">
        <v>2742.97</v>
      </c>
      <c r="G83">
        <v>0.25</v>
      </c>
      <c r="H83" t="str">
        <f>PROPER(TRIM(sales_data!C83))</f>
        <v>Charlie</v>
      </c>
      <c r="I83" t="str">
        <f>PROPER(TRIM(sales_data!D83))</f>
        <v>North</v>
      </c>
      <c r="J83" t="str">
        <f>PROPER(TRIM(sales_data!G83))</f>
        <v>Furniture</v>
      </c>
      <c r="K83" t="str">
        <f>PROPER(TRIM(sales_data!J83))</f>
        <v>Returning</v>
      </c>
      <c r="L83" t="str">
        <f>PROPER(TRIM(sales_data!L83))</f>
        <v>Credit Card</v>
      </c>
      <c r="M83" t="str">
        <f>PROPER(TRIM(sales_data!M83))</f>
        <v>Retail</v>
      </c>
      <c r="N83">
        <f t="shared" si="5"/>
        <v>354.02</v>
      </c>
      <c r="O83">
        <f t="shared" si="6"/>
        <v>2124.12</v>
      </c>
      <c r="P83" t="str">
        <f t="shared" si="7"/>
        <v>Jun</v>
      </c>
    </row>
    <row r="84" spans="1:16" x14ac:dyDescent="0.25">
      <c r="A84">
        <v>1034</v>
      </c>
      <c r="B84" s="1">
        <v>45056</v>
      </c>
      <c r="C84">
        <f t="shared" si="4"/>
        <v>34391.689099999996</v>
      </c>
      <c r="D84">
        <v>19</v>
      </c>
      <c r="E84">
        <v>1922.21</v>
      </c>
      <c r="F84">
        <v>2180.83</v>
      </c>
      <c r="G84">
        <v>0.17</v>
      </c>
      <c r="H84" t="str">
        <f>PROPER(TRIM(sales_data!C84))</f>
        <v>Eve</v>
      </c>
      <c r="I84" t="str">
        <f>PROPER(TRIM(sales_data!D84))</f>
        <v>East</v>
      </c>
      <c r="J84" t="str">
        <f>PROPER(TRIM(sales_data!G84))</f>
        <v>Clothing</v>
      </c>
      <c r="K84" t="str">
        <f>PROPER(TRIM(sales_data!J84))</f>
        <v>Returning</v>
      </c>
      <c r="L84" t="str">
        <f>PROPER(TRIM(sales_data!L84))</f>
        <v>Credit Card</v>
      </c>
      <c r="M84" t="str">
        <f>PROPER(TRIM(sales_data!M84))</f>
        <v>Retail</v>
      </c>
      <c r="N84">
        <f t="shared" si="5"/>
        <v>258.61999999999989</v>
      </c>
      <c r="O84">
        <f t="shared" si="6"/>
        <v>4913.7799999999979</v>
      </c>
      <c r="P84" t="str">
        <f t="shared" si="7"/>
        <v>May</v>
      </c>
    </row>
    <row r="85" spans="1:16" x14ac:dyDescent="0.25">
      <c r="A85">
        <v>1074</v>
      </c>
      <c r="B85" s="1">
        <v>45010</v>
      </c>
      <c r="C85">
        <f t="shared" si="4"/>
        <v>87321.013200000001</v>
      </c>
      <c r="D85">
        <v>38</v>
      </c>
      <c r="E85">
        <v>2610.6</v>
      </c>
      <c r="F85">
        <v>2836.94</v>
      </c>
      <c r="G85">
        <v>0.19</v>
      </c>
      <c r="H85" t="str">
        <f>PROPER(TRIM(sales_data!C85))</f>
        <v>Eve</v>
      </c>
      <c r="I85" t="str">
        <f>PROPER(TRIM(sales_data!D85))</f>
        <v>West</v>
      </c>
      <c r="J85" t="str">
        <f>PROPER(TRIM(sales_data!G85))</f>
        <v>Food</v>
      </c>
      <c r="K85" t="str">
        <f>PROPER(TRIM(sales_data!J85))</f>
        <v>Returning</v>
      </c>
      <c r="L85" t="str">
        <f>PROPER(TRIM(sales_data!L85))</f>
        <v>Credit Card</v>
      </c>
      <c r="M85" t="str">
        <f>PROPER(TRIM(sales_data!M85))</f>
        <v>Online</v>
      </c>
      <c r="N85">
        <f t="shared" si="5"/>
        <v>226.34000000000015</v>
      </c>
      <c r="O85">
        <f t="shared" si="6"/>
        <v>8600.9200000000055</v>
      </c>
      <c r="P85" t="str">
        <f t="shared" si="7"/>
        <v>Mar</v>
      </c>
    </row>
    <row r="86" spans="1:16" x14ac:dyDescent="0.25">
      <c r="A86">
        <v>1062</v>
      </c>
      <c r="B86" s="1">
        <v>45247</v>
      </c>
      <c r="C86">
        <f t="shared" si="4"/>
        <v>55871.121599999999</v>
      </c>
      <c r="D86">
        <v>28</v>
      </c>
      <c r="E86">
        <v>2094.88</v>
      </c>
      <c r="F86">
        <v>2168.91</v>
      </c>
      <c r="G86">
        <v>0.08</v>
      </c>
      <c r="H86" t="str">
        <f>PROPER(TRIM(sales_data!C86))</f>
        <v>Charlie</v>
      </c>
      <c r="I86" t="str">
        <f>PROPER(TRIM(sales_data!D86))</f>
        <v>North</v>
      </c>
      <c r="J86" t="str">
        <f>PROPER(TRIM(sales_data!G86))</f>
        <v>Clothing</v>
      </c>
      <c r="K86" t="str">
        <f>PROPER(TRIM(sales_data!J86))</f>
        <v>Returning</v>
      </c>
      <c r="L86" t="str">
        <f>PROPER(TRIM(sales_data!L86))</f>
        <v>Cash</v>
      </c>
      <c r="M86" t="str">
        <f>PROPER(TRIM(sales_data!M86))</f>
        <v>Retail</v>
      </c>
      <c r="N86">
        <f t="shared" si="5"/>
        <v>74.029999999999745</v>
      </c>
      <c r="O86">
        <f t="shared" si="6"/>
        <v>2072.8399999999929</v>
      </c>
      <c r="P86" t="str">
        <f t="shared" si="7"/>
        <v>Nov</v>
      </c>
    </row>
    <row r="87" spans="1:16" x14ac:dyDescent="0.25">
      <c r="A87">
        <v>1100</v>
      </c>
      <c r="B87" s="1">
        <v>45245</v>
      </c>
      <c r="C87">
        <f t="shared" si="4"/>
        <v>1736.4509999999998</v>
      </c>
      <c r="D87">
        <v>2</v>
      </c>
      <c r="E87">
        <v>1036.76</v>
      </c>
      <c r="F87">
        <v>1189.3499999999999</v>
      </c>
      <c r="G87">
        <v>0.27</v>
      </c>
      <c r="H87" t="str">
        <f>PROPER(TRIM(sales_data!C87))</f>
        <v>Eve</v>
      </c>
      <c r="I87" t="str">
        <f>PROPER(TRIM(sales_data!D87))</f>
        <v>East</v>
      </c>
      <c r="J87" t="str">
        <f>PROPER(TRIM(sales_data!G87))</f>
        <v>Furniture</v>
      </c>
      <c r="K87" t="str">
        <f>PROPER(TRIM(sales_data!J87))</f>
        <v>New</v>
      </c>
      <c r="L87" t="str">
        <f>PROPER(TRIM(sales_data!L87))</f>
        <v>Bank Transfer</v>
      </c>
      <c r="M87" t="str">
        <f>PROPER(TRIM(sales_data!M87))</f>
        <v>Online</v>
      </c>
      <c r="N87">
        <f t="shared" si="5"/>
        <v>152.58999999999992</v>
      </c>
      <c r="O87">
        <f t="shared" si="6"/>
        <v>305.17999999999984</v>
      </c>
      <c r="P87" t="str">
        <f t="shared" si="7"/>
        <v>Nov</v>
      </c>
    </row>
    <row r="88" spans="1:16" x14ac:dyDescent="0.25">
      <c r="A88">
        <v>1014</v>
      </c>
      <c r="B88" s="1">
        <v>45027</v>
      </c>
      <c r="C88">
        <f t="shared" si="4"/>
        <v>95065.74</v>
      </c>
      <c r="D88">
        <v>38</v>
      </c>
      <c r="E88">
        <v>2091.21</v>
      </c>
      <c r="F88">
        <v>2527</v>
      </c>
      <c r="G88">
        <v>0.01</v>
      </c>
      <c r="H88" t="str">
        <f>PROPER(TRIM(sales_data!C88))</f>
        <v>Alice</v>
      </c>
      <c r="I88" t="str">
        <f>PROPER(TRIM(sales_data!D88))</f>
        <v>South</v>
      </c>
      <c r="J88" t="str">
        <f>PROPER(TRIM(sales_data!G88))</f>
        <v>Food</v>
      </c>
      <c r="K88" t="str">
        <f>PROPER(TRIM(sales_data!J88))</f>
        <v>Returning</v>
      </c>
      <c r="L88" t="str">
        <f>PROPER(TRIM(sales_data!L88))</f>
        <v>Credit Card</v>
      </c>
      <c r="M88" t="str">
        <f>PROPER(TRIM(sales_data!M88))</f>
        <v>Online</v>
      </c>
      <c r="N88">
        <f t="shared" si="5"/>
        <v>435.78999999999996</v>
      </c>
      <c r="O88">
        <f t="shared" si="6"/>
        <v>16560.019999999997</v>
      </c>
      <c r="P88" t="str">
        <f t="shared" si="7"/>
        <v>Apr</v>
      </c>
    </row>
    <row r="89" spans="1:16" x14ac:dyDescent="0.25">
      <c r="A89">
        <v>1095</v>
      </c>
      <c r="B89" s="1">
        <v>45255</v>
      </c>
      <c r="C89">
        <f t="shared" si="4"/>
        <v>28669.635000000002</v>
      </c>
      <c r="D89">
        <v>37</v>
      </c>
      <c r="E89">
        <v>407.77</v>
      </c>
      <c r="F89">
        <v>860.95</v>
      </c>
      <c r="G89">
        <v>0.1</v>
      </c>
      <c r="H89" t="str">
        <f>PROPER(TRIM(sales_data!C89))</f>
        <v>Alice</v>
      </c>
      <c r="I89" t="str">
        <f>PROPER(TRIM(sales_data!D89))</f>
        <v>East</v>
      </c>
      <c r="J89" t="str">
        <f>PROPER(TRIM(sales_data!G89))</f>
        <v>Electronics</v>
      </c>
      <c r="K89" t="str">
        <f>PROPER(TRIM(sales_data!J89))</f>
        <v>New</v>
      </c>
      <c r="L89" t="str">
        <f>PROPER(TRIM(sales_data!L89))</f>
        <v>Credit Card</v>
      </c>
      <c r="M89" t="str">
        <f>PROPER(TRIM(sales_data!M89))</f>
        <v>Retail</v>
      </c>
      <c r="N89">
        <f t="shared" si="5"/>
        <v>453.18000000000006</v>
      </c>
      <c r="O89">
        <f t="shared" si="6"/>
        <v>16767.660000000003</v>
      </c>
      <c r="P89" t="str">
        <f t="shared" si="7"/>
        <v>Nov</v>
      </c>
    </row>
    <row r="90" spans="1:16" x14ac:dyDescent="0.25">
      <c r="A90">
        <v>1048</v>
      </c>
      <c r="B90" s="1">
        <v>45199</v>
      </c>
      <c r="C90">
        <f t="shared" si="4"/>
        <v>9080.7911999999706</v>
      </c>
      <c r="D90">
        <v>4</v>
      </c>
      <c r="E90">
        <v>2900.14</v>
      </c>
      <c r="F90">
        <v>2910.5099999999902</v>
      </c>
      <c r="G90">
        <v>0.22</v>
      </c>
      <c r="H90" t="str">
        <f>PROPER(TRIM(sales_data!C90))</f>
        <v>Charlie</v>
      </c>
      <c r="I90" t="str">
        <f>PROPER(TRIM(sales_data!D90))</f>
        <v>North</v>
      </c>
      <c r="J90" t="str">
        <f>PROPER(TRIM(sales_data!G90))</f>
        <v>Furniture</v>
      </c>
      <c r="K90" t="str">
        <f>PROPER(TRIM(sales_data!J90))</f>
        <v>New</v>
      </c>
      <c r="L90" t="str">
        <f>PROPER(TRIM(sales_data!L90))</f>
        <v>Credit Card</v>
      </c>
      <c r="M90" t="str">
        <f>PROPER(TRIM(sales_data!M90))</f>
        <v>Retail</v>
      </c>
      <c r="N90">
        <f t="shared" si="5"/>
        <v>10.369999999990341</v>
      </c>
      <c r="O90">
        <f t="shared" si="6"/>
        <v>41.479999999961365</v>
      </c>
      <c r="P90" t="str">
        <f t="shared" si="7"/>
        <v>Sep</v>
      </c>
    </row>
    <row r="91" spans="1:16" x14ac:dyDescent="0.25">
      <c r="A91">
        <v>1015</v>
      </c>
      <c r="B91" s="1">
        <v>45191</v>
      </c>
      <c r="C91">
        <f t="shared" si="4"/>
        <v>98674.083200000008</v>
      </c>
      <c r="D91">
        <v>22</v>
      </c>
      <c r="E91">
        <v>4275.59</v>
      </c>
      <c r="F91">
        <v>4576.72</v>
      </c>
      <c r="G91">
        <v>0.02</v>
      </c>
      <c r="H91" t="str">
        <f>PROPER(TRIM(sales_data!C91))</f>
        <v>David</v>
      </c>
      <c r="I91" t="str">
        <f>PROPER(TRIM(sales_data!D91))</f>
        <v>South</v>
      </c>
      <c r="J91" t="str">
        <f>PROPER(TRIM(sales_data!G91))</f>
        <v>Electronics</v>
      </c>
      <c r="K91" t="str">
        <f>PROPER(TRIM(sales_data!J91))</f>
        <v>Returning</v>
      </c>
      <c r="L91" t="str">
        <f>PROPER(TRIM(sales_data!L91))</f>
        <v>Cash</v>
      </c>
      <c r="M91" t="str">
        <f>PROPER(TRIM(sales_data!M91))</f>
        <v>Retail</v>
      </c>
      <c r="N91">
        <f t="shared" si="5"/>
        <v>301.13000000000011</v>
      </c>
      <c r="O91">
        <f t="shared" si="6"/>
        <v>6624.8600000000024</v>
      </c>
      <c r="P91" t="str">
        <f t="shared" si="7"/>
        <v>Sep</v>
      </c>
    </row>
    <row r="92" spans="1:16" x14ac:dyDescent="0.25">
      <c r="A92">
        <v>1072</v>
      </c>
      <c r="B92" s="1">
        <v>44964</v>
      </c>
      <c r="C92">
        <f t="shared" si="4"/>
        <v>98864.960999999996</v>
      </c>
      <c r="D92">
        <v>26</v>
      </c>
      <c r="E92">
        <v>3640.17</v>
      </c>
      <c r="F92">
        <v>4002.63</v>
      </c>
      <c r="G92">
        <v>0.05</v>
      </c>
      <c r="H92" t="str">
        <f>PROPER(TRIM(sales_data!C92))</f>
        <v>Bob</v>
      </c>
      <c r="I92" t="str">
        <f>PROPER(TRIM(sales_data!D92))</f>
        <v>East</v>
      </c>
      <c r="J92" t="str">
        <f>PROPER(TRIM(sales_data!G92))</f>
        <v>Food</v>
      </c>
      <c r="K92" t="str">
        <f>PROPER(TRIM(sales_data!J92))</f>
        <v>New</v>
      </c>
      <c r="L92" t="str">
        <f>PROPER(TRIM(sales_data!L92))</f>
        <v>Credit Card</v>
      </c>
      <c r="M92" t="str">
        <f>PROPER(TRIM(sales_data!M92))</f>
        <v>Retail</v>
      </c>
      <c r="N92">
        <f t="shared" si="5"/>
        <v>362.46000000000004</v>
      </c>
      <c r="O92">
        <f t="shared" si="6"/>
        <v>9423.9600000000009</v>
      </c>
      <c r="P92" t="str">
        <f t="shared" si="7"/>
        <v>Feb</v>
      </c>
    </row>
    <row r="93" spans="1:16" x14ac:dyDescent="0.25">
      <c r="A93">
        <v>1078</v>
      </c>
      <c r="B93" s="1">
        <v>45020</v>
      </c>
      <c r="C93">
        <f t="shared" si="4"/>
        <v>86272.085200000001</v>
      </c>
      <c r="D93">
        <v>49</v>
      </c>
      <c r="E93">
        <v>1833.95</v>
      </c>
      <c r="F93">
        <v>2147.14</v>
      </c>
      <c r="G93">
        <v>0.18</v>
      </c>
      <c r="H93" t="str">
        <f>PROPER(TRIM(sales_data!C93))</f>
        <v>David</v>
      </c>
      <c r="I93" t="str">
        <f>PROPER(TRIM(sales_data!D93))</f>
        <v>East</v>
      </c>
      <c r="J93" t="str">
        <f>PROPER(TRIM(sales_data!G93))</f>
        <v>Furniture</v>
      </c>
      <c r="K93" t="str">
        <f>PROPER(TRIM(sales_data!J93))</f>
        <v>Returning</v>
      </c>
      <c r="L93" t="str">
        <f>PROPER(TRIM(sales_data!L93))</f>
        <v>Credit Card</v>
      </c>
      <c r="M93" t="str">
        <f>PROPER(TRIM(sales_data!M93))</f>
        <v>Retail</v>
      </c>
      <c r="N93">
        <f t="shared" si="5"/>
        <v>313.18999999999983</v>
      </c>
      <c r="O93">
        <f t="shared" si="6"/>
        <v>15346.309999999992</v>
      </c>
      <c r="P93" t="str">
        <f t="shared" si="7"/>
        <v>Apr</v>
      </c>
    </row>
    <row r="94" spans="1:16" x14ac:dyDescent="0.25">
      <c r="A94">
        <v>1087</v>
      </c>
      <c r="B94" s="1">
        <v>45021</v>
      </c>
      <c r="C94">
        <f t="shared" si="4"/>
        <v>18952.103800000001</v>
      </c>
      <c r="D94">
        <v>43</v>
      </c>
      <c r="E94">
        <v>481</v>
      </c>
      <c r="F94">
        <v>531.02</v>
      </c>
      <c r="G94">
        <v>0.17</v>
      </c>
      <c r="H94" t="str">
        <f>PROPER(TRIM(sales_data!C94))</f>
        <v>Eve</v>
      </c>
      <c r="I94" t="str">
        <f>PROPER(TRIM(sales_data!D94))</f>
        <v>East</v>
      </c>
      <c r="J94" t="str">
        <f>PROPER(TRIM(sales_data!G94))</f>
        <v>Furniture</v>
      </c>
      <c r="K94" t="str">
        <f>PROPER(TRIM(sales_data!J94))</f>
        <v>New</v>
      </c>
      <c r="L94" t="str">
        <f>PROPER(TRIM(sales_data!L94))</f>
        <v>Cash</v>
      </c>
      <c r="M94" t="str">
        <f>PROPER(TRIM(sales_data!M94))</f>
        <v>Online</v>
      </c>
      <c r="N94">
        <f t="shared" si="5"/>
        <v>50.019999999999982</v>
      </c>
      <c r="O94">
        <f t="shared" si="6"/>
        <v>2150.8599999999992</v>
      </c>
      <c r="P94" t="str">
        <f t="shared" si="7"/>
        <v>Apr</v>
      </c>
    </row>
    <row r="95" spans="1:16" x14ac:dyDescent="0.25">
      <c r="A95">
        <v>1062</v>
      </c>
      <c r="B95" s="1">
        <v>45231</v>
      </c>
      <c r="C95">
        <f t="shared" si="4"/>
        <v>32778.626400000001</v>
      </c>
      <c r="D95">
        <v>36</v>
      </c>
      <c r="E95">
        <v>1050.6400000000001</v>
      </c>
      <c r="F95">
        <v>1167.33</v>
      </c>
      <c r="G95">
        <v>0.22</v>
      </c>
      <c r="H95" t="str">
        <f>PROPER(TRIM(sales_data!C95))</f>
        <v>Bob</v>
      </c>
      <c r="I95" t="str">
        <f>PROPER(TRIM(sales_data!D95))</f>
        <v>East</v>
      </c>
      <c r="J95" t="str">
        <f>PROPER(TRIM(sales_data!G95))</f>
        <v>Food</v>
      </c>
      <c r="K95" t="str">
        <f>PROPER(TRIM(sales_data!J95))</f>
        <v>New</v>
      </c>
      <c r="L95" t="str">
        <f>PROPER(TRIM(sales_data!L95))</f>
        <v>Cash</v>
      </c>
      <c r="M95" t="str">
        <f>PROPER(TRIM(sales_data!M95))</f>
        <v>Online</v>
      </c>
      <c r="N95">
        <f t="shared" si="5"/>
        <v>116.68999999999983</v>
      </c>
      <c r="O95">
        <f t="shared" si="6"/>
        <v>4200.8399999999938</v>
      </c>
      <c r="P95" t="str">
        <f t="shared" si="7"/>
        <v>Nov</v>
      </c>
    </row>
    <row r="96" spans="1:16" x14ac:dyDescent="0.25">
      <c r="A96">
        <v>1040</v>
      </c>
      <c r="B96" s="1">
        <v>44995</v>
      </c>
      <c r="C96">
        <f t="shared" si="4"/>
        <v>28482.557999999997</v>
      </c>
      <c r="D96">
        <v>13</v>
      </c>
      <c r="E96">
        <v>2750.18</v>
      </c>
      <c r="F96">
        <v>2882.85</v>
      </c>
      <c r="G96">
        <v>0.24</v>
      </c>
      <c r="H96" t="str">
        <f>PROPER(TRIM(sales_data!C96))</f>
        <v>Charlie</v>
      </c>
      <c r="I96" t="str">
        <f>PROPER(TRIM(sales_data!D96))</f>
        <v>East</v>
      </c>
      <c r="J96" t="str">
        <f>PROPER(TRIM(sales_data!G96))</f>
        <v>Clothing</v>
      </c>
      <c r="K96" t="str">
        <f>PROPER(TRIM(sales_data!J96))</f>
        <v>Returning</v>
      </c>
      <c r="L96" t="str">
        <f>PROPER(TRIM(sales_data!L96))</f>
        <v>Credit Card</v>
      </c>
      <c r="M96" t="str">
        <f>PROPER(TRIM(sales_data!M96))</f>
        <v>Online</v>
      </c>
      <c r="N96">
        <f t="shared" si="5"/>
        <v>132.67000000000007</v>
      </c>
      <c r="O96">
        <f t="shared" si="6"/>
        <v>1724.7100000000009</v>
      </c>
      <c r="P96" t="str">
        <f t="shared" si="7"/>
        <v>Mar</v>
      </c>
    </row>
    <row r="97" spans="1:16" x14ac:dyDescent="0.25">
      <c r="A97">
        <v>1085</v>
      </c>
      <c r="B97" s="1">
        <v>45244</v>
      </c>
      <c r="C97">
        <f t="shared" si="4"/>
        <v>45848.9856</v>
      </c>
      <c r="D97">
        <v>32</v>
      </c>
      <c r="E97">
        <v>1074.93</v>
      </c>
      <c r="F97">
        <v>1492.48</v>
      </c>
      <c r="G97">
        <v>0.04</v>
      </c>
      <c r="H97" t="str">
        <f>PROPER(TRIM(sales_data!C97))</f>
        <v>Charlie</v>
      </c>
      <c r="I97" t="str">
        <f>PROPER(TRIM(sales_data!D97))</f>
        <v>South</v>
      </c>
      <c r="J97" t="str">
        <f>PROPER(TRIM(sales_data!G97))</f>
        <v>Furniture</v>
      </c>
      <c r="K97" t="str">
        <f>PROPER(TRIM(sales_data!J97))</f>
        <v>Returning</v>
      </c>
      <c r="L97" t="str">
        <f>PROPER(TRIM(sales_data!L97))</f>
        <v>Credit Card</v>
      </c>
      <c r="M97" t="str">
        <f>PROPER(TRIM(sales_data!M97))</f>
        <v>Retail</v>
      </c>
      <c r="N97">
        <f t="shared" si="5"/>
        <v>417.54999999999995</v>
      </c>
      <c r="O97">
        <f t="shared" si="6"/>
        <v>13361.599999999999</v>
      </c>
      <c r="P97" t="str">
        <f t="shared" si="7"/>
        <v>Nov</v>
      </c>
    </row>
    <row r="98" spans="1:16" x14ac:dyDescent="0.25">
      <c r="A98">
        <v>1080</v>
      </c>
      <c r="B98" s="1">
        <v>45162</v>
      </c>
      <c r="C98">
        <f t="shared" si="4"/>
        <v>50147.341199999995</v>
      </c>
      <c r="D98">
        <v>17</v>
      </c>
      <c r="E98">
        <v>2742.67</v>
      </c>
      <c r="F98">
        <v>2979.64</v>
      </c>
      <c r="G98">
        <v>0.01</v>
      </c>
      <c r="H98" t="str">
        <f>PROPER(TRIM(sales_data!C98))</f>
        <v>Bob</v>
      </c>
      <c r="I98" t="str">
        <f>PROPER(TRIM(sales_data!D98))</f>
        <v>West</v>
      </c>
      <c r="J98" t="str">
        <f>PROPER(TRIM(sales_data!G98))</f>
        <v>Furniture</v>
      </c>
      <c r="K98" t="str">
        <f>PROPER(TRIM(sales_data!J98))</f>
        <v>Returning</v>
      </c>
      <c r="L98" t="str">
        <f>PROPER(TRIM(sales_data!L98))</f>
        <v>Cash</v>
      </c>
      <c r="M98" t="str">
        <f>PROPER(TRIM(sales_data!M98))</f>
        <v>Retail</v>
      </c>
      <c r="N98">
        <f t="shared" si="5"/>
        <v>236.9699999999998</v>
      </c>
      <c r="O98">
        <f t="shared" si="6"/>
        <v>4028.4899999999966</v>
      </c>
      <c r="P98" t="str">
        <f t="shared" si="7"/>
        <v>Aug</v>
      </c>
    </row>
    <row r="99" spans="1:16" x14ac:dyDescent="0.25">
      <c r="A99">
        <v>1082</v>
      </c>
      <c r="B99" s="1">
        <v>45260</v>
      </c>
      <c r="C99">
        <f t="shared" si="4"/>
        <v>46802.578300000008</v>
      </c>
      <c r="D99">
        <v>41</v>
      </c>
      <c r="E99">
        <v>1196.42</v>
      </c>
      <c r="F99">
        <v>1444.97</v>
      </c>
      <c r="G99">
        <v>0.21</v>
      </c>
      <c r="H99" t="str">
        <f>PROPER(TRIM(sales_data!C99))</f>
        <v>Alice</v>
      </c>
      <c r="I99" t="str">
        <f>PROPER(TRIM(sales_data!D99))</f>
        <v>South</v>
      </c>
      <c r="J99" t="str">
        <f>PROPER(TRIM(sales_data!G99))</f>
        <v>Electronics</v>
      </c>
      <c r="K99" t="str">
        <f>PROPER(TRIM(sales_data!J99))</f>
        <v>Returning</v>
      </c>
      <c r="L99" t="str">
        <f>PROPER(TRIM(sales_data!L99))</f>
        <v>Bank Transfer</v>
      </c>
      <c r="M99" t="str">
        <f>PROPER(TRIM(sales_data!M99))</f>
        <v>Online</v>
      </c>
      <c r="N99">
        <f t="shared" si="5"/>
        <v>248.54999999999995</v>
      </c>
      <c r="O99">
        <f t="shared" si="6"/>
        <v>10190.549999999997</v>
      </c>
      <c r="P99" t="str">
        <f t="shared" si="7"/>
        <v>Nov</v>
      </c>
    </row>
    <row r="100" spans="1:16" x14ac:dyDescent="0.25">
      <c r="A100">
        <v>1053</v>
      </c>
      <c r="B100" s="1">
        <v>45063</v>
      </c>
      <c r="C100">
        <f t="shared" si="4"/>
        <v>154636.04520000002</v>
      </c>
      <c r="D100">
        <v>36</v>
      </c>
      <c r="E100">
        <v>4252.17</v>
      </c>
      <c r="F100">
        <v>4720.2700000000004</v>
      </c>
      <c r="G100">
        <v>0.09</v>
      </c>
      <c r="H100" t="str">
        <f>PROPER(TRIM(sales_data!C100))</f>
        <v>Bob</v>
      </c>
      <c r="I100" t="str">
        <f>PROPER(TRIM(sales_data!D100))</f>
        <v>South</v>
      </c>
      <c r="J100" t="str">
        <f>PROPER(TRIM(sales_data!G100))</f>
        <v>Clothing</v>
      </c>
      <c r="K100" t="str">
        <f>PROPER(TRIM(sales_data!J100))</f>
        <v>New</v>
      </c>
      <c r="L100" t="str">
        <f>PROPER(TRIM(sales_data!L100))</f>
        <v>Cash</v>
      </c>
      <c r="M100" t="str">
        <f>PROPER(TRIM(sales_data!M100))</f>
        <v>Retail</v>
      </c>
      <c r="N100">
        <f t="shared" si="5"/>
        <v>468.10000000000036</v>
      </c>
      <c r="O100">
        <f t="shared" si="6"/>
        <v>16851.600000000013</v>
      </c>
      <c r="P100" t="str">
        <f t="shared" si="7"/>
        <v>May</v>
      </c>
    </row>
    <row r="101" spans="1:16" x14ac:dyDescent="0.25">
      <c r="A101">
        <v>1024</v>
      </c>
      <c r="B101" s="1">
        <v>45002</v>
      </c>
      <c r="C101">
        <f t="shared" si="4"/>
        <v>87138.47159999999</v>
      </c>
      <c r="D101">
        <v>46</v>
      </c>
      <c r="E101">
        <v>2016.49</v>
      </c>
      <c r="F101">
        <v>2338.66</v>
      </c>
      <c r="G101">
        <v>0.19</v>
      </c>
      <c r="H101" t="str">
        <f>PROPER(TRIM(sales_data!C101))</f>
        <v>Eve</v>
      </c>
      <c r="I101" t="str">
        <f>PROPER(TRIM(sales_data!D101))</f>
        <v>South</v>
      </c>
      <c r="J101" t="str">
        <f>PROPER(TRIM(sales_data!G101))</f>
        <v>Electronics</v>
      </c>
      <c r="K101" t="str">
        <f>PROPER(TRIM(sales_data!J101))</f>
        <v>Returning</v>
      </c>
      <c r="L101" t="str">
        <f>PROPER(TRIM(sales_data!L101))</f>
        <v>Bank Transfer</v>
      </c>
      <c r="M101" t="str">
        <f>PROPER(TRIM(sales_data!M101))</f>
        <v>Retail</v>
      </c>
      <c r="N101">
        <f t="shared" si="5"/>
        <v>322.16999999999985</v>
      </c>
      <c r="O101">
        <f t="shared" si="6"/>
        <v>14819.819999999992</v>
      </c>
      <c r="P101" t="str">
        <f t="shared" si="7"/>
        <v>Mar</v>
      </c>
    </row>
    <row r="102" spans="1:16" x14ac:dyDescent="0.25">
      <c r="A102">
        <v>1026</v>
      </c>
      <c r="B102" s="1">
        <v>44961</v>
      </c>
      <c r="C102">
        <f t="shared" si="4"/>
        <v>30970.731499999994</v>
      </c>
      <c r="D102">
        <v>19</v>
      </c>
      <c r="E102">
        <v>1265.48</v>
      </c>
      <c r="F102">
        <v>1715.83</v>
      </c>
      <c r="G102">
        <v>0.05</v>
      </c>
      <c r="H102" t="str">
        <f>PROPER(TRIM(sales_data!C102))</f>
        <v>Alice</v>
      </c>
      <c r="I102" t="str">
        <f>PROPER(TRIM(sales_data!D102))</f>
        <v>West</v>
      </c>
      <c r="J102" t="str">
        <f>PROPER(TRIM(sales_data!G102))</f>
        <v>Electronics</v>
      </c>
      <c r="K102" t="str">
        <f>PROPER(TRIM(sales_data!J102))</f>
        <v>New</v>
      </c>
      <c r="L102" t="str">
        <f>PROPER(TRIM(sales_data!L102))</f>
        <v>Credit Card</v>
      </c>
      <c r="M102" t="str">
        <f>PROPER(TRIM(sales_data!M102))</f>
        <v>Retail</v>
      </c>
      <c r="N102">
        <f t="shared" si="5"/>
        <v>450.34999999999991</v>
      </c>
      <c r="O102">
        <f t="shared" si="6"/>
        <v>8556.6499999999978</v>
      </c>
      <c r="P102" t="str">
        <f t="shared" si="7"/>
        <v>Feb</v>
      </c>
    </row>
    <row r="103" spans="1:16" x14ac:dyDescent="0.25">
      <c r="A103">
        <v>1089</v>
      </c>
      <c r="B103" s="1">
        <v>44927</v>
      </c>
      <c r="C103">
        <f t="shared" si="4"/>
        <v>129571.47</v>
      </c>
      <c r="D103">
        <v>35</v>
      </c>
      <c r="E103">
        <v>4071.01</v>
      </c>
      <c r="F103">
        <v>4304.7</v>
      </c>
      <c r="G103">
        <v>0.14000000000000001</v>
      </c>
      <c r="H103" t="str">
        <f>PROPER(TRIM(sales_data!C103))</f>
        <v>Charlie</v>
      </c>
      <c r="I103" t="str">
        <f>PROPER(TRIM(sales_data!D103))</f>
        <v>North</v>
      </c>
      <c r="J103" t="str">
        <f>PROPER(TRIM(sales_data!G103))</f>
        <v>Clothing</v>
      </c>
      <c r="K103" t="str">
        <f>PROPER(TRIM(sales_data!J103))</f>
        <v>New</v>
      </c>
      <c r="L103" t="str">
        <f>PROPER(TRIM(sales_data!L103))</f>
        <v>Credit Card</v>
      </c>
      <c r="M103" t="str">
        <f>PROPER(TRIM(sales_data!M103))</f>
        <v>Online</v>
      </c>
      <c r="N103">
        <f t="shared" si="5"/>
        <v>233.6899999999996</v>
      </c>
      <c r="O103">
        <f t="shared" si="6"/>
        <v>8179.149999999986</v>
      </c>
      <c r="P103" t="str">
        <f t="shared" si="7"/>
        <v>Jan</v>
      </c>
    </row>
    <row r="104" spans="1:16" x14ac:dyDescent="0.25">
      <c r="A104">
        <v>1060</v>
      </c>
      <c r="B104" s="1">
        <v>45222</v>
      </c>
      <c r="C104">
        <f t="shared" si="4"/>
        <v>71563.557000000001</v>
      </c>
      <c r="D104">
        <v>46</v>
      </c>
      <c r="E104">
        <v>1747.05</v>
      </c>
      <c r="F104">
        <v>1830.27</v>
      </c>
      <c r="G104">
        <v>0.15</v>
      </c>
      <c r="H104" t="str">
        <f>PROPER(TRIM(sales_data!C104))</f>
        <v>Bob</v>
      </c>
      <c r="I104" t="str">
        <f>PROPER(TRIM(sales_data!D104))</f>
        <v>West</v>
      </c>
      <c r="J104" t="str">
        <f>PROPER(TRIM(sales_data!G104))</f>
        <v>Clothing</v>
      </c>
      <c r="K104" t="str">
        <f>PROPER(TRIM(sales_data!J104))</f>
        <v>New</v>
      </c>
      <c r="L104" t="str">
        <f>PROPER(TRIM(sales_data!L104))</f>
        <v>Bank Transfer</v>
      </c>
      <c r="M104" t="str">
        <f>PROPER(TRIM(sales_data!M104))</f>
        <v>Retail</v>
      </c>
      <c r="N104">
        <f t="shared" si="5"/>
        <v>83.220000000000027</v>
      </c>
      <c r="O104">
        <f t="shared" si="6"/>
        <v>3828.1200000000013</v>
      </c>
      <c r="P104" t="str">
        <f t="shared" si="7"/>
        <v>Oct</v>
      </c>
    </row>
    <row r="105" spans="1:16" x14ac:dyDescent="0.25">
      <c r="A105">
        <v>1041</v>
      </c>
      <c r="B105" s="1">
        <v>45246</v>
      </c>
      <c r="C105">
        <f t="shared" si="4"/>
        <v>35014.983999999997</v>
      </c>
      <c r="D105">
        <v>40</v>
      </c>
      <c r="E105">
        <v>601.86</v>
      </c>
      <c r="F105">
        <v>1067.53</v>
      </c>
      <c r="G105">
        <v>0.18</v>
      </c>
      <c r="H105" t="str">
        <f>PROPER(TRIM(sales_data!C105))</f>
        <v>David</v>
      </c>
      <c r="I105" t="str">
        <f>PROPER(TRIM(sales_data!D105))</f>
        <v>South</v>
      </c>
      <c r="J105" t="str">
        <f>PROPER(TRIM(sales_data!G105))</f>
        <v>Food</v>
      </c>
      <c r="K105" t="str">
        <f>PROPER(TRIM(sales_data!J105))</f>
        <v>New</v>
      </c>
      <c r="L105" t="str">
        <f>PROPER(TRIM(sales_data!L105))</f>
        <v>Cash</v>
      </c>
      <c r="M105" t="str">
        <f>PROPER(TRIM(sales_data!M105))</f>
        <v>Online</v>
      </c>
      <c r="N105">
        <f t="shared" si="5"/>
        <v>465.66999999999996</v>
      </c>
      <c r="O105">
        <f t="shared" si="6"/>
        <v>18626.8</v>
      </c>
      <c r="P105" t="str">
        <f t="shared" si="7"/>
        <v>Nov</v>
      </c>
    </row>
    <row r="106" spans="1:16" x14ac:dyDescent="0.25">
      <c r="A106">
        <v>1029</v>
      </c>
      <c r="B106" s="1">
        <v>44986</v>
      </c>
      <c r="C106">
        <f t="shared" si="4"/>
        <v>73977.540000000008</v>
      </c>
      <c r="D106">
        <v>28</v>
      </c>
      <c r="E106">
        <v>2873.53</v>
      </c>
      <c r="F106">
        <v>3108.3</v>
      </c>
      <c r="G106">
        <v>0.15</v>
      </c>
      <c r="H106" t="str">
        <f>PROPER(TRIM(sales_data!C106))</f>
        <v>David</v>
      </c>
      <c r="I106" t="str">
        <f>PROPER(TRIM(sales_data!D106))</f>
        <v>East</v>
      </c>
      <c r="J106" t="str">
        <f>PROPER(TRIM(sales_data!G106))</f>
        <v>Clothing</v>
      </c>
      <c r="K106" t="str">
        <f>PROPER(TRIM(sales_data!J106))</f>
        <v>New</v>
      </c>
      <c r="L106" t="str">
        <f>PROPER(TRIM(sales_data!L106))</f>
        <v>Credit Card</v>
      </c>
      <c r="M106" t="str">
        <f>PROPER(TRIM(sales_data!M106))</f>
        <v>Retail</v>
      </c>
      <c r="N106">
        <f t="shared" si="5"/>
        <v>234.76999999999998</v>
      </c>
      <c r="O106">
        <f t="shared" si="6"/>
        <v>6573.5599999999995</v>
      </c>
      <c r="P106" t="str">
        <f t="shared" si="7"/>
        <v>Mar</v>
      </c>
    </row>
    <row r="107" spans="1:16" x14ac:dyDescent="0.25">
      <c r="A107">
        <v>1015</v>
      </c>
      <c r="B107" s="1">
        <v>45246</v>
      </c>
      <c r="C107">
        <f t="shared" si="4"/>
        <v>2573.5789999999997</v>
      </c>
      <c r="D107">
        <v>1</v>
      </c>
      <c r="E107">
        <v>2928.74</v>
      </c>
      <c r="F107">
        <v>3027.74</v>
      </c>
      <c r="G107">
        <v>0.15</v>
      </c>
      <c r="H107" t="str">
        <f>PROPER(TRIM(sales_data!C107))</f>
        <v>Eve</v>
      </c>
      <c r="I107" t="str">
        <f>PROPER(TRIM(sales_data!D107))</f>
        <v>East</v>
      </c>
      <c r="J107" t="str">
        <f>PROPER(TRIM(sales_data!G107))</f>
        <v>Furniture</v>
      </c>
      <c r="K107" t="str">
        <f>PROPER(TRIM(sales_data!J107))</f>
        <v>New</v>
      </c>
      <c r="L107" t="str">
        <f>PROPER(TRIM(sales_data!L107))</f>
        <v>Bank Transfer</v>
      </c>
      <c r="M107" t="str">
        <f>PROPER(TRIM(sales_data!M107))</f>
        <v>Retail</v>
      </c>
      <c r="N107">
        <f t="shared" si="5"/>
        <v>99</v>
      </c>
      <c r="O107">
        <f t="shared" si="6"/>
        <v>99</v>
      </c>
      <c r="P107" t="str">
        <f t="shared" si="7"/>
        <v>Nov</v>
      </c>
    </row>
    <row r="108" spans="1:16" x14ac:dyDescent="0.25">
      <c r="A108">
        <v>1045</v>
      </c>
      <c r="B108" s="1">
        <v>45275</v>
      </c>
      <c r="C108">
        <f t="shared" si="4"/>
        <v>141595.39800000002</v>
      </c>
      <c r="D108">
        <v>42</v>
      </c>
      <c r="E108">
        <v>3587.74</v>
      </c>
      <c r="F108">
        <v>3745.91</v>
      </c>
      <c r="G108">
        <v>0.1</v>
      </c>
      <c r="H108" t="str">
        <f>PROPER(TRIM(sales_data!C108))</f>
        <v>David</v>
      </c>
      <c r="I108" t="str">
        <f>PROPER(TRIM(sales_data!D108))</f>
        <v>South</v>
      </c>
      <c r="J108" t="str">
        <f>PROPER(TRIM(sales_data!G108))</f>
        <v>Clothing</v>
      </c>
      <c r="K108" t="str">
        <f>PROPER(TRIM(sales_data!J108))</f>
        <v>Returning</v>
      </c>
      <c r="L108" t="str">
        <f>PROPER(TRIM(sales_data!L108))</f>
        <v>Cash</v>
      </c>
      <c r="M108" t="str">
        <f>PROPER(TRIM(sales_data!M108))</f>
        <v>Online</v>
      </c>
      <c r="N108">
        <f t="shared" si="5"/>
        <v>158.17000000000007</v>
      </c>
      <c r="O108">
        <f t="shared" si="6"/>
        <v>6643.1400000000031</v>
      </c>
      <c r="P108" t="str">
        <f t="shared" si="7"/>
        <v>Dec</v>
      </c>
    </row>
    <row r="109" spans="1:16" x14ac:dyDescent="0.25">
      <c r="A109">
        <v>1065</v>
      </c>
      <c r="B109" s="1">
        <v>45254</v>
      </c>
      <c r="C109">
        <f t="shared" si="4"/>
        <v>22473.0072</v>
      </c>
      <c r="D109">
        <v>18</v>
      </c>
      <c r="E109">
        <v>1239.0899999999999</v>
      </c>
      <c r="F109">
        <v>1273.98</v>
      </c>
      <c r="G109">
        <v>0.02</v>
      </c>
      <c r="H109" t="str">
        <f>PROPER(TRIM(sales_data!C109))</f>
        <v>Bob</v>
      </c>
      <c r="I109" t="str">
        <f>PROPER(TRIM(sales_data!D109))</f>
        <v>East</v>
      </c>
      <c r="J109" t="str">
        <f>PROPER(TRIM(sales_data!G109))</f>
        <v>Food</v>
      </c>
      <c r="K109" t="str">
        <f>PROPER(TRIM(sales_data!J109))</f>
        <v>New</v>
      </c>
      <c r="L109" t="str">
        <f>PROPER(TRIM(sales_data!L109))</f>
        <v>Bank Transfer</v>
      </c>
      <c r="M109" t="str">
        <f>PROPER(TRIM(sales_data!M109))</f>
        <v>Retail</v>
      </c>
      <c r="N109">
        <f t="shared" si="5"/>
        <v>34.8900000000001</v>
      </c>
      <c r="O109">
        <f t="shared" si="6"/>
        <v>628.0200000000018</v>
      </c>
      <c r="P109" t="str">
        <f t="shared" si="7"/>
        <v>Nov</v>
      </c>
    </row>
    <row r="110" spans="1:16" x14ac:dyDescent="0.25">
      <c r="A110">
        <v>1089</v>
      </c>
      <c r="B110" s="1">
        <v>45193</v>
      </c>
      <c r="C110">
        <f t="shared" si="4"/>
        <v>115754.6784</v>
      </c>
      <c r="D110">
        <v>48</v>
      </c>
      <c r="E110">
        <v>2246.67</v>
      </c>
      <c r="F110">
        <v>2486.14</v>
      </c>
      <c r="G110">
        <v>0.03</v>
      </c>
      <c r="H110" t="str">
        <f>PROPER(TRIM(sales_data!C110))</f>
        <v>Bob</v>
      </c>
      <c r="I110" t="str">
        <f>PROPER(TRIM(sales_data!D110))</f>
        <v>South</v>
      </c>
      <c r="J110" t="str">
        <f>PROPER(TRIM(sales_data!G110))</f>
        <v>Food</v>
      </c>
      <c r="K110" t="str">
        <f>PROPER(TRIM(sales_data!J110))</f>
        <v>New</v>
      </c>
      <c r="L110" t="str">
        <f>PROPER(TRIM(sales_data!L110))</f>
        <v>Cash</v>
      </c>
      <c r="M110" t="str">
        <f>PROPER(TRIM(sales_data!M110))</f>
        <v>Retail</v>
      </c>
      <c r="N110">
        <f t="shared" si="5"/>
        <v>239.4699999999998</v>
      </c>
      <c r="O110">
        <f t="shared" si="6"/>
        <v>11494.55999999999</v>
      </c>
      <c r="P110" t="str">
        <f t="shared" si="7"/>
        <v>Sep</v>
      </c>
    </row>
    <row r="111" spans="1:16" x14ac:dyDescent="0.25">
      <c r="A111">
        <v>1071</v>
      </c>
      <c r="B111" s="1">
        <v>45287</v>
      </c>
      <c r="C111">
        <f t="shared" si="4"/>
        <v>65276.1</v>
      </c>
      <c r="D111">
        <v>40</v>
      </c>
      <c r="E111">
        <v>1447.72</v>
      </c>
      <c r="F111">
        <v>1875.75</v>
      </c>
      <c r="G111">
        <v>0.13</v>
      </c>
      <c r="H111" t="str">
        <f>PROPER(TRIM(sales_data!C111))</f>
        <v>David</v>
      </c>
      <c r="I111" t="str">
        <f>PROPER(TRIM(sales_data!D111))</f>
        <v>East</v>
      </c>
      <c r="J111" t="str">
        <f>PROPER(TRIM(sales_data!G111))</f>
        <v>Food</v>
      </c>
      <c r="K111" t="str">
        <f>PROPER(TRIM(sales_data!J111))</f>
        <v>New</v>
      </c>
      <c r="L111" t="str">
        <f>PROPER(TRIM(sales_data!L111))</f>
        <v>Cash</v>
      </c>
      <c r="M111" t="str">
        <f>PROPER(TRIM(sales_data!M111))</f>
        <v>Retail</v>
      </c>
      <c r="N111">
        <f t="shared" si="5"/>
        <v>428.03</v>
      </c>
      <c r="O111">
        <f t="shared" si="6"/>
        <v>17121.199999999997</v>
      </c>
      <c r="P111" t="str">
        <f t="shared" si="7"/>
        <v>Dec</v>
      </c>
    </row>
    <row r="112" spans="1:16" x14ac:dyDescent="0.25">
      <c r="A112">
        <v>1009</v>
      </c>
      <c r="B112" s="1">
        <v>45155</v>
      </c>
      <c r="C112">
        <f t="shared" si="4"/>
        <v>26966.652899999997</v>
      </c>
      <c r="D112">
        <v>33</v>
      </c>
      <c r="E112">
        <v>450.72</v>
      </c>
      <c r="F112">
        <v>918.17</v>
      </c>
      <c r="G112">
        <v>0.11</v>
      </c>
      <c r="H112" t="str">
        <f>PROPER(TRIM(sales_data!C112))</f>
        <v>Bob</v>
      </c>
      <c r="I112" t="str">
        <f>PROPER(TRIM(sales_data!D112))</f>
        <v>West</v>
      </c>
      <c r="J112" t="str">
        <f>PROPER(TRIM(sales_data!G112))</f>
        <v>Clothing</v>
      </c>
      <c r="K112" t="str">
        <f>PROPER(TRIM(sales_data!J112))</f>
        <v>Returning</v>
      </c>
      <c r="L112" t="str">
        <f>PROPER(TRIM(sales_data!L112))</f>
        <v>Cash</v>
      </c>
      <c r="M112" t="str">
        <f>PROPER(TRIM(sales_data!M112))</f>
        <v>Online</v>
      </c>
      <c r="N112">
        <f t="shared" si="5"/>
        <v>467.44999999999993</v>
      </c>
      <c r="O112">
        <f t="shared" si="6"/>
        <v>15425.849999999999</v>
      </c>
      <c r="P112" t="str">
        <f t="shared" si="7"/>
        <v>Aug</v>
      </c>
    </row>
    <row r="113" spans="1:16" x14ac:dyDescent="0.25">
      <c r="A113">
        <v>1088</v>
      </c>
      <c r="B113" s="1">
        <v>45196</v>
      </c>
      <c r="C113">
        <f t="shared" si="4"/>
        <v>49533.443999999901</v>
      </c>
      <c r="D113">
        <v>12</v>
      </c>
      <c r="E113">
        <v>4389.24</v>
      </c>
      <c r="F113">
        <v>4856.2199999999903</v>
      </c>
      <c r="G113">
        <v>0.15</v>
      </c>
      <c r="H113" t="str">
        <f>PROPER(TRIM(sales_data!C113))</f>
        <v>Eve</v>
      </c>
      <c r="I113" t="str">
        <f>PROPER(TRIM(sales_data!D113))</f>
        <v>North</v>
      </c>
      <c r="J113" t="str">
        <f>PROPER(TRIM(sales_data!G113))</f>
        <v>Clothing</v>
      </c>
      <c r="K113" t="str">
        <f>PROPER(TRIM(sales_data!J113))</f>
        <v>Returning</v>
      </c>
      <c r="L113" t="str">
        <f>PROPER(TRIM(sales_data!L113))</f>
        <v>Cash</v>
      </c>
      <c r="M113" t="str">
        <f>PROPER(TRIM(sales_data!M113))</f>
        <v>Retail</v>
      </c>
      <c r="N113">
        <f t="shared" si="5"/>
        <v>466.97999999999047</v>
      </c>
      <c r="O113">
        <f t="shared" si="6"/>
        <v>5603.7599999998856</v>
      </c>
      <c r="P113" t="str">
        <f t="shared" si="7"/>
        <v>Sep</v>
      </c>
    </row>
    <row r="114" spans="1:16" x14ac:dyDescent="0.25">
      <c r="A114">
        <v>1001</v>
      </c>
      <c r="B114" s="1">
        <v>45242</v>
      </c>
      <c r="C114">
        <f t="shared" si="4"/>
        <v>27149.085600000002</v>
      </c>
      <c r="D114">
        <v>8</v>
      </c>
      <c r="E114">
        <v>3657.91</v>
      </c>
      <c r="F114">
        <v>3729.27</v>
      </c>
      <c r="G114">
        <v>0.09</v>
      </c>
      <c r="H114" t="str">
        <f>PROPER(TRIM(sales_data!C114))</f>
        <v>Alice</v>
      </c>
      <c r="I114" t="str">
        <f>PROPER(TRIM(sales_data!D114))</f>
        <v>North</v>
      </c>
      <c r="J114" t="str">
        <f>PROPER(TRIM(sales_data!G114))</f>
        <v>Electronics</v>
      </c>
      <c r="K114" t="str">
        <f>PROPER(TRIM(sales_data!J114))</f>
        <v>New</v>
      </c>
      <c r="L114" t="str">
        <f>PROPER(TRIM(sales_data!L114))</f>
        <v>Bank Transfer</v>
      </c>
      <c r="M114" t="str">
        <f>PROPER(TRIM(sales_data!M114))</f>
        <v>Retail</v>
      </c>
      <c r="N114">
        <f t="shared" si="5"/>
        <v>71.360000000000127</v>
      </c>
      <c r="O114">
        <f t="shared" si="6"/>
        <v>570.88000000000102</v>
      </c>
      <c r="P114" t="str">
        <f t="shared" si="7"/>
        <v>Nov</v>
      </c>
    </row>
    <row r="115" spans="1:16" x14ac:dyDescent="0.25">
      <c r="A115">
        <v>1008</v>
      </c>
      <c r="B115" s="1">
        <v>45212</v>
      </c>
      <c r="C115">
        <f t="shared" si="4"/>
        <v>32979.972000000002</v>
      </c>
      <c r="D115">
        <v>24</v>
      </c>
      <c r="E115">
        <v>1542.24</v>
      </c>
      <c r="F115">
        <v>1739.45</v>
      </c>
      <c r="G115">
        <v>0.21</v>
      </c>
      <c r="H115" t="str">
        <f>PROPER(TRIM(sales_data!C115))</f>
        <v>Eve</v>
      </c>
      <c r="I115" t="str">
        <f>PROPER(TRIM(sales_data!D115))</f>
        <v>West</v>
      </c>
      <c r="J115" t="str">
        <f>PROPER(TRIM(sales_data!G115))</f>
        <v>Electronics</v>
      </c>
      <c r="K115" t="str">
        <f>PROPER(TRIM(sales_data!J115))</f>
        <v>Returning</v>
      </c>
      <c r="L115" t="str">
        <f>PROPER(TRIM(sales_data!L115))</f>
        <v>Bank Transfer</v>
      </c>
      <c r="M115" t="str">
        <f>PROPER(TRIM(sales_data!M115))</f>
        <v>Retail</v>
      </c>
      <c r="N115">
        <f t="shared" si="5"/>
        <v>197.21000000000004</v>
      </c>
      <c r="O115">
        <f t="shared" si="6"/>
        <v>4733.0400000000009</v>
      </c>
      <c r="P115" t="str">
        <f t="shared" si="7"/>
        <v>Oct</v>
      </c>
    </row>
    <row r="116" spans="1:16" x14ac:dyDescent="0.25">
      <c r="A116">
        <v>1088</v>
      </c>
      <c r="B116" s="1">
        <v>45217</v>
      </c>
      <c r="C116">
        <f t="shared" si="4"/>
        <v>36002.243199999997</v>
      </c>
      <c r="D116">
        <v>16</v>
      </c>
      <c r="E116">
        <v>3016.9</v>
      </c>
      <c r="F116">
        <v>3040.73</v>
      </c>
      <c r="G116">
        <v>0.26</v>
      </c>
      <c r="H116" t="str">
        <f>PROPER(TRIM(sales_data!C116))</f>
        <v>Eve</v>
      </c>
      <c r="I116" t="str">
        <f>PROPER(TRIM(sales_data!D116))</f>
        <v>West</v>
      </c>
      <c r="J116" t="str">
        <f>PROPER(TRIM(sales_data!G116))</f>
        <v>Furniture</v>
      </c>
      <c r="K116" t="str">
        <f>PROPER(TRIM(sales_data!J116))</f>
        <v>New</v>
      </c>
      <c r="L116" t="str">
        <f>PROPER(TRIM(sales_data!L116))</f>
        <v>Bank Transfer</v>
      </c>
      <c r="M116" t="str">
        <f>PROPER(TRIM(sales_data!M116))</f>
        <v>Retail</v>
      </c>
      <c r="N116">
        <f t="shared" si="5"/>
        <v>23.829999999999927</v>
      </c>
      <c r="O116">
        <f t="shared" si="6"/>
        <v>381.27999999999884</v>
      </c>
      <c r="P116" t="str">
        <f t="shared" si="7"/>
        <v>Oct</v>
      </c>
    </row>
    <row r="117" spans="1:16" x14ac:dyDescent="0.25">
      <c r="A117">
        <v>1063</v>
      </c>
      <c r="B117" s="1">
        <v>45139</v>
      </c>
      <c r="C117">
        <f t="shared" si="4"/>
        <v>5370.0555999999997</v>
      </c>
      <c r="D117">
        <v>4</v>
      </c>
      <c r="E117">
        <v>1046.26</v>
      </c>
      <c r="F117">
        <v>1475.29</v>
      </c>
      <c r="G117">
        <v>0.09</v>
      </c>
      <c r="H117" t="str">
        <f>PROPER(TRIM(sales_data!C117))</f>
        <v>Bob</v>
      </c>
      <c r="I117" t="str">
        <f>PROPER(TRIM(sales_data!D117))</f>
        <v>South</v>
      </c>
      <c r="J117" t="str">
        <f>PROPER(TRIM(sales_data!G117))</f>
        <v>Electronics</v>
      </c>
      <c r="K117" t="str">
        <f>PROPER(TRIM(sales_data!J117))</f>
        <v>Returning</v>
      </c>
      <c r="L117" t="str">
        <f>PROPER(TRIM(sales_data!L117))</f>
        <v>Bank Transfer</v>
      </c>
      <c r="M117" t="str">
        <f>PROPER(TRIM(sales_data!M117))</f>
        <v>Retail</v>
      </c>
      <c r="N117">
        <f t="shared" si="5"/>
        <v>429.03</v>
      </c>
      <c r="O117">
        <f t="shared" si="6"/>
        <v>1716.12</v>
      </c>
      <c r="P117" t="str">
        <f t="shared" si="7"/>
        <v>Aug</v>
      </c>
    </row>
    <row r="118" spans="1:16" x14ac:dyDescent="0.25">
      <c r="A118">
        <v>1011</v>
      </c>
      <c r="B118" s="1">
        <v>45091</v>
      </c>
      <c r="C118">
        <f t="shared" si="4"/>
        <v>165828.67120000001</v>
      </c>
      <c r="D118">
        <v>38</v>
      </c>
      <c r="E118">
        <v>4456.67</v>
      </c>
      <c r="F118">
        <v>4642.46</v>
      </c>
      <c r="G118">
        <v>0.06</v>
      </c>
      <c r="H118" t="str">
        <f>PROPER(TRIM(sales_data!C118))</f>
        <v>Alice</v>
      </c>
      <c r="I118" t="str">
        <f>PROPER(TRIM(sales_data!D118))</f>
        <v>South</v>
      </c>
      <c r="J118" t="str">
        <f>PROPER(TRIM(sales_data!G118))</f>
        <v>Furniture</v>
      </c>
      <c r="K118" t="str">
        <f>PROPER(TRIM(sales_data!J118))</f>
        <v>New</v>
      </c>
      <c r="L118" t="str">
        <f>PROPER(TRIM(sales_data!L118))</f>
        <v>Bank Transfer</v>
      </c>
      <c r="M118" t="str">
        <f>PROPER(TRIM(sales_data!M118))</f>
        <v>Online</v>
      </c>
      <c r="N118">
        <f t="shared" si="5"/>
        <v>185.78999999999996</v>
      </c>
      <c r="O118">
        <f t="shared" si="6"/>
        <v>7060.0199999999986</v>
      </c>
      <c r="P118" t="str">
        <f t="shared" si="7"/>
        <v>Jun</v>
      </c>
    </row>
    <row r="119" spans="1:16" x14ac:dyDescent="0.25">
      <c r="A119">
        <v>1081</v>
      </c>
      <c r="B119" s="1">
        <v>44931</v>
      </c>
      <c r="C119">
        <f t="shared" si="4"/>
        <v>40035.547199999994</v>
      </c>
      <c r="D119">
        <v>44</v>
      </c>
      <c r="E119">
        <v>618.79</v>
      </c>
      <c r="F119">
        <v>938.04</v>
      </c>
      <c r="G119">
        <v>0.03</v>
      </c>
      <c r="H119" t="str">
        <f>PROPER(TRIM(sales_data!C119))</f>
        <v>Bob</v>
      </c>
      <c r="I119" t="str">
        <f>PROPER(TRIM(sales_data!D119))</f>
        <v>South</v>
      </c>
      <c r="J119" t="str">
        <f>PROPER(TRIM(sales_data!G119))</f>
        <v>Food</v>
      </c>
      <c r="K119" t="str">
        <f>PROPER(TRIM(sales_data!J119))</f>
        <v>Returning</v>
      </c>
      <c r="L119" t="str">
        <f>PROPER(TRIM(sales_data!L119))</f>
        <v>Cash</v>
      </c>
      <c r="M119" t="str">
        <f>PROPER(TRIM(sales_data!M119))</f>
        <v>Online</v>
      </c>
      <c r="N119">
        <f t="shared" si="5"/>
        <v>319.25</v>
      </c>
      <c r="O119">
        <f t="shared" si="6"/>
        <v>14047</v>
      </c>
      <c r="P119" t="str">
        <f t="shared" si="7"/>
        <v>Jan</v>
      </c>
    </row>
    <row r="120" spans="1:16" x14ac:dyDescent="0.25">
      <c r="A120">
        <v>1008</v>
      </c>
      <c r="B120" s="1">
        <v>45265</v>
      </c>
      <c r="C120">
        <f t="shared" si="4"/>
        <v>9504.4806000000008</v>
      </c>
      <c r="D120">
        <v>27</v>
      </c>
      <c r="E120">
        <v>68.989999999999995</v>
      </c>
      <c r="F120">
        <v>429.29</v>
      </c>
      <c r="G120">
        <v>0.18</v>
      </c>
      <c r="H120" t="str">
        <f>PROPER(TRIM(sales_data!C120))</f>
        <v>Charlie</v>
      </c>
      <c r="I120" t="str">
        <f>PROPER(TRIM(sales_data!D120))</f>
        <v>East</v>
      </c>
      <c r="J120" t="str">
        <f>PROPER(TRIM(sales_data!G120))</f>
        <v>Electronics</v>
      </c>
      <c r="K120" t="str">
        <f>PROPER(TRIM(sales_data!J120))</f>
        <v>Returning</v>
      </c>
      <c r="L120" t="str">
        <f>PROPER(TRIM(sales_data!L120))</f>
        <v>Credit Card</v>
      </c>
      <c r="M120" t="str">
        <f>PROPER(TRIM(sales_data!M120))</f>
        <v>Retail</v>
      </c>
      <c r="N120">
        <f t="shared" si="5"/>
        <v>360.3</v>
      </c>
      <c r="O120">
        <f t="shared" si="6"/>
        <v>9728.1</v>
      </c>
      <c r="P120" t="str">
        <f t="shared" si="7"/>
        <v>Dec</v>
      </c>
    </row>
    <row r="121" spans="1:16" x14ac:dyDescent="0.25">
      <c r="A121">
        <v>1035</v>
      </c>
      <c r="B121" s="1">
        <v>45004</v>
      </c>
      <c r="C121">
        <f t="shared" si="4"/>
        <v>21576.034800000001</v>
      </c>
      <c r="D121">
        <v>9</v>
      </c>
      <c r="E121">
        <v>2534.94</v>
      </c>
      <c r="F121">
        <v>2755.56</v>
      </c>
      <c r="G121">
        <v>0.13</v>
      </c>
      <c r="H121" t="str">
        <f>PROPER(TRIM(sales_data!C121))</f>
        <v>Bob</v>
      </c>
      <c r="I121" t="str">
        <f>PROPER(TRIM(sales_data!D121))</f>
        <v>South</v>
      </c>
      <c r="J121" t="str">
        <f>PROPER(TRIM(sales_data!G121))</f>
        <v>Clothing</v>
      </c>
      <c r="K121" t="str">
        <f>PROPER(TRIM(sales_data!J121))</f>
        <v>Returning</v>
      </c>
      <c r="L121" t="str">
        <f>PROPER(TRIM(sales_data!L121))</f>
        <v>Credit Card</v>
      </c>
      <c r="M121" t="str">
        <f>PROPER(TRIM(sales_data!M121))</f>
        <v>Retail</v>
      </c>
      <c r="N121">
        <f t="shared" si="5"/>
        <v>220.61999999999989</v>
      </c>
      <c r="O121">
        <f t="shared" si="6"/>
        <v>1985.579999999999</v>
      </c>
      <c r="P121" t="str">
        <f t="shared" si="7"/>
        <v>Mar</v>
      </c>
    </row>
    <row r="122" spans="1:16" x14ac:dyDescent="0.25">
      <c r="A122">
        <v>1035</v>
      </c>
      <c r="B122" s="1">
        <v>44988</v>
      </c>
      <c r="C122">
        <f t="shared" si="4"/>
        <v>136809.55519999997</v>
      </c>
      <c r="D122">
        <v>47</v>
      </c>
      <c r="E122">
        <v>2936.48</v>
      </c>
      <c r="F122">
        <v>3096.64</v>
      </c>
      <c r="G122">
        <v>0.06</v>
      </c>
      <c r="H122" t="str">
        <f>PROPER(TRIM(sales_data!C122))</f>
        <v>Bob</v>
      </c>
      <c r="I122" t="str">
        <f>PROPER(TRIM(sales_data!D122))</f>
        <v>West</v>
      </c>
      <c r="J122" t="str">
        <f>PROPER(TRIM(sales_data!G122))</f>
        <v>Electronics</v>
      </c>
      <c r="K122" t="str">
        <f>PROPER(TRIM(sales_data!J122))</f>
        <v>New</v>
      </c>
      <c r="L122" t="str">
        <f>PROPER(TRIM(sales_data!L122))</f>
        <v>Bank Transfer</v>
      </c>
      <c r="M122" t="str">
        <f>PROPER(TRIM(sales_data!M122))</f>
        <v>Online</v>
      </c>
      <c r="N122">
        <f t="shared" si="5"/>
        <v>160.15999999999985</v>
      </c>
      <c r="O122">
        <f t="shared" si="6"/>
        <v>7527.5199999999932</v>
      </c>
      <c r="P122" t="str">
        <f t="shared" si="7"/>
        <v>Mar</v>
      </c>
    </row>
    <row r="123" spans="1:16" x14ac:dyDescent="0.25">
      <c r="A123">
        <v>1033</v>
      </c>
      <c r="B123" s="1">
        <v>45058</v>
      </c>
      <c r="C123">
        <f t="shared" si="4"/>
        <v>43486.208000000006</v>
      </c>
      <c r="D123">
        <v>16</v>
      </c>
      <c r="E123">
        <v>2915.88</v>
      </c>
      <c r="F123">
        <v>3397.36</v>
      </c>
      <c r="G123">
        <v>0.2</v>
      </c>
      <c r="H123" t="str">
        <f>PROPER(TRIM(sales_data!C123))</f>
        <v>Bob</v>
      </c>
      <c r="I123" t="str">
        <f>PROPER(TRIM(sales_data!D123))</f>
        <v>North</v>
      </c>
      <c r="J123" t="str">
        <f>PROPER(TRIM(sales_data!G123))</f>
        <v>Furniture</v>
      </c>
      <c r="K123" t="str">
        <f>PROPER(TRIM(sales_data!J123))</f>
        <v>New</v>
      </c>
      <c r="L123" t="str">
        <f>PROPER(TRIM(sales_data!L123))</f>
        <v>Bank Transfer</v>
      </c>
      <c r="M123" t="str">
        <f>PROPER(TRIM(sales_data!M123))</f>
        <v>Retail</v>
      </c>
      <c r="N123">
        <f t="shared" si="5"/>
        <v>481.48</v>
      </c>
      <c r="O123">
        <f t="shared" si="6"/>
        <v>7703.68</v>
      </c>
      <c r="P123" t="str">
        <f t="shared" si="7"/>
        <v>May</v>
      </c>
    </row>
    <row r="124" spans="1:16" x14ac:dyDescent="0.25">
      <c r="A124">
        <v>1005</v>
      </c>
      <c r="B124" s="1">
        <v>45015</v>
      </c>
      <c r="C124">
        <f t="shared" si="4"/>
        <v>9243.9935999999998</v>
      </c>
      <c r="D124">
        <v>12</v>
      </c>
      <c r="E124">
        <v>319.83</v>
      </c>
      <c r="F124">
        <v>802.43</v>
      </c>
      <c r="G124">
        <v>0.04</v>
      </c>
      <c r="H124" t="str">
        <f>PROPER(TRIM(sales_data!C124))</f>
        <v>Alice</v>
      </c>
      <c r="I124" t="str">
        <f>PROPER(TRIM(sales_data!D124))</f>
        <v>East</v>
      </c>
      <c r="J124" t="str">
        <f>PROPER(TRIM(sales_data!G124))</f>
        <v>Electronics</v>
      </c>
      <c r="K124" t="str">
        <f>PROPER(TRIM(sales_data!J124))</f>
        <v>New</v>
      </c>
      <c r="L124" t="str">
        <f>PROPER(TRIM(sales_data!L124))</f>
        <v>Credit Card</v>
      </c>
      <c r="M124" t="str">
        <f>PROPER(TRIM(sales_data!M124))</f>
        <v>Retail</v>
      </c>
      <c r="N124">
        <f t="shared" si="5"/>
        <v>482.59999999999997</v>
      </c>
      <c r="O124">
        <f t="shared" si="6"/>
        <v>5791.2</v>
      </c>
      <c r="P124" t="str">
        <f t="shared" si="7"/>
        <v>Mar</v>
      </c>
    </row>
    <row r="125" spans="1:16" x14ac:dyDescent="0.25">
      <c r="A125">
        <v>1041</v>
      </c>
      <c r="B125" s="1">
        <v>45163</v>
      </c>
      <c r="C125">
        <f t="shared" si="4"/>
        <v>45190.628199999999</v>
      </c>
      <c r="D125">
        <v>31</v>
      </c>
      <c r="E125">
        <v>1604.52</v>
      </c>
      <c r="F125">
        <v>1756.34</v>
      </c>
      <c r="G125">
        <v>0.17</v>
      </c>
      <c r="H125" t="str">
        <f>PROPER(TRIM(sales_data!C125))</f>
        <v>Bob</v>
      </c>
      <c r="I125" t="str">
        <f>PROPER(TRIM(sales_data!D125))</f>
        <v>South</v>
      </c>
      <c r="J125" t="str">
        <f>PROPER(TRIM(sales_data!G125))</f>
        <v>Food</v>
      </c>
      <c r="K125" t="str">
        <f>PROPER(TRIM(sales_data!J125))</f>
        <v>Returning</v>
      </c>
      <c r="L125" t="str">
        <f>PROPER(TRIM(sales_data!L125))</f>
        <v>Cash</v>
      </c>
      <c r="M125" t="str">
        <f>PROPER(TRIM(sales_data!M125))</f>
        <v>Retail</v>
      </c>
      <c r="N125">
        <f t="shared" si="5"/>
        <v>151.81999999999994</v>
      </c>
      <c r="O125">
        <f t="shared" si="6"/>
        <v>4706.4199999999983</v>
      </c>
      <c r="P125" t="str">
        <f t="shared" si="7"/>
        <v>Aug</v>
      </c>
    </row>
    <row r="126" spans="1:16" x14ac:dyDescent="0.25">
      <c r="A126">
        <v>1028</v>
      </c>
      <c r="B126" s="1">
        <v>44968</v>
      </c>
      <c r="C126">
        <f t="shared" si="4"/>
        <v>55763.568000000007</v>
      </c>
      <c r="D126">
        <v>24</v>
      </c>
      <c r="E126">
        <v>2521.0300000000002</v>
      </c>
      <c r="F126">
        <v>2766.05</v>
      </c>
      <c r="G126">
        <v>0.16</v>
      </c>
      <c r="H126" t="str">
        <f>PROPER(TRIM(sales_data!C126))</f>
        <v>Alice</v>
      </c>
      <c r="I126" t="str">
        <f>PROPER(TRIM(sales_data!D126))</f>
        <v>East</v>
      </c>
      <c r="J126" t="str">
        <f>PROPER(TRIM(sales_data!G126))</f>
        <v>Clothing</v>
      </c>
      <c r="K126" t="str">
        <f>PROPER(TRIM(sales_data!J126))</f>
        <v>Returning</v>
      </c>
      <c r="L126" t="str">
        <f>PROPER(TRIM(sales_data!L126))</f>
        <v>Bank Transfer</v>
      </c>
      <c r="M126" t="str">
        <f>PROPER(TRIM(sales_data!M126))</f>
        <v>Retail</v>
      </c>
      <c r="N126">
        <f t="shared" si="5"/>
        <v>245.01999999999998</v>
      </c>
      <c r="O126">
        <f t="shared" si="6"/>
        <v>5880.48</v>
      </c>
      <c r="P126" t="str">
        <f t="shared" si="7"/>
        <v>Feb</v>
      </c>
    </row>
    <row r="127" spans="1:16" x14ac:dyDescent="0.25">
      <c r="A127">
        <v>1007</v>
      </c>
      <c r="B127" s="1">
        <v>45015</v>
      </c>
      <c r="C127">
        <f t="shared" si="4"/>
        <v>17567.659200000002</v>
      </c>
      <c r="D127">
        <v>14</v>
      </c>
      <c r="E127">
        <v>1122.07</v>
      </c>
      <c r="F127">
        <v>1608.76</v>
      </c>
      <c r="G127">
        <v>0.22</v>
      </c>
      <c r="H127" t="str">
        <f>PROPER(TRIM(sales_data!C127))</f>
        <v>David</v>
      </c>
      <c r="I127" t="str">
        <f>PROPER(TRIM(sales_data!D127))</f>
        <v>East</v>
      </c>
      <c r="J127" t="str">
        <f>PROPER(TRIM(sales_data!G127))</f>
        <v>Furniture</v>
      </c>
      <c r="K127" t="str">
        <f>PROPER(TRIM(sales_data!J127))</f>
        <v>New</v>
      </c>
      <c r="L127" t="str">
        <f>PROPER(TRIM(sales_data!L127))</f>
        <v>Cash</v>
      </c>
      <c r="M127" t="str">
        <f>PROPER(TRIM(sales_data!M127))</f>
        <v>Retail</v>
      </c>
      <c r="N127">
        <f t="shared" si="5"/>
        <v>486.69000000000005</v>
      </c>
      <c r="O127">
        <f t="shared" si="6"/>
        <v>6813.6600000000008</v>
      </c>
      <c r="P127" t="str">
        <f t="shared" si="7"/>
        <v>Mar</v>
      </c>
    </row>
    <row r="128" spans="1:16" x14ac:dyDescent="0.25">
      <c r="A128">
        <v>1073</v>
      </c>
      <c r="B128" s="1">
        <v>45222</v>
      </c>
      <c r="C128">
        <f t="shared" si="4"/>
        <v>193241.34900000002</v>
      </c>
      <c r="D128">
        <v>45</v>
      </c>
      <c r="E128">
        <v>4369.5</v>
      </c>
      <c r="F128">
        <v>4381.8900000000003</v>
      </c>
      <c r="G128">
        <v>0.02</v>
      </c>
      <c r="H128" t="str">
        <f>PROPER(TRIM(sales_data!C128))</f>
        <v>Charlie</v>
      </c>
      <c r="I128" t="str">
        <f>PROPER(TRIM(sales_data!D128))</f>
        <v>South</v>
      </c>
      <c r="J128" t="str">
        <f>PROPER(TRIM(sales_data!G128))</f>
        <v>Clothing</v>
      </c>
      <c r="K128" t="str">
        <f>PROPER(TRIM(sales_data!J128))</f>
        <v>Returning</v>
      </c>
      <c r="L128" t="str">
        <f>PROPER(TRIM(sales_data!L128))</f>
        <v>Credit Card</v>
      </c>
      <c r="M128" t="str">
        <f>PROPER(TRIM(sales_data!M128))</f>
        <v>Retail</v>
      </c>
      <c r="N128">
        <f t="shared" si="5"/>
        <v>12.390000000000327</v>
      </c>
      <c r="O128">
        <f t="shared" si="6"/>
        <v>557.55000000001473</v>
      </c>
      <c r="P128" t="str">
        <f t="shared" si="7"/>
        <v>Oct</v>
      </c>
    </row>
    <row r="129" spans="1:16" x14ac:dyDescent="0.25">
      <c r="A129">
        <v>1072</v>
      </c>
      <c r="B129" s="1">
        <v>45254</v>
      </c>
      <c r="C129">
        <f t="shared" si="4"/>
        <v>12654.55</v>
      </c>
      <c r="D129">
        <v>25</v>
      </c>
      <c r="E129">
        <v>481.19</v>
      </c>
      <c r="F129">
        <v>693.4</v>
      </c>
      <c r="G129">
        <v>0.27</v>
      </c>
      <c r="H129" t="str">
        <f>PROPER(TRIM(sales_data!C129))</f>
        <v>Alice</v>
      </c>
      <c r="I129" t="str">
        <f>PROPER(TRIM(sales_data!D129))</f>
        <v>East</v>
      </c>
      <c r="J129" t="str">
        <f>PROPER(TRIM(sales_data!G129))</f>
        <v>Clothing</v>
      </c>
      <c r="K129" t="str">
        <f>PROPER(TRIM(sales_data!J129))</f>
        <v>New</v>
      </c>
      <c r="L129" t="str">
        <f>PROPER(TRIM(sales_data!L129))</f>
        <v>Credit Card</v>
      </c>
      <c r="M129" t="str">
        <f>PROPER(TRIM(sales_data!M129))</f>
        <v>Retail</v>
      </c>
      <c r="N129">
        <f t="shared" si="5"/>
        <v>212.20999999999998</v>
      </c>
      <c r="O129">
        <f t="shared" si="6"/>
        <v>5305.2499999999991</v>
      </c>
      <c r="P129" t="str">
        <f t="shared" si="7"/>
        <v>Nov</v>
      </c>
    </row>
    <row r="130" spans="1:16" x14ac:dyDescent="0.25">
      <c r="A130">
        <v>1012</v>
      </c>
      <c r="B130" s="1">
        <v>45221</v>
      </c>
      <c r="C130">
        <f t="shared" ref="C130:C193" si="8">(D130*F130)*(1-G130)</f>
        <v>67734.742199999993</v>
      </c>
      <c r="D130">
        <v>34</v>
      </c>
      <c r="E130">
        <v>2462.5500000000002</v>
      </c>
      <c r="F130">
        <v>2521.77</v>
      </c>
      <c r="G130">
        <v>0.21</v>
      </c>
      <c r="H130" t="str">
        <f>PROPER(TRIM(sales_data!C130))</f>
        <v>David</v>
      </c>
      <c r="I130" t="str">
        <f>PROPER(TRIM(sales_data!D130))</f>
        <v>North</v>
      </c>
      <c r="J130" t="str">
        <f>PROPER(TRIM(sales_data!G130))</f>
        <v>Furniture</v>
      </c>
      <c r="K130" t="str">
        <f>PROPER(TRIM(sales_data!J130))</f>
        <v>New</v>
      </c>
      <c r="L130" t="str">
        <f>PROPER(TRIM(sales_data!L130))</f>
        <v>Bank Transfer</v>
      </c>
      <c r="M130" t="str">
        <f>PROPER(TRIM(sales_data!M130))</f>
        <v>Retail</v>
      </c>
      <c r="N130">
        <f t="shared" ref="N130:N193" si="9">F130-E130</f>
        <v>59.2199999999998</v>
      </c>
      <c r="O130">
        <f t="shared" ref="O130:O193" si="10">N130*D130</f>
        <v>2013.4799999999932</v>
      </c>
      <c r="P130" t="str">
        <f t="shared" ref="P130:P193" si="11">TEXT(B130,"mmm")</f>
        <v>Oct</v>
      </c>
    </row>
    <row r="131" spans="1:16" x14ac:dyDescent="0.25">
      <c r="A131">
        <v>1034</v>
      </c>
      <c r="B131" s="1">
        <v>45030</v>
      </c>
      <c r="C131">
        <f t="shared" si="8"/>
        <v>10524.24</v>
      </c>
      <c r="D131">
        <v>3</v>
      </c>
      <c r="E131">
        <v>3472.51</v>
      </c>
      <c r="F131">
        <v>3732</v>
      </c>
      <c r="G131">
        <v>0.06</v>
      </c>
      <c r="H131" t="str">
        <f>PROPER(TRIM(sales_data!C131))</f>
        <v>Alice</v>
      </c>
      <c r="I131" t="str">
        <f>PROPER(TRIM(sales_data!D131))</f>
        <v>West</v>
      </c>
      <c r="J131" t="str">
        <f>PROPER(TRIM(sales_data!G131))</f>
        <v>Clothing</v>
      </c>
      <c r="K131" t="str">
        <f>PROPER(TRIM(sales_data!J131))</f>
        <v>New</v>
      </c>
      <c r="L131" t="str">
        <f>PROPER(TRIM(sales_data!L131))</f>
        <v>Cash</v>
      </c>
      <c r="M131" t="str">
        <f>PROPER(TRIM(sales_data!M131))</f>
        <v>Online</v>
      </c>
      <c r="N131">
        <f t="shared" si="9"/>
        <v>259.48999999999978</v>
      </c>
      <c r="O131">
        <f t="shared" si="10"/>
        <v>778.46999999999935</v>
      </c>
      <c r="P131" t="str">
        <f t="shared" si="11"/>
        <v>Apr</v>
      </c>
    </row>
    <row r="132" spans="1:16" x14ac:dyDescent="0.25">
      <c r="A132">
        <v>1033</v>
      </c>
      <c r="B132" s="1">
        <v>44940</v>
      </c>
      <c r="C132">
        <f t="shared" si="8"/>
        <v>30856.665599999997</v>
      </c>
      <c r="D132">
        <v>24</v>
      </c>
      <c r="E132">
        <v>1345.67</v>
      </c>
      <c r="F132">
        <v>1367.76</v>
      </c>
      <c r="G132">
        <v>0.06</v>
      </c>
      <c r="H132" t="str">
        <f>PROPER(TRIM(sales_data!C132))</f>
        <v>Alice</v>
      </c>
      <c r="I132" t="str">
        <f>PROPER(TRIM(sales_data!D132))</f>
        <v>West</v>
      </c>
      <c r="J132" t="str">
        <f>PROPER(TRIM(sales_data!G132))</f>
        <v>Clothing</v>
      </c>
      <c r="K132" t="str">
        <f>PROPER(TRIM(sales_data!J132))</f>
        <v>New</v>
      </c>
      <c r="L132" t="str">
        <f>PROPER(TRIM(sales_data!L132))</f>
        <v>Bank Transfer</v>
      </c>
      <c r="M132" t="str">
        <f>PROPER(TRIM(sales_data!M132))</f>
        <v>Online</v>
      </c>
      <c r="N132">
        <f t="shared" si="9"/>
        <v>22.089999999999918</v>
      </c>
      <c r="O132">
        <f t="shared" si="10"/>
        <v>530.15999999999804</v>
      </c>
      <c r="P132" t="str">
        <f t="shared" si="11"/>
        <v>Jan</v>
      </c>
    </row>
    <row r="133" spans="1:16" x14ac:dyDescent="0.25">
      <c r="A133">
        <v>1048</v>
      </c>
      <c r="B133" s="1">
        <v>45214</v>
      </c>
      <c r="C133">
        <f t="shared" si="8"/>
        <v>122385.9798</v>
      </c>
      <c r="D133">
        <v>42</v>
      </c>
      <c r="E133">
        <v>3139.99</v>
      </c>
      <c r="F133">
        <v>3349.37</v>
      </c>
      <c r="G133">
        <v>0.13</v>
      </c>
      <c r="H133" t="str">
        <f>PROPER(TRIM(sales_data!C133))</f>
        <v>Charlie</v>
      </c>
      <c r="I133" t="str">
        <f>PROPER(TRIM(sales_data!D133))</f>
        <v>North</v>
      </c>
      <c r="J133" t="str">
        <f>PROPER(TRIM(sales_data!G133))</f>
        <v>Electronics</v>
      </c>
      <c r="K133" t="str">
        <f>PROPER(TRIM(sales_data!J133))</f>
        <v>Returning</v>
      </c>
      <c r="L133" t="str">
        <f>PROPER(TRIM(sales_data!L133))</f>
        <v>Credit Card</v>
      </c>
      <c r="M133" t="str">
        <f>PROPER(TRIM(sales_data!M133))</f>
        <v>Retail</v>
      </c>
      <c r="N133">
        <f t="shared" si="9"/>
        <v>209.38000000000011</v>
      </c>
      <c r="O133">
        <f t="shared" si="10"/>
        <v>8793.9600000000046</v>
      </c>
      <c r="P133" t="str">
        <f t="shared" si="11"/>
        <v>Oct</v>
      </c>
    </row>
    <row r="134" spans="1:16" x14ac:dyDescent="0.25">
      <c r="A134">
        <v>1023</v>
      </c>
      <c r="B134" s="1">
        <v>45105</v>
      </c>
      <c r="C134">
        <f t="shared" si="8"/>
        <v>28846.800000000003</v>
      </c>
      <c r="D134">
        <v>9</v>
      </c>
      <c r="E134">
        <v>4155.46</v>
      </c>
      <c r="F134">
        <v>4273.6000000000004</v>
      </c>
      <c r="G134">
        <v>0.25</v>
      </c>
      <c r="H134" t="str">
        <f>PROPER(TRIM(sales_data!C134))</f>
        <v>Eve</v>
      </c>
      <c r="I134" t="str">
        <f>PROPER(TRIM(sales_data!D134))</f>
        <v>East</v>
      </c>
      <c r="J134" t="str">
        <f>PROPER(TRIM(sales_data!G134))</f>
        <v>Clothing</v>
      </c>
      <c r="K134" t="str">
        <f>PROPER(TRIM(sales_data!J134))</f>
        <v>Returning</v>
      </c>
      <c r="L134" t="str">
        <f>PROPER(TRIM(sales_data!L134))</f>
        <v>Cash</v>
      </c>
      <c r="M134" t="str">
        <f>PROPER(TRIM(sales_data!M134))</f>
        <v>Retail</v>
      </c>
      <c r="N134">
        <f t="shared" si="9"/>
        <v>118.14000000000033</v>
      </c>
      <c r="O134">
        <f t="shared" si="10"/>
        <v>1063.2600000000029</v>
      </c>
      <c r="P134" t="str">
        <f t="shared" si="11"/>
        <v>Jun</v>
      </c>
    </row>
    <row r="135" spans="1:16" x14ac:dyDescent="0.25">
      <c r="A135">
        <v>1062</v>
      </c>
      <c r="B135" s="1">
        <v>45051</v>
      </c>
      <c r="C135">
        <f t="shared" si="8"/>
        <v>24638.055</v>
      </c>
      <c r="D135">
        <v>26</v>
      </c>
      <c r="E135">
        <v>992.17</v>
      </c>
      <c r="F135">
        <v>1263.49</v>
      </c>
      <c r="G135">
        <v>0.25</v>
      </c>
      <c r="H135" t="str">
        <f>PROPER(TRIM(sales_data!C135))</f>
        <v>Eve</v>
      </c>
      <c r="I135" t="str">
        <f>PROPER(TRIM(sales_data!D135))</f>
        <v>South</v>
      </c>
      <c r="J135" t="str">
        <f>PROPER(TRIM(sales_data!G135))</f>
        <v>Clothing</v>
      </c>
      <c r="K135" t="str">
        <f>PROPER(TRIM(sales_data!J135))</f>
        <v>Returning</v>
      </c>
      <c r="L135" t="str">
        <f>PROPER(TRIM(sales_data!L135))</f>
        <v>Bank Transfer</v>
      </c>
      <c r="M135" t="str">
        <f>PROPER(TRIM(sales_data!M135))</f>
        <v>Retail</v>
      </c>
      <c r="N135">
        <f t="shared" si="9"/>
        <v>271.32000000000005</v>
      </c>
      <c r="O135">
        <f t="shared" si="10"/>
        <v>7054.3200000000015</v>
      </c>
      <c r="P135" t="str">
        <f t="shared" si="11"/>
        <v>May</v>
      </c>
    </row>
    <row r="136" spans="1:16" x14ac:dyDescent="0.25">
      <c r="A136">
        <v>1088</v>
      </c>
      <c r="B136" s="1">
        <v>45279</v>
      </c>
      <c r="C136">
        <f t="shared" si="8"/>
        <v>85483.103999999992</v>
      </c>
      <c r="D136">
        <v>20</v>
      </c>
      <c r="E136">
        <v>4590.24</v>
      </c>
      <c r="F136">
        <v>5088.28</v>
      </c>
      <c r="G136">
        <v>0.16</v>
      </c>
      <c r="H136" t="str">
        <f>PROPER(TRIM(sales_data!C136))</f>
        <v>Alice</v>
      </c>
      <c r="I136" t="str">
        <f>PROPER(TRIM(sales_data!D136))</f>
        <v>East</v>
      </c>
      <c r="J136" t="str">
        <f>PROPER(TRIM(sales_data!G136))</f>
        <v>Clothing</v>
      </c>
      <c r="K136" t="str">
        <f>PROPER(TRIM(sales_data!J136))</f>
        <v>New</v>
      </c>
      <c r="L136" t="str">
        <f>PROPER(TRIM(sales_data!L136))</f>
        <v>Bank Transfer</v>
      </c>
      <c r="M136" t="str">
        <f>PROPER(TRIM(sales_data!M136))</f>
        <v>Retail</v>
      </c>
      <c r="N136">
        <f t="shared" si="9"/>
        <v>498.03999999999996</v>
      </c>
      <c r="O136">
        <f t="shared" si="10"/>
        <v>9960.7999999999993</v>
      </c>
      <c r="P136" t="str">
        <f t="shared" si="11"/>
        <v>Dec</v>
      </c>
    </row>
    <row r="137" spans="1:16" x14ac:dyDescent="0.25">
      <c r="A137">
        <v>1037</v>
      </c>
      <c r="B137" s="1">
        <v>44949</v>
      </c>
      <c r="C137">
        <f t="shared" si="8"/>
        <v>94494.151999999987</v>
      </c>
      <c r="D137">
        <v>40</v>
      </c>
      <c r="E137">
        <v>2790.11</v>
      </c>
      <c r="F137">
        <v>3192.37</v>
      </c>
      <c r="G137">
        <v>0.26</v>
      </c>
      <c r="H137" t="str">
        <f>PROPER(TRIM(sales_data!C137))</f>
        <v>Bob</v>
      </c>
      <c r="I137" t="str">
        <f>PROPER(TRIM(sales_data!D137))</f>
        <v>North</v>
      </c>
      <c r="J137" t="str">
        <f>PROPER(TRIM(sales_data!G137))</f>
        <v>Clothing</v>
      </c>
      <c r="K137" t="str">
        <f>PROPER(TRIM(sales_data!J137))</f>
        <v>Returning</v>
      </c>
      <c r="L137" t="str">
        <f>PROPER(TRIM(sales_data!L137))</f>
        <v>Bank Transfer</v>
      </c>
      <c r="M137" t="str">
        <f>PROPER(TRIM(sales_data!M137))</f>
        <v>Online</v>
      </c>
      <c r="N137">
        <f t="shared" si="9"/>
        <v>402.25999999999976</v>
      </c>
      <c r="O137">
        <f t="shared" si="10"/>
        <v>16090.399999999991</v>
      </c>
      <c r="P137" t="str">
        <f t="shared" si="11"/>
        <v>Jan</v>
      </c>
    </row>
    <row r="138" spans="1:16" x14ac:dyDescent="0.25">
      <c r="A138">
        <v>1099</v>
      </c>
      <c r="B138" s="1">
        <v>44989</v>
      </c>
      <c r="C138">
        <f t="shared" si="8"/>
        <v>19555.599999999999</v>
      </c>
      <c r="D138">
        <v>10</v>
      </c>
      <c r="E138">
        <v>1531.2</v>
      </c>
      <c r="F138">
        <v>1955.56</v>
      </c>
      <c r="G138">
        <v>0</v>
      </c>
      <c r="H138" t="str">
        <f>PROPER(TRIM(sales_data!C138))</f>
        <v>David</v>
      </c>
      <c r="I138" t="str">
        <f>PROPER(TRIM(sales_data!D138))</f>
        <v>East</v>
      </c>
      <c r="J138" t="str">
        <f>PROPER(TRIM(sales_data!G138))</f>
        <v>Furniture</v>
      </c>
      <c r="K138" t="str">
        <f>PROPER(TRIM(sales_data!J138))</f>
        <v>New</v>
      </c>
      <c r="L138" t="str">
        <f>PROPER(TRIM(sales_data!L138))</f>
        <v>Credit Card</v>
      </c>
      <c r="M138" t="str">
        <f>PROPER(TRIM(sales_data!M138))</f>
        <v>Online</v>
      </c>
      <c r="N138">
        <f t="shared" si="9"/>
        <v>424.3599999999999</v>
      </c>
      <c r="O138">
        <f t="shared" si="10"/>
        <v>4243.5999999999985</v>
      </c>
      <c r="P138" t="str">
        <f t="shared" si="11"/>
        <v>Mar</v>
      </c>
    </row>
    <row r="139" spans="1:16" x14ac:dyDescent="0.25">
      <c r="A139">
        <v>1044</v>
      </c>
      <c r="B139" s="1">
        <v>45069</v>
      </c>
      <c r="C139">
        <f t="shared" si="8"/>
        <v>47100.804299999814</v>
      </c>
      <c r="D139">
        <v>19</v>
      </c>
      <c r="E139">
        <v>2182.75</v>
      </c>
      <c r="F139">
        <v>2504.0299999999902</v>
      </c>
      <c r="G139">
        <v>0.01</v>
      </c>
      <c r="H139" t="str">
        <f>PROPER(TRIM(sales_data!C139))</f>
        <v>Bob</v>
      </c>
      <c r="I139" t="str">
        <f>PROPER(TRIM(sales_data!D139))</f>
        <v>West</v>
      </c>
      <c r="J139" t="str">
        <f>PROPER(TRIM(sales_data!G139))</f>
        <v>Food</v>
      </c>
      <c r="K139" t="str">
        <f>PROPER(TRIM(sales_data!J139))</f>
        <v>New</v>
      </c>
      <c r="L139" t="str">
        <f>PROPER(TRIM(sales_data!L139))</f>
        <v>Bank Transfer</v>
      </c>
      <c r="M139" t="str">
        <f>PROPER(TRIM(sales_data!M139))</f>
        <v>Online</v>
      </c>
      <c r="N139">
        <f t="shared" si="9"/>
        <v>321.2799999999902</v>
      </c>
      <c r="O139">
        <f t="shared" si="10"/>
        <v>6104.3199999998142</v>
      </c>
      <c r="P139" t="str">
        <f t="shared" si="11"/>
        <v>May</v>
      </c>
    </row>
    <row r="140" spans="1:16" x14ac:dyDescent="0.25">
      <c r="A140">
        <v>1086</v>
      </c>
      <c r="B140" s="1">
        <v>45079</v>
      </c>
      <c r="C140">
        <f t="shared" si="8"/>
        <v>3560.3048999999783</v>
      </c>
      <c r="D140">
        <v>3</v>
      </c>
      <c r="E140">
        <v>1595.35</v>
      </c>
      <c r="F140">
        <v>1625.70999999999</v>
      </c>
      <c r="G140">
        <v>0.27</v>
      </c>
      <c r="H140" t="str">
        <f>PROPER(TRIM(sales_data!C140))</f>
        <v>Bob</v>
      </c>
      <c r="I140" t="str">
        <f>PROPER(TRIM(sales_data!D140))</f>
        <v>East</v>
      </c>
      <c r="J140" t="str">
        <f>PROPER(TRIM(sales_data!G140))</f>
        <v>Electronics</v>
      </c>
      <c r="K140" t="str">
        <f>PROPER(TRIM(sales_data!J140))</f>
        <v>New</v>
      </c>
      <c r="L140" t="str">
        <f>PROPER(TRIM(sales_data!L140))</f>
        <v>Cash</v>
      </c>
      <c r="M140" t="str">
        <f>PROPER(TRIM(sales_data!M140))</f>
        <v>Online</v>
      </c>
      <c r="N140">
        <f t="shared" si="9"/>
        <v>30.359999999990123</v>
      </c>
      <c r="O140">
        <f t="shared" si="10"/>
        <v>91.079999999970369</v>
      </c>
      <c r="P140" t="str">
        <f t="shared" si="11"/>
        <v>Jun</v>
      </c>
    </row>
    <row r="141" spans="1:16" x14ac:dyDescent="0.25">
      <c r="A141">
        <v>1091</v>
      </c>
      <c r="B141" s="1">
        <v>45071</v>
      </c>
      <c r="C141">
        <f t="shared" si="8"/>
        <v>69311.642399999997</v>
      </c>
      <c r="D141">
        <v>24</v>
      </c>
      <c r="E141">
        <v>3639.3</v>
      </c>
      <c r="F141">
        <v>3750.63</v>
      </c>
      <c r="G141">
        <v>0.23</v>
      </c>
      <c r="H141" t="str">
        <f>PROPER(TRIM(sales_data!C141))</f>
        <v>Alice</v>
      </c>
      <c r="I141" t="str">
        <f>PROPER(TRIM(sales_data!D141))</f>
        <v>North</v>
      </c>
      <c r="J141" t="str">
        <f>PROPER(TRIM(sales_data!G141))</f>
        <v>Clothing</v>
      </c>
      <c r="K141" t="str">
        <f>PROPER(TRIM(sales_data!J141))</f>
        <v>New</v>
      </c>
      <c r="L141" t="str">
        <f>PROPER(TRIM(sales_data!L141))</f>
        <v>Bank Transfer</v>
      </c>
      <c r="M141" t="str">
        <f>PROPER(TRIM(sales_data!M141))</f>
        <v>Retail</v>
      </c>
      <c r="N141">
        <f t="shared" si="9"/>
        <v>111.32999999999993</v>
      </c>
      <c r="O141">
        <f t="shared" si="10"/>
        <v>2671.9199999999983</v>
      </c>
      <c r="P141" t="str">
        <f t="shared" si="11"/>
        <v>May</v>
      </c>
    </row>
    <row r="142" spans="1:16" x14ac:dyDescent="0.25">
      <c r="A142">
        <v>1035</v>
      </c>
      <c r="B142" s="1">
        <v>45151</v>
      </c>
      <c r="C142">
        <f t="shared" si="8"/>
        <v>19156.371000000003</v>
      </c>
      <c r="D142">
        <v>5</v>
      </c>
      <c r="E142">
        <v>3991.69</v>
      </c>
      <c r="F142">
        <v>4454.97</v>
      </c>
      <c r="G142">
        <v>0.14000000000000001</v>
      </c>
      <c r="H142" t="str">
        <f>PROPER(TRIM(sales_data!C142))</f>
        <v>Alice</v>
      </c>
      <c r="I142" t="str">
        <f>PROPER(TRIM(sales_data!D142))</f>
        <v>West</v>
      </c>
      <c r="J142" t="str">
        <f>PROPER(TRIM(sales_data!G142))</f>
        <v>Clothing</v>
      </c>
      <c r="K142" t="str">
        <f>PROPER(TRIM(sales_data!J142))</f>
        <v>New</v>
      </c>
      <c r="L142" t="str">
        <f>PROPER(TRIM(sales_data!L142))</f>
        <v>Credit Card</v>
      </c>
      <c r="M142" t="str">
        <f>PROPER(TRIM(sales_data!M142))</f>
        <v>Retail</v>
      </c>
      <c r="N142">
        <f t="shared" si="9"/>
        <v>463.2800000000002</v>
      </c>
      <c r="O142">
        <f t="shared" si="10"/>
        <v>2316.400000000001</v>
      </c>
      <c r="P142" t="str">
        <f t="shared" si="11"/>
        <v>Aug</v>
      </c>
    </row>
    <row r="143" spans="1:16" x14ac:dyDescent="0.25">
      <c r="A143">
        <v>1065</v>
      </c>
      <c r="B143" s="1">
        <v>45235</v>
      </c>
      <c r="C143">
        <f t="shared" si="8"/>
        <v>10077.2364</v>
      </c>
      <c r="D143">
        <v>3</v>
      </c>
      <c r="E143">
        <v>4173.04</v>
      </c>
      <c r="F143">
        <v>4362.4399999999996</v>
      </c>
      <c r="G143">
        <v>0.23</v>
      </c>
      <c r="H143" t="str">
        <f>PROPER(TRIM(sales_data!C143))</f>
        <v>Alice</v>
      </c>
      <c r="I143" t="str">
        <f>PROPER(TRIM(sales_data!D143))</f>
        <v>East</v>
      </c>
      <c r="J143" t="str">
        <f>PROPER(TRIM(sales_data!G143))</f>
        <v>Furniture</v>
      </c>
      <c r="K143" t="str">
        <f>PROPER(TRIM(sales_data!J143))</f>
        <v>New</v>
      </c>
      <c r="L143" t="str">
        <f>PROPER(TRIM(sales_data!L143))</f>
        <v>Bank Transfer</v>
      </c>
      <c r="M143" t="str">
        <f>PROPER(TRIM(sales_data!M143))</f>
        <v>Retail</v>
      </c>
      <c r="N143">
        <f t="shared" si="9"/>
        <v>189.39999999999964</v>
      </c>
      <c r="O143">
        <f t="shared" si="10"/>
        <v>568.19999999999891</v>
      </c>
      <c r="P143" t="str">
        <f t="shared" si="11"/>
        <v>Nov</v>
      </c>
    </row>
    <row r="144" spans="1:16" x14ac:dyDescent="0.25">
      <c r="A144">
        <v>1099</v>
      </c>
      <c r="B144" s="1">
        <v>45030</v>
      </c>
      <c r="C144">
        <f t="shared" si="8"/>
        <v>95664.626099999994</v>
      </c>
      <c r="D144">
        <v>27</v>
      </c>
      <c r="E144">
        <v>4929.55</v>
      </c>
      <c r="F144">
        <v>4990.33</v>
      </c>
      <c r="G144">
        <v>0.28999999999999998</v>
      </c>
      <c r="H144" t="str">
        <f>PROPER(TRIM(sales_data!C144))</f>
        <v>Alice</v>
      </c>
      <c r="I144" t="str">
        <f>PROPER(TRIM(sales_data!D144))</f>
        <v>East</v>
      </c>
      <c r="J144" t="str">
        <f>PROPER(TRIM(sales_data!G144))</f>
        <v>Food</v>
      </c>
      <c r="K144" t="str">
        <f>PROPER(TRIM(sales_data!J144))</f>
        <v>Returning</v>
      </c>
      <c r="L144" t="str">
        <f>PROPER(TRIM(sales_data!L144))</f>
        <v>Credit Card</v>
      </c>
      <c r="M144" t="str">
        <f>PROPER(TRIM(sales_data!M144))</f>
        <v>Online</v>
      </c>
      <c r="N144">
        <f t="shared" si="9"/>
        <v>60.779999999999745</v>
      </c>
      <c r="O144">
        <f t="shared" si="10"/>
        <v>1641.0599999999931</v>
      </c>
      <c r="P144" t="str">
        <f t="shared" si="11"/>
        <v>Apr</v>
      </c>
    </row>
    <row r="145" spans="1:16" x14ac:dyDescent="0.25">
      <c r="A145">
        <v>1047</v>
      </c>
      <c r="B145" s="1">
        <v>45030</v>
      </c>
      <c r="C145">
        <f t="shared" si="8"/>
        <v>53235.212800000001</v>
      </c>
      <c r="D145">
        <v>16</v>
      </c>
      <c r="E145">
        <v>3966.86</v>
      </c>
      <c r="F145">
        <v>4321.04</v>
      </c>
      <c r="G145">
        <v>0.23</v>
      </c>
      <c r="H145" t="str">
        <f>PROPER(TRIM(sales_data!C145))</f>
        <v>Eve</v>
      </c>
      <c r="I145" t="str">
        <f>PROPER(TRIM(sales_data!D145))</f>
        <v>West</v>
      </c>
      <c r="J145" t="str">
        <f>PROPER(TRIM(sales_data!G145))</f>
        <v>Clothing</v>
      </c>
      <c r="K145" t="str">
        <f>PROPER(TRIM(sales_data!J145))</f>
        <v>Returning</v>
      </c>
      <c r="L145" t="str">
        <f>PROPER(TRIM(sales_data!L145))</f>
        <v>Credit Card</v>
      </c>
      <c r="M145" t="str">
        <f>PROPER(TRIM(sales_data!M145))</f>
        <v>Retail</v>
      </c>
      <c r="N145">
        <f t="shared" si="9"/>
        <v>354.17999999999984</v>
      </c>
      <c r="O145">
        <f t="shared" si="10"/>
        <v>5666.8799999999974</v>
      </c>
      <c r="P145" t="str">
        <f t="shared" si="11"/>
        <v>Apr</v>
      </c>
    </row>
    <row r="146" spans="1:16" x14ac:dyDescent="0.25">
      <c r="A146">
        <v>1078</v>
      </c>
      <c r="B146" s="1">
        <v>44965</v>
      </c>
      <c r="C146">
        <f t="shared" si="8"/>
        <v>116996.56499999999</v>
      </c>
      <c r="D146">
        <v>49</v>
      </c>
      <c r="E146">
        <v>3026.85</v>
      </c>
      <c r="F146">
        <v>3183.58</v>
      </c>
      <c r="G146">
        <v>0.25</v>
      </c>
      <c r="H146" t="str">
        <f>PROPER(TRIM(sales_data!C146))</f>
        <v>Alice</v>
      </c>
      <c r="I146" t="str">
        <f>PROPER(TRIM(sales_data!D146))</f>
        <v>South</v>
      </c>
      <c r="J146" t="str">
        <f>PROPER(TRIM(sales_data!G146))</f>
        <v>Furniture</v>
      </c>
      <c r="K146" t="str">
        <f>PROPER(TRIM(sales_data!J146))</f>
        <v>Returning</v>
      </c>
      <c r="L146" t="str">
        <f>PROPER(TRIM(sales_data!L146))</f>
        <v>Cash</v>
      </c>
      <c r="M146" t="str">
        <f>PROPER(TRIM(sales_data!M146))</f>
        <v>Retail</v>
      </c>
      <c r="N146">
        <f t="shared" si="9"/>
        <v>156.73000000000002</v>
      </c>
      <c r="O146">
        <f t="shared" si="10"/>
        <v>7679.77</v>
      </c>
      <c r="P146" t="str">
        <f t="shared" si="11"/>
        <v>Feb</v>
      </c>
    </row>
    <row r="147" spans="1:16" x14ac:dyDescent="0.25">
      <c r="A147">
        <v>1003</v>
      </c>
      <c r="B147" s="1">
        <v>45124</v>
      </c>
      <c r="C147">
        <f t="shared" si="8"/>
        <v>21608.664000000001</v>
      </c>
      <c r="D147">
        <v>15</v>
      </c>
      <c r="E147">
        <v>1729.14</v>
      </c>
      <c r="F147">
        <v>1870.88</v>
      </c>
      <c r="G147">
        <v>0.23</v>
      </c>
      <c r="H147" t="str">
        <f>PROPER(TRIM(sales_data!C147))</f>
        <v>Eve</v>
      </c>
      <c r="I147" t="str">
        <f>PROPER(TRIM(sales_data!D147))</f>
        <v>West</v>
      </c>
      <c r="J147" t="str">
        <f>PROPER(TRIM(sales_data!G147))</f>
        <v>Electronics</v>
      </c>
      <c r="K147" t="str">
        <f>PROPER(TRIM(sales_data!J147))</f>
        <v>Returning</v>
      </c>
      <c r="L147" t="str">
        <f>PROPER(TRIM(sales_data!L147))</f>
        <v>Cash</v>
      </c>
      <c r="M147" t="str">
        <f>PROPER(TRIM(sales_data!M147))</f>
        <v>Online</v>
      </c>
      <c r="N147">
        <f t="shared" si="9"/>
        <v>141.74</v>
      </c>
      <c r="O147">
        <f t="shared" si="10"/>
        <v>2126.1000000000004</v>
      </c>
      <c r="P147" t="str">
        <f t="shared" si="11"/>
        <v>Jul</v>
      </c>
    </row>
    <row r="148" spans="1:16" x14ac:dyDescent="0.25">
      <c r="A148">
        <v>1001</v>
      </c>
      <c r="B148" s="1">
        <v>45060</v>
      </c>
      <c r="C148">
        <f t="shared" si="8"/>
        <v>107888.27</v>
      </c>
      <c r="D148">
        <v>35</v>
      </c>
      <c r="E148">
        <v>2745.75</v>
      </c>
      <c r="F148">
        <v>3244.76</v>
      </c>
      <c r="G148">
        <v>0.05</v>
      </c>
      <c r="H148" t="str">
        <f>PROPER(TRIM(sales_data!C148))</f>
        <v>Eve</v>
      </c>
      <c r="I148" t="str">
        <f>PROPER(TRIM(sales_data!D148))</f>
        <v>South</v>
      </c>
      <c r="J148" t="str">
        <f>PROPER(TRIM(sales_data!G148))</f>
        <v>Electronics</v>
      </c>
      <c r="K148" t="str">
        <f>PROPER(TRIM(sales_data!J148))</f>
        <v>New</v>
      </c>
      <c r="L148" t="str">
        <f>PROPER(TRIM(sales_data!L148))</f>
        <v>Bank Transfer</v>
      </c>
      <c r="M148" t="str">
        <f>PROPER(TRIM(sales_data!M148))</f>
        <v>Online</v>
      </c>
      <c r="N148">
        <f t="shared" si="9"/>
        <v>499.01000000000022</v>
      </c>
      <c r="O148">
        <f t="shared" si="10"/>
        <v>17465.350000000006</v>
      </c>
      <c r="P148" t="str">
        <f t="shared" si="11"/>
        <v>May</v>
      </c>
    </row>
    <row r="149" spans="1:16" x14ac:dyDescent="0.25">
      <c r="A149">
        <v>1005</v>
      </c>
      <c r="B149" s="1">
        <v>44993</v>
      </c>
      <c r="C149">
        <f t="shared" si="8"/>
        <v>6154.02</v>
      </c>
      <c r="D149">
        <v>12</v>
      </c>
      <c r="E149">
        <v>253.29</v>
      </c>
      <c r="F149">
        <v>683.78</v>
      </c>
      <c r="G149">
        <v>0.25</v>
      </c>
      <c r="H149" t="str">
        <f>PROPER(TRIM(sales_data!C149))</f>
        <v>Alice</v>
      </c>
      <c r="I149" t="str">
        <f>PROPER(TRIM(sales_data!D149))</f>
        <v>North</v>
      </c>
      <c r="J149" t="str">
        <f>PROPER(TRIM(sales_data!G149))</f>
        <v>Clothing</v>
      </c>
      <c r="K149" t="str">
        <f>PROPER(TRIM(sales_data!J149))</f>
        <v>New</v>
      </c>
      <c r="L149" t="str">
        <f>PROPER(TRIM(sales_data!L149))</f>
        <v>Credit Card</v>
      </c>
      <c r="M149" t="str">
        <f>PROPER(TRIM(sales_data!M149))</f>
        <v>Online</v>
      </c>
      <c r="N149">
        <f t="shared" si="9"/>
        <v>430.49</v>
      </c>
      <c r="O149">
        <f t="shared" si="10"/>
        <v>5165.88</v>
      </c>
      <c r="P149" t="str">
        <f t="shared" si="11"/>
        <v>Mar</v>
      </c>
    </row>
    <row r="150" spans="1:16" x14ac:dyDescent="0.25">
      <c r="A150">
        <v>1090</v>
      </c>
      <c r="B150" s="1">
        <v>45105</v>
      </c>
      <c r="C150">
        <f t="shared" si="8"/>
        <v>152108.51579999999</v>
      </c>
      <c r="D150">
        <v>41</v>
      </c>
      <c r="E150">
        <v>3736.88</v>
      </c>
      <c r="F150">
        <v>3946.77</v>
      </c>
      <c r="G150">
        <v>0.06</v>
      </c>
      <c r="H150" t="str">
        <f>PROPER(TRIM(sales_data!C150))</f>
        <v>Charlie</v>
      </c>
      <c r="I150" t="str">
        <f>PROPER(TRIM(sales_data!D150))</f>
        <v>North</v>
      </c>
      <c r="J150" t="str">
        <f>PROPER(TRIM(sales_data!G150))</f>
        <v>Clothing</v>
      </c>
      <c r="K150" t="str">
        <f>PROPER(TRIM(sales_data!J150))</f>
        <v>Returning</v>
      </c>
      <c r="L150" t="str">
        <f>PROPER(TRIM(sales_data!L150))</f>
        <v>Credit Card</v>
      </c>
      <c r="M150" t="str">
        <f>PROPER(TRIM(sales_data!M150))</f>
        <v>Online</v>
      </c>
      <c r="N150">
        <f t="shared" si="9"/>
        <v>209.88999999999987</v>
      </c>
      <c r="O150">
        <f t="shared" si="10"/>
        <v>8605.4899999999943</v>
      </c>
      <c r="P150" t="str">
        <f t="shared" si="11"/>
        <v>Jun</v>
      </c>
    </row>
    <row r="151" spans="1:16" x14ac:dyDescent="0.25">
      <c r="A151">
        <v>1014</v>
      </c>
      <c r="B151" s="1">
        <v>44968</v>
      </c>
      <c r="C151">
        <f t="shared" si="8"/>
        <v>88259.657200000001</v>
      </c>
      <c r="D151">
        <v>44</v>
      </c>
      <c r="E151">
        <v>2257.48</v>
      </c>
      <c r="F151">
        <v>2747.81</v>
      </c>
      <c r="G151">
        <v>0.27</v>
      </c>
      <c r="H151" t="str">
        <f>PROPER(TRIM(sales_data!C151))</f>
        <v>David</v>
      </c>
      <c r="I151" t="str">
        <f>PROPER(TRIM(sales_data!D151))</f>
        <v>West</v>
      </c>
      <c r="J151" t="str">
        <f>PROPER(TRIM(sales_data!G151))</f>
        <v>Food</v>
      </c>
      <c r="K151" t="str">
        <f>PROPER(TRIM(sales_data!J151))</f>
        <v>Returning</v>
      </c>
      <c r="L151" t="str">
        <f>PROPER(TRIM(sales_data!L151))</f>
        <v>Cash</v>
      </c>
      <c r="M151" t="str">
        <f>PROPER(TRIM(sales_data!M151))</f>
        <v>Online</v>
      </c>
      <c r="N151">
        <f t="shared" si="9"/>
        <v>490.32999999999993</v>
      </c>
      <c r="O151">
        <f t="shared" si="10"/>
        <v>21574.519999999997</v>
      </c>
      <c r="P151" t="str">
        <f t="shared" si="11"/>
        <v>Feb</v>
      </c>
    </row>
    <row r="152" spans="1:16" x14ac:dyDescent="0.25">
      <c r="A152">
        <v>1027</v>
      </c>
      <c r="B152" s="1">
        <v>44941</v>
      </c>
      <c r="C152">
        <f t="shared" si="8"/>
        <v>10680.7012</v>
      </c>
      <c r="D152">
        <v>26</v>
      </c>
      <c r="E152">
        <v>149.11000000000001</v>
      </c>
      <c r="F152">
        <v>477.67</v>
      </c>
      <c r="G152">
        <v>0.14000000000000001</v>
      </c>
      <c r="H152" t="str">
        <f>PROPER(TRIM(sales_data!C152))</f>
        <v>Bob</v>
      </c>
      <c r="I152" t="str">
        <f>PROPER(TRIM(sales_data!D152))</f>
        <v>West</v>
      </c>
      <c r="J152" t="str">
        <f>PROPER(TRIM(sales_data!G152))</f>
        <v>Food</v>
      </c>
      <c r="K152" t="str">
        <f>PROPER(TRIM(sales_data!J152))</f>
        <v>Returning</v>
      </c>
      <c r="L152" t="str">
        <f>PROPER(TRIM(sales_data!L152))</f>
        <v>Cash</v>
      </c>
      <c r="M152" t="str">
        <f>PROPER(TRIM(sales_data!M152))</f>
        <v>Retail</v>
      </c>
      <c r="N152">
        <f t="shared" si="9"/>
        <v>328.56</v>
      </c>
      <c r="O152">
        <f t="shared" si="10"/>
        <v>8542.56</v>
      </c>
      <c r="P152" t="str">
        <f t="shared" si="11"/>
        <v>Jan</v>
      </c>
    </row>
    <row r="153" spans="1:16" x14ac:dyDescent="0.25">
      <c r="A153">
        <v>1009</v>
      </c>
      <c r="B153" s="1">
        <v>45037</v>
      </c>
      <c r="C153">
        <f t="shared" si="8"/>
        <v>27560.800000000003</v>
      </c>
      <c r="D153">
        <v>47</v>
      </c>
      <c r="E153">
        <v>359.41</v>
      </c>
      <c r="F153">
        <v>733</v>
      </c>
      <c r="G153">
        <v>0.2</v>
      </c>
      <c r="H153" t="str">
        <f>PROPER(TRIM(sales_data!C153))</f>
        <v>Eve</v>
      </c>
      <c r="I153" t="str">
        <f>PROPER(TRIM(sales_data!D153))</f>
        <v>North</v>
      </c>
      <c r="J153" t="str">
        <f>PROPER(TRIM(sales_data!G153))</f>
        <v>Clothing</v>
      </c>
      <c r="K153" t="str">
        <f>PROPER(TRIM(sales_data!J153))</f>
        <v>Returning</v>
      </c>
      <c r="L153" t="str">
        <f>PROPER(TRIM(sales_data!L153))</f>
        <v>Bank Transfer</v>
      </c>
      <c r="M153" t="str">
        <f>PROPER(TRIM(sales_data!M153))</f>
        <v>Retail</v>
      </c>
      <c r="N153">
        <f t="shared" si="9"/>
        <v>373.59</v>
      </c>
      <c r="O153">
        <f t="shared" si="10"/>
        <v>17558.73</v>
      </c>
      <c r="P153" t="str">
        <f t="shared" si="11"/>
        <v>Apr</v>
      </c>
    </row>
    <row r="154" spans="1:16" x14ac:dyDescent="0.25">
      <c r="A154">
        <v>1079</v>
      </c>
      <c r="B154" s="1">
        <v>45083</v>
      </c>
      <c r="C154">
        <f t="shared" si="8"/>
        <v>57609.26</v>
      </c>
      <c r="D154">
        <v>34</v>
      </c>
      <c r="E154">
        <v>1967.96</v>
      </c>
      <c r="F154">
        <v>1993.4</v>
      </c>
      <c r="G154">
        <v>0.15</v>
      </c>
      <c r="H154" t="str">
        <f>PROPER(TRIM(sales_data!C154))</f>
        <v>David</v>
      </c>
      <c r="I154" t="str">
        <f>PROPER(TRIM(sales_data!D154))</f>
        <v>South</v>
      </c>
      <c r="J154" t="str">
        <f>PROPER(TRIM(sales_data!G154))</f>
        <v>Furniture</v>
      </c>
      <c r="K154" t="str">
        <f>PROPER(TRIM(sales_data!J154))</f>
        <v>Returning</v>
      </c>
      <c r="L154" t="str">
        <f>PROPER(TRIM(sales_data!L154))</f>
        <v>Credit Card</v>
      </c>
      <c r="M154" t="str">
        <f>PROPER(TRIM(sales_data!M154))</f>
        <v>Online</v>
      </c>
      <c r="N154">
        <f t="shared" si="9"/>
        <v>25.440000000000055</v>
      </c>
      <c r="O154">
        <f t="shared" si="10"/>
        <v>864.96000000000186</v>
      </c>
      <c r="P154" t="str">
        <f t="shared" si="11"/>
        <v>Jun</v>
      </c>
    </row>
    <row r="155" spans="1:16" x14ac:dyDescent="0.25">
      <c r="A155">
        <v>1015</v>
      </c>
      <c r="B155" s="1">
        <v>45215</v>
      </c>
      <c r="C155">
        <f t="shared" si="8"/>
        <v>67097.994300000006</v>
      </c>
      <c r="D155">
        <v>23</v>
      </c>
      <c r="E155">
        <v>2937.94</v>
      </c>
      <c r="F155">
        <v>3007.53</v>
      </c>
      <c r="G155">
        <v>0.03</v>
      </c>
      <c r="H155" t="str">
        <f>PROPER(TRIM(sales_data!C155))</f>
        <v>Charlie</v>
      </c>
      <c r="I155" t="str">
        <f>PROPER(TRIM(sales_data!D155))</f>
        <v>North</v>
      </c>
      <c r="J155" t="str">
        <f>PROPER(TRIM(sales_data!G155))</f>
        <v>Food</v>
      </c>
      <c r="K155" t="str">
        <f>PROPER(TRIM(sales_data!J155))</f>
        <v>Returning</v>
      </c>
      <c r="L155" t="str">
        <f>PROPER(TRIM(sales_data!L155))</f>
        <v>Cash</v>
      </c>
      <c r="M155" t="str">
        <f>PROPER(TRIM(sales_data!M155))</f>
        <v>Retail</v>
      </c>
      <c r="N155">
        <f t="shared" si="9"/>
        <v>69.590000000000146</v>
      </c>
      <c r="O155">
        <f t="shared" si="10"/>
        <v>1600.5700000000033</v>
      </c>
      <c r="P155" t="str">
        <f t="shared" si="11"/>
        <v>Oct</v>
      </c>
    </row>
    <row r="156" spans="1:16" x14ac:dyDescent="0.25">
      <c r="A156">
        <v>1090</v>
      </c>
      <c r="B156" s="1">
        <v>45157</v>
      </c>
      <c r="C156">
        <f t="shared" si="8"/>
        <v>75264.844199999992</v>
      </c>
      <c r="D156">
        <v>31</v>
      </c>
      <c r="E156">
        <v>2347.81</v>
      </c>
      <c r="F156">
        <v>2668.02</v>
      </c>
      <c r="G156">
        <v>0.09</v>
      </c>
      <c r="H156" t="str">
        <f>PROPER(TRIM(sales_data!C156))</f>
        <v>Bob</v>
      </c>
      <c r="I156" t="str">
        <f>PROPER(TRIM(sales_data!D156))</f>
        <v>West</v>
      </c>
      <c r="J156" t="str">
        <f>PROPER(TRIM(sales_data!G156))</f>
        <v>Clothing</v>
      </c>
      <c r="K156" t="str">
        <f>PROPER(TRIM(sales_data!J156))</f>
        <v>Returning</v>
      </c>
      <c r="L156" t="str">
        <f>PROPER(TRIM(sales_data!L156))</f>
        <v>Bank Transfer</v>
      </c>
      <c r="M156" t="str">
        <f>PROPER(TRIM(sales_data!M156))</f>
        <v>Retail</v>
      </c>
      <c r="N156">
        <f t="shared" si="9"/>
        <v>320.21000000000004</v>
      </c>
      <c r="O156">
        <f t="shared" si="10"/>
        <v>9926.510000000002</v>
      </c>
      <c r="P156" t="str">
        <f t="shared" si="11"/>
        <v>Aug</v>
      </c>
    </row>
    <row r="157" spans="1:16" x14ac:dyDescent="0.25">
      <c r="A157">
        <v>1042</v>
      </c>
      <c r="B157" s="1">
        <v>45083</v>
      </c>
      <c r="C157">
        <f t="shared" si="8"/>
        <v>49918.12</v>
      </c>
      <c r="D157">
        <v>20</v>
      </c>
      <c r="E157">
        <v>3115.06</v>
      </c>
      <c r="F157">
        <v>3565.58</v>
      </c>
      <c r="G157">
        <v>0.3</v>
      </c>
      <c r="H157" t="str">
        <f>PROPER(TRIM(sales_data!C157))</f>
        <v>Bob</v>
      </c>
      <c r="I157" t="str">
        <f>PROPER(TRIM(sales_data!D157))</f>
        <v>North</v>
      </c>
      <c r="J157" t="str">
        <f>PROPER(TRIM(sales_data!G157))</f>
        <v>Food</v>
      </c>
      <c r="K157" t="str">
        <f>PROPER(TRIM(sales_data!J157))</f>
        <v>Returning</v>
      </c>
      <c r="L157" t="str">
        <f>PROPER(TRIM(sales_data!L157))</f>
        <v>Credit Card</v>
      </c>
      <c r="M157" t="str">
        <f>PROPER(TRIM(sales_data!M157))</f>
        <v>Retail</v>
      </c>
      <c r="N157">
        <f t="shared" si="9"/>
        <v>450.52</v>
      </c>
      <c r="O157">
        <f t="shared" si="10"/>
        <v>9010.4</v>
      </c>
      <c r="P157" t="str">
        <f t="shared" si="11"/>
        <v>Jun</v>
      </c>
    </row>
    <row r="158" spans="1:16" x14ac:dyDescent="0.25">
      <c r="A158">
        <v>1077</v>
      </c>
      <c r="B158" s="1">
        <v>44964</v>
      </c>
      <c r="C158">
        <f t="shared" si="8"/>
        <v>23371.126800000002</v>
      </c>
      <c r="D158">
        <v>12</v>
      </c>
      <c r="E158">
        <v>2427.46</v>
      </c>
      <c r="F158">
        <v>2743.09</v>
      </c>
      <c r="G158">
        <v>0.28999999999999998</v>
      </c>
      <c r="H158" t="str">
        <f>PROPER(TRIM(sales_data!C158))</f>
        <v>Eve</v>
      </c>
      <c r="I158" t="str">
        <f>PROPER(TRIM(sales_data!D158))</f>
        <v>West</v>
      </c>
      <c r="J158" t="str">
        <f>PROPER(TRIM(sales_data!G158))</f>
        <v>Clothing</v>
      </c>
      <c r="K158" t="str">
        <f>PROPER(TRIM(sales_data!J158))</f>
        <v>New</v>
      </c>
      <c r="L158" t="str">
        <f>PROPER(TRIM(sales_data!L158))</f>
        <v>Credit Card</v>
      </c>
      <c r="M158" t="str">
        <f>PROPER(TRIM(sales_data!M158))</f>
        <v>Retail</v>
      </c>
      <c r="N158">
        <f t="shared" si="9"/>
        <v>315.63000000000011</v>
      </c>
      <c r="O158">
        <f t="shared" si="10"/>
        <v>3787.5600000000013</v>
      </c>
      <c r="P158" t="str">
        <f t="shared" si="11"/>
        <v>Feb</v>
      </c>
    </row>
    <row r="159" spans="1:16" x14ac:dyDescent="0.25">
      <c r="A159">
        <v>1051</v>
      </c>
      <c r="B159" s="1">
        <v>45023</v>
      </c>
      <c r="C159">
        <f t="shared" si="8"/>
        <v>70402.77</v>
      </c>
      <c r="D159">
        <v>23</v>
      </c>
      <c r="E159">
        <v>3325.43</v>
      </c>
      <c r="F159">
        <v>3401.1</v>
      </c>
      <c r="G159">
        <v>0.1</v>
      </c>
      <c r="H159" t="str">
        <f>PROPER(TRIM(sales_data!C159))</f>
        <v>Alice</v>
      </c>
      <c r="I159" t="str">
        <f>PROPER(TRIM(sales_data!D159))</f>
        <v>West</v>
      </c>
      <c r="J159" t="str">
        <f>PROPER(TRIM(sales_data!G159))</f>
        <v>Electronics</v>
      </c>
      <c r="K159" t="str">
        <f>PROPER(TRIM(sales_data!J159))</f>
        <v>New</v>
      </c>
      <c r="L159" t="str">
        <f>PROPER(TRIM(sales_data!L159))</f>
        <v>Cash</v>
      </c>
      <c r="M159" t="str">
        <f>PROPER(TRIM(sales_data!M159))</f>
        <v>Online</v>
      </c>
      <c r="N159">
        <f t="shared" si="9"/>
        <v>75.670000000000073</v>
      </c>
      <c r="O159">
        <f t="shared" si="10"/>
        <v>1740.4100000000017</v>
      </c>
      <c r="P159" t="str">
        <f t="shared" si="11"/>
        <v>Apr</v>
      </c>
    </row>
    <row r="160" spans="1:16" x14ac:dyDescent="0.25">
      <c r="A160">
        <v>1063</v>
      </c>
      <c r="B160" s="1">
        <v>45215</v>
      </c>
      <c r="C160">
        <f t="shared" si="8"/>
        <v>3363.8920000000003</v>
      </c>
      <c r="D160">
        <v>4</v>
      </c>
      <c r="E160">
        <v>1134.67</v>
      </c>
      <c r="F160">
        <v>1201.3900000000001</v>
      </c>
      <c r="G160">
        <v>0.3</v>
      </c>
      <c r="H160" t="str">
        <f>PROPER(TRIM(sales_data!C160))</f>
        <v>Charlie</v>
      </c>
      <c r="I160" t="str">
        <f>PROPER(TRIM(sales_data!D160))</f>
        <v>North</v>
      </c>
      <c r="J160" t="str">
        <f>PROPER(TRIM(sales_data!G160))</f>
        <v>Clothing</v>
      </c>
      <c r="K160" t="str">
        <f>PROPER(TRIM(sales_data!J160))</f>
        <v>New</v>
      </c>
      <c r="L160" t="str">
        <f>PROPER(TRIM(sales_data!L160))</f>
        <v>Bank Transfer</v>
      </c>
      <c r="M160" t="str">
        <f>PROPER(TRIM(sales_data!M160))</f>
        <v>Retail</v>
      </c>
      <c r="N160">
        <f t="shared" si="9"/>
        <v>66.720000000000027</v>
      </c>
      <c r="O160">
        <f t="shared" si="10"/>
        <v>266.88000000000011</v>
      </c>
      <c r="P160" t="str">
        <f t="shared" si="11"/>
        <v>Oct</v>
      </c>
    </row>
    <row r="161" spans="1:16" x14ac:dyDescent="0.25">
      <c r="A161">
        <v>1096</v>
      </c>
      <c r="B161" s="1">
        <v>45180</v>
      </c>
      <c r="C161">
        <f t="shared" si="8"/>
        <v>17805.795000000002</v>
      </c>
      <c r="D161">
        <v>23</v>
      </c>
      <c r="E161">
        <v>608.57000000000005</v>
      </c>
      <c r="F161">
        <v>1032.22</v>
      </c>
      <c r="G161">
        <v>0.25</v>
      </c>
      <c r="H161" t="str">
        <f>PROPER(TRIM(sales_data!C161))</f>
        <v>Eve</v>
      </c>
      <c r="I161" t="str">
        <f>PROPER(TRIM(sales_data!D161))</f>
        <v>South</v>
      </c>
      <c r="J161" t="str">
        <f>PROPER(TRIM(sales_data!G161))</f>
        <v>Electronics</v>
      </c>
      <c r="K161" t="str">
        <f>PROPER(TRIM(sales_data!J161))</f>
        <v>New</v>
      </c>
      <c r="L161" t="str">
        <f>PROPER(TRIM(sales_data!L161))</f>
        <v>Cash</v>
      </c>
      <c r="M161" t="str">
        <f>PROPER(TRIM(sales_data!M161))</f>
        <v>Retail</v>
      </c>
      <c r="N161">
        <f t="shared" si="9"/>
        <v>423.65</v>
      </c>
      <c r="O161">
        <f t="shared" si="10"/>
        <v>9743.9499999999989</v>
      </c>
      <c r="P161" t="str">
        <f t="shared" si="11"/>
        <v>Sep</v>
      </c>
    </row>
    <row r="162" spans="1:16" x14ac:dyDescent="0.25">
      <c r="A162">
        <v>1052</v>
      </c>
      <c r="B162" s="1">
        <v>45122</v>
      </c>
      <c r="C162">
        <f t="shared" si="8"/>
        <v>121252.80960000001</v>
      </c>
      <c r="D162">
        <v>48</v>
      </c>
      <c r="E162">
        <v>3002.35</v>
      </c>
      <c r="F162">
        <v>3080.61</v>
      </c>
      <c r="G162">
        <v>0.18</v>
      </c>
      <c r="H162" t="str">
        <f>PROPER(TRIM(sales_data!C162))</f>
        <v>Charlie</v>
      </c>
      <c r="I162" t="str">
        <f>PROPER(TRIM(sales_data!D162))</f>
        <v>East</v>
      </c>
      <c r="J162" t="str">
        <f>PROPER(TRIM(sales_data!G162))</f>
        <v>Food</v>
      </c>
      <c r="K162" t="str">
        <f>PROPER(TRIM(sales_data!J162))</f>
        <v>Returning</v>
      </c>
      <c r="L162" t="str">
        <f>PROPER(TRIM(sales_data!L162))</f>
        <v>Bank Transfer</v>
      </c>
      <c r="M162" t="str">
        <f>PROPER(TRIM(sales_data!M162))</f>
        <v>Retail</v>
      </c>
      <c r="N162">
        <f t="shared" si="9"/>
        <v>78.260000000000218</v>
      </c>
      <c r="O162">
        <f t="shared" si="10"/>
        <v>3756.4800000000105</v>
      </c>
      <c r="P162" t="str">
        <f t="shared" si="11"/>
        <v>Jul</v>
      </c>
    </row>
    <row r="163" spans="1:16" x14ac:dyDescent="0.25">
      <c r="A163">
        <v>1096</v>
      </c>
      <c r="B163" s="1">
        <v>45012</v>
      </c>
      <c r="C163">
        <f t="shared" si="8"/>
        <v>128974.98239999999</v>
      </c>
      <c r="D163">
        <v>48</v>
      </c>
      <c r="E163">
        <v>2449.21</v>
      </c>
      <c r="F163">
        <v>2714.12</v>
      </c>
      <c r="G163">
        <v>0.01</v>
      </c>
      <c r="H163" t="str">
        <f>PROPER(TRIM(sales_data!C163))</f>
        <v>Alice</v>
      </c>
      <c r="I163" t="str">
        <f>PROPER(TRIM(sales_data!D163))</f>
        <v>North</v>
      </c>
      <c r="J163" t="str">
        <f>PROPER(TRIM(sales_data!G163))</f>
        <v>Clothing</v>
      </c>
      <c r="K163" t="str">
        <f>PROPER(TRIM(sales_data!J163))</f>
        <v>New</v>
      </c>
      <c r="L163" t="str">
        <f>PROPER(TRIM(sales_data!L163))</f>
        <v>Credit Card</v>
      </c>
      <c r="M163" t="str">
        <f>PROPER(TRIM(sales_data!M163))</f>
        <v>Online</v>
      </c>
      <c r="N163">
        <f t="shared" si="9"/>
        <v>264.90999999999985</v>
      </c>
      <c r="O163">
        <f t="shared" si="10"/>
        <v>12715.679999999993</v>
      </c>
      <c r="P163" t="str">
        <f t="shared" si="11"/>
        <v>Mar</v>
      </c>
    </row>
    <row r="164" spans="1:16" x14ac:dyDescent="0.25">
      <c r="A164">
        <v>1004</v>
      </c>
      <c r="B164" s="1">
        <v>45248</v>
      </c>
      <c r="C164">
        <f t="shared" si="8"/>
        <v>154.16140000000001</v>
      </c>
      <c r="D164">
        <v>1</v>
      </c>
      <c r="E164">
        <v>182.99</v>
      </c>
      <c r="F164">
        <v>211.18</v>
      </c>
      <c r="G164">
        <v>0.27</v>
      </c>
      <c r="H164" t="str">
        <f>PROPER(TRIM(sales_data!C164))</f>
        <v>Alice</v>
      </c>
      <c r="I164" t="str">
        <f>PROPER(TRIM(sales_data!D164))</f>
        <v>East</v>
      </c>
      <c r="J164" t="str">
        <f>PROPER(TRIM(sales_data!G164))</f>
        <v>Food</v>
      </c>
      <c r="K164" t="str">
        <f>PROPER(TRIM(sales_data!J164))</f>
        <v>Returning</v>
      </c>
      <c r="L164" t="str">
        <f>PROPER(TRIM(sales_data!L164))</f>
        <v>Bank Transfer</v>
      </c>
      <c r="M164" t="str">
        <f>PROPER(TRIM(sales_data!M164))</f>
        <v>Retail</v>
      </c>
      <c r="N164">
        <f t="shared" si="9"/>
        <v>28.189999999999998</v>
      </c>
      <c r="O164">
        <f t="shared" si="10"/>
        <v>28.189999999999998</v>
      </c>
      <c r="P164" t="str">
        <f t="shared" si="11"/>
        <v>Nov</v>
      </c>
    </row>
    <row r="165" spans="1:16" x14ac:dyDescent="0.25">
      <c r="A165">
        <v>1094</v>
      </c>
      <c r="B165" s="1">
        <v>44936</v>
      </c>
      <c r="C165">
        <f t="shared" si="8"/>
        <v>41145.589999999997</v>
      </c>
      <c r="D165">
        <v>25</v>
      </c>
      <c r="E165">
        <v>1933.39</v>
      </c>
      <c r="F165">
        <v>1982.92</v>
      </c>
      <c r="G165">
        <v>0.17</v>
      </c>
      <c r="H165" t="str">
        <f>PROPER(TRIM(sales_data!C165))</f>
        <v>Eve</v>
      </c>
      <c r="I165" t="str">
        <f>PROPER(TRIM(sales_data!D165))</f>
        <v>North</v>
      </c>
      <c r="J165" t="str">
        <f>PROPER(TRIM(sales_data!G165))</f>
        <v>Electronics</v>
      </c>
      <c r="K165" t="str">
        <f>PROPER(TRIM(sales_data!J165))</f>
        <v>New</v>
      </c>
      <c r="L165" t="str">
        <f>PROPER(TRIM(sales_data!L165))</f>
        <v>Bank Transfer</v>
      </c>
      <c r="M165" t="str">
        <f>PROPER(TRIM(sales_data!M165))</f>
        <v>Online</v>
      </c>
      <c r="N165">
        <f t="shared" si="9"/>
        <v>49.529999999999973</v>
      </c>
      <c r="O165">
        <f t="shared" si="10"/>
        <v>1238.2499999999993</v>
      </c>
      <c r="P165" t="str">
        <f t="shared" si="11"/>
        <v>Jan</v>
      </c>
    </row>
    <row r="166" spans="1:16" x14ac:dyDescent="0.25">
      <c r="A166">
        <v>1023</v>
      </c>
      <c r="B166" s="1">
        <v>44931</v>
      </c>
      <c r="C166">
        <f t="shared" si="8"/>
        <v>1353.8596</v>
      </c>
      <c r="D166">
        <v>2</v>
      </c>
      <c r="E166">
        <v>575.32000000000005</v>
      </c>
      <c r="F166">
        <v>914.77</v>
      </c>
      <c r="G166">
        <v>0.26</v>
      </c>
      <c r="H166" t="str">
        <f>PROPER(TRIM(sales_data!C166))</f>
        <v>Alice</v>
      </c>
      <c r="I166" t="str">
        <f>PROPER(TRIM(sales_data!D166))</f>
        <v>East</v>
      </c>
      <c r="J166" t="str">
        <f>PROPER(TRIM(sales_data!G166))</f>
        <v>Clothing</v>
      </c>
      <c r="K166" t="str">
        <f>PROPER(TRIM(sales_data!J166))</f>
        <v>Returning</v>
      </c>
      <c r="L166" t="str">
        <f>PROPER(TRIM(sales_data!L166))</f>
        <v>Bank Transfer</v>
      </c>
      <c r="M166" t="str">
        <f>PROPER(TRIM(sales_data!M166))</f>
        <v>Online</v>
      </c>
      <c r="N166">
        <f t="shared" si="9"/>
        <v>339.44999999999993</v>
      </c>
      <c r="O166">
        <f t="shared" si="10"/>
        <v>678.89999999999986</v>
      </c>
      <c r="P166" t="str">
        <f t="shared" si="11"/>
        <v>Jan</v>
      </c>
    </row>
    <row r="167" spans="1:16" x14ac:dyDescent="0.25">
      <c r="A167">
        <v>1015</v>
      </c>
      <c r="B167" s="1">
        <v>45049</v>
      </c>
      <c r="C167">
        <f t="shared" si="8"/>
        <v>68128.199999999779</v>
      </c>
      <c r="D167">
        <v>30</v>
      </c>
      <c r="E167">
        <v>2680.22</v>
      </c>
      <c r="F167">
        <v>3027.9199999999901</v>
      </c>
      <c r="G167">
        <v>0.25</v>
      </c>
      <c r="H167" t="str">
        <f>PROPER(TRIM(sales_data!C167))</f>
        <v>David</v>
      </c>
      <c r="I167" t="str">
        <f>PROPER(TRIM(sales_data!D167))</f>
        <v>South</v>
      </c>
      <c r="J167" t="str">
        <f>PROPER(TRIM(sales_data!G167))</f>
        <v>Food</v>
      </c>
      <c r="K167" t="str">
        <f>PROPER(TRIM(sales_data!J167))</f>
        <v>Returning</v>
      </c>
      <c r="L167" t="str">
        <f>PROPER(TRIM(sales_data!L167))</f>
        <v>Bank Transfer</v>
      </c>
      <c r="M167" t="str">
        <f>PROPER(TRIM(sales_data!M167))</f>
        <v>Online</v>
      </c>
      <c r="N167">
        <f t="shared" si="9"/>
        <v>347.69999999999027</v>
      </c>
      <c r="O167">
        <f t="shared" si="10"/>
        <v>10430.999999999709</v>
      </c>
      <c r="P167" t="str">
        <f t="shared" si="11"/>
        <v>May</v>
      </c>
    </row>
    <row r="168" spans="1:16" x14ac:dyDescent="0.25">
      <c r="A168">
        <v>1043</v>
      </c>
      <c r="B168" s="1">
        <v>45256</v>
      </c>
      <c r="C168">
        <f t="shared" si="8"/>
        <v>4919.4449999999997</v>
      </c>
      <c r="D168">
        <v>3</v>
      </c>
      <c r="E168">
        <v>2009.1</v>
      </c>
      <c r="F168">
        <v>2186.42</v>
      </c>
      <c r="G168">
        <v>0.25</v>
      </c>
      <c r="H168" t="str">
        <f>PROPER(TRIM(sales_data!C168))</f>
        <v>Bob</v>
      </c>
      <c r="I168" t="str">
        <f>PROPER(TRIM(sales_data!D168))</f>
        <v>South</v>
      </c>
      <c r="J168" t="str">
        <f>PROPER(TRIM(sales_data!G168))</f>
        <v>Electronics</v>
      </c>
      <c r="K168" t="str">
        <f>PROPER(TRIM(sales_data!J168))</f>
        <v>New</v>
      </c>
      <c r="L168" t="str">
        <f>PROPER(TRIM(sales_data!L168))</f>
        <v>Bank Transfer</v>
      </c>
      <c r="M168" t="str">
        <f>PROPER(TRIM(sales_data!M168))</f>
        <v>Online</v>
      </c>
      <c r="N168">
        <f t="shared" si="9"/>
        <v>177.32000000000016</v>
      </c>
      <c r="O168">
        <f t="shared" si="10"/>
        <v>531.96000000000049</v>
      </c>
      <c r="P168" t="str">
        <f t="shared" si="11"/>
        <v>Nov</v>
      </c>
    </row>
    <row r="169" spans="1:16" x14ac:dyDescent="0.25">
      <c r="A169">
        <v>1029</v>
      </c>
      <c r="B169" s="1">
        <v>45279</v>
      </c>
      <c r="C169">
        <f t="shared" si="8"/>
        <v>53100.442500000005</v>
      </c>
      <c r="D169">
        <v>21</v>
      </c>
      <c r="E169">
        <v>3085.1</v>
      </c>
      <c r="F169">
        <v>3200.75</v>
      </c>
      <c r="G169">
        <v>0.21</v>
      </c>
      <c r="H169" t="str">
        <f>PROPER(TRIM(sales_data!C169))</f>
        <v>Eve</v>
      </c>
      <c r="I169" t="str">
        <f>PROPER(TRIM(sales_data!D169))</f>
        <v>North</v>
      </c>
      <c r="J169" t="str">
        <f>PROPER(TRIM(sales_data!G169))</f>
        <v>Food</v>
      </c>
      <c r="K169" t="str">
        <f>PROPER(TRIM(sales_data!J169))</f>
        <v>New</v>
      </c>
      <c r="L169" t="str">
        <f>PROPER(TRIM(sales_data!L169))</f>
        <v>Cash</v>
      </c>
      <c r="M169" t="str">
        <f>PROPER(TRIM(sales_data!M169))</f>
        <v>Retail</v>
      </c>
      <c r="N169">
        <f t="shared" si="9"/>
        <v>115.65000000000009</v>
      </c>
      <c r="O169">
        <f t="shared" si="10"/>
        <v>2428.6500000000019</v>
      </c>
      <c r="P169" t="str">
        <f t="shared" si="11"/>
        <v>Dec</v>
      </c>
    </row>
    <row r="170" spans="1:16" x14ac:dyDescent="0.25">
      <c r="A170">
        <v>1036</v>
      </c>
      <c r="B170" s="1">
        <v>45044</v>
      </c>
      <c r="C170">
        <f t="shared" si="8"/>
        <v>101156.7375</v>
      </c>
      <c r="D170">
        <v>25</v>
      </c>
      <c r="E170">
        <v>4037.73</v>
      </c>
      <c r="F170">
        <v>4446.45</v>
      </c>
      <c r="G170">
        <v>0.09</v>
      </c>
      <c r="H170" t="str">
        <f>PROPER(TRIM(sales_data!C170))</f>
        <v>Charlie</v>
      </c>
      <c r="I170" t="str">
        <f>PROPER(TRIM(sales_data!D170))</f>
        <v>West</v>
      </c>
      <c r="J170" t="str">
        <f>PROPER(TRIM(sales_data!G170))</f>
        <v>Furniture</v>
      </c>
      <c r="K170" t="str">
        <f>PROPER(TRIM(sales_data!J170))</f>
        <v>Returning</v>
      </c>
      <c r="L170" t="str">
        <f>PROPER(TRIM(sales_data!L170))</f>
        <v>Bank Transfer</v>
      </c>
      <c r="M170" t="str">
        <f>PROPER(TRIM(sales_data!M170))</f>
        <v>Online</v>
      </c>
      <c r="N170">
        <f t="shared" si="9"/>
        <v>408.7199999999998</v>
      </c>
      <c r="O170">
        <f t="shared" si="10"/>
        <v>10217.999999999995</v>
      </c>
      <c r="P170" t="str">
        <f t="shared" si="11"/>
        <v>Apr</v>
      </c>
    </row>
    <row r="171" spans="1:16" x14ac:dyDescent="0.25">
      <c r="A171">
        <v>1013</v>
      </c>
      <c r="B171" s="1">
        <v>45220</v>
      </c>
      <c r="C171">
        <f t="shared" si="8"/>
        <v>29695.319999999821</v>
      </c>
      <c r="D171">
        <v>20</v>
      </c>
      <c r="E171">
        <v>1533.36</v>
      </c>
      <c r="F171">
        <v>1649.73999999999</v>
      </c>
      <c r="G171">
        <v>0.1</v>
      </c>
      <c r="H171" t="str">
        <f>PROPER(TRIM(sales_data!C171))</f>
        <v>David</v>
      </c>
      <c r="I171" t="str">
        <f>PROPER(TRIM(sales_data!D171))</f>
        <v>East</v>
      </c>
      <c r="J171" t="str">
        <f>PROPER(TRIM(sales_data!G171))</f>
        <v>Electronics</v>
      </c>
      <c r="K171" t="str">
        <f>PROPER(TRIM(sales_data!J171))</f>
        <v>Returning</v>
      </c>
      <c r="L171" t="str">
        <f>PROPER(TRIM(sales_data!L171))</f>
        <v>Bank Transfer</v>
      </c>
      <c r="M171" t="str">
        <f>PROPER(TRIM(sales_data!M171))</f>
        <v>Online</v>
      </c>
      <c r="N171">
        <f t="shared" si="9"/>
        <v>116.3799999999901</v>
      </c>
      <c r="O171">
        <f t="shared" si="10"/>
        <v>2327.5999999998021</v>
      </c>
      <c r="P171" t="str">
        <f t="shared" si="11"/>
        <v>Oct</v>
      </c>
    </row>
    <row r="172" spans="1:16" x14ac:dyDescent="0.25">
      <c r="A172">
        <v>1032</v>
      </c>
      <c r="B172" s="1">
        <v>45085</v>
      </c>
      <c r="C172">
        <f t="shared" si="8"/>
        <v>226873.92</v>
      </c>
      <c r="D172">
        <v>49</v>
      </c>
      <c r="E172">
        <v>4812.41</v>
      </c>
      <c r="F172">
        <v>5088</v>
      </c>
      <c r="G172">
        <v>0.09</v>
      </c>
      <c r="H172" t="str">
        <f>PROPER(TRIM(sales_data!C172))</f>
        <v>Eve</v>
      </c>
      <c r="I172" t="str">
        <f>PROPER(TRIM(sales_data!D172))</f>
        <v>West</v>
      </c>
      <c r="J172" t="str">
        <f>PROPER(TRIM(sales_data!G172))</f>
        <v>Electronics</v>
      </c>
      <c r="K172" t="str">
        <f>PROPER(TRIM(sales_data!J172))</f>
        <v>Returning</v>
      </c>
      <c r="L172" t="str">
        <f>PROPER(TRIM(sales_data!L172))</f>
        <v>Credit Card</v>
      </c>
      <c r="M172" t="str">
        <f>PROPER(TRIM(sales_data!M172))</f>
        <v>Online</v>
      </c>
      <c r="N172">
        <f t="shared" si="9"/>
        <v>275.59000000000015</v>
      </c>
      <c r="O172">
        <f t="shared" si="10"/>
        <v>13503.910000000007</v>
      </c>
      <c r="P172" t="str">
        <f t="shared" si="11"/>
        <v>Jun</v>
      </c>
    </row>
    <row r="173" spans="1:16" x14ac:dyDescent="0.25">
      <c r="A173">
        <v>1071</v>
      </c>
      <c r="B173" s="1">
        <v>45229</v>
      </c>
      <c r="C173">
        <f t="shared" si="8"/>
        <v>69386.941799999986</v>
      </c>
      <c r="D173">
        <v>22</v>
      </c>
      <c r="E173">
        <v>2701.39</v>
      </c>
      <c r="F173">
        <v>3185.81</v>
      </c>
      <c r="G173">
        <v>0.01</v>
      </c>
      <c r="H173" t="str">
        <f>PROPER(TRIM(sales_data!C173))</f>
        <v>Alice</v>
      </c>
      <c r="I173" t="str">
        <f>PROPER(TRIM(sales_data!D173))</f>
        <v>West</v>
      </c>
      <c r="J173" t="str">
        <f>PROPER(TRIM(sales_data!G173))</f>
        <v>Electronics</v>
      </c>
      <c r="K173" t="str">
        <f>PROPER(TRIM(sales_data!J173))</f>
        <v>New</v>
      </c>
      <c r="L173" t="str">
        <f>PROPER(TRIM(sales_data!L173))</f>
        <v>Bank Transfer</v>
      </c>
      <c r="M173" t="str">
        <f>PROPER(TRIM(sales_data!M173))</f>
        <v>Online</v>
      </c>
      <c r="N173">
        <f t="shared" si="9"/>
        <v>484.42000000000007</v>
      </c>
      <c r="O173">
        <f t="shared" si="10"/>
        <v>10657.240000000002</v>
      </c>
      <c r="P173" t="str">
        <f t="shared" si="11"/>
        <v>Oct</v>
      </c>
    </row>
    <row r="174" spans="1:16" x14ac:dyDescent="0.25">
      <c r="A174">
        <v>1059</v>
      </c>
      <c r="B174" s="1">
        <v>45154</v>
      </c>
      <c r="C174">
        <f t="shared" si="8"/>
        <v>55653.815699999992</v>
      </c>
      <c r="D174">
        <v>21</v>
      </c>
      <c r="E174">
        <v>3110.54</v>
      </c>
      <c r="F174">
        <v>3192.99</v>
      </c>
      <c r="G174">
        <v>0.17</v>
      </c>
      <c r="H174" t="str">
        <f>PROPER(TRIM(sales_data!C174))</f>
        <v>Alice</v>
      </c>
      <c r="I174" t="str">
        <f>PROPER(TRIM(sales_data!D174))</f>
        <v>West</v>
      </c>
      <c r="J174" t="str">
        <f>PROPER(TRIM(sales_data!G174))</f>
        <v>Clothing</v>
      </c>
      <c r="K174" t="str">
        <f>PROPER(TRIM(sales_data!J174))</f>
        <v>New</v>
      </c>
      <c r="L174" t="str">
        <f>PROPER(TRIM(sales_data!L174))</f>
        <v>Credit Card</v>
      </c>
      <c r="M174" t="str">
        <f>PROPER(TRIM(sales_data!M174))</f>
        <v>Online</v>
      </c>
      <c r="N174">
        <f t="shared" si="9"/>
        <v>82.449999999999818</v>
      </c>
      <c r="O174">
        <f t="shared" si="10"/>
        <v>1731.4499999999962</v>
      </c>
      <c r="P174" t="str">
        <f t="shared" si="11"/>
        <v>Aug</v>
      </c>
    </row>
    <row r="175" spans="1:16" x14ac:dyDescent="0.25">
      <c r="A175">
        <v>1086</v>
      </c>
      <c r="B175" s="1">
        <v>45291</v>
      </c>
      <c r="C175">
        <f t="shared" si="8"/>
        <v>101421.68519999975</v>
      </c>
      <c r="D175">
        <v>33</v>
      </c>
      <c r="E175">
        <v>3419.33</v>
      </c>
      <c r="F175">
        <v>3890.3599999999901</v>
      </c>
      <c r="G175">
        <v>0.21</v>
      </c>
      <c r="H175" t="str">
        <f>PROPER(TRIM(sales_data!C175))</f>
        <v>Alice</v>
      </c>
      <c r="I175" t="str">
        <f>PROPER(TRIM(sales_data!D175))</f>
        <v>South</v>
      </c>
      <c r="J175" t="str">
        <f>PROPER(TRIM(sales_data!G175))</f>
        <v>Clothing</v>
      </c>
      <c r="K175" t="str">
        <f>PROPER(TRIM(sales_data!J175))</f>
        <v>Returning</v>
      </c>
      <c r="L175" t="str">
        <f>PROPER(TRIM(sales_data!L175))</f>
        <v>Cash</v>
      </c>
      <c r="M175" t="str">
        <f>PROPER(TRIM(sales_data!M175))</f>
        <v>Retail</v>
      </c>
      <c r="N175">
        <f t="shared" si="9"/>
        <v>471.0299999999902</v>
      </c>
      <c r="O175">
        <f t="shared" si="10"/>
        <v>15543.989999999676</v>
      </c>
      <c r="P175" t="str">
        <f t="shared" si="11"/>
        <v>Dec</v>
      </c>
    </row>
    <row r="176" spans="1:16" x14ac:dyDescent="0.25">
      <c r="A176">
        <v>1028</v>
      </c>
      <c r="B176" s="1">
        <v>45142</v>
      </c>
      <c r="C176">
        <f t="shared" si="8"/>
        <v>97012.3128</v>
      </c>
      <c r="D176">
        <v>38</v>
      </c>
      <c r="E176">
        <v>3350.32</v>
      </c>
      <c r="F176">
        <v>3449.94</v>
      </c>
      <c r="G176">
        <v>0.26</v>
      </c>
      <c r="H176" t="str">
        <f>PROPER(TRIM(sales_data!C176))</f>
        <v>Alice</v>
      </c>
      <c r="I176" t="str">
        <f>PROPER(TRIM(sales_data!D176))</f>
        <v>North</v>
      </c>
      <c r="J176" t="str">
        <f>PROPER(TRIM(sales_data!G176))</f>
        <v>Clothing</v>
      </c>
      <c r="K176" t="str">
        <f>PROPER(TRIM(sales_data!J176))</f>
        <v>New</v>
      </c>
      <c r="L176" t="str">
        <f>PROPER(TRIM(sales_data!L176))</f>
        <v>Cash</v>
      </c>
      <c r="M176" t="str">
        <f>PROPER(TRIM(sales_data!M176))</f>
        <v>Online</v>
      </c>
      <c r="N176">
        <f t="shared" si="9"/>
        <v>99.619999999999891</v>
      </c>
      <c r="O176">
        <f t="shared" si="10"/>
        <v>3785.5599999999959</v>
      </c>
      <c r="P176" t="str">
        <f t="shared" si="11"/>
        <v>Aug</v>
      </c>
    </row>
    <row r="177" spans="1:16" x14ac:dyDescent="0.25">
      <c r="A177">
        <v>1066</v>
      </c>
      <c r="B177" s="1">
        <v>45110</v>
      </c>
      <c r="C177">
        <f t="shared" si="8"/>
        <v>41289.983999999997</v>
      </c>
      <c r="D177">
        <v>15</v>
      </c>
      <c r="E177">
        <v>2579.31</v>
      </c>
      <c r="F177">
        <v>2867.36</v>
      </c>
      <c r="G177">
        <v>0.04</v>
      </c>
      <c r="H177" t="str">
        <f>PROPER(TRIM(sales_data!C177))</f>
        <v>Charlie</v>
      </c>
      <c r="I177" t="str">
        <f>PROPER(TRIM(sales_data!D177))</f>
        <v>North</v>
      </c>
      <c r="J177" t="str">
        <f>PROPER(TRIM(sales_data!G177))</f>
        <v>Furniture</v>
      </c>
      <c r="K177" t="str">
        <f>PROPER(TRIM(sales_data!J177))</f>
        <v>Returning</v>
      </c>
      <c r="L177" t="str">
        <f>PROPER(TRIM(sales_data!L177))</f>
        <v>Bank Transfer</v>
      </c>
      <c r="M177" t="str">
        <f>PROPER(TRIM(sales_data!M177))</f>
        <v>Retail</v>
      </c>
      <c r="N177">
        <f t="shared" si="9"/>
        <v>288.05000000000018</v>
      </c>
      <c r="O177">
        <f t="shared" si="10"/>
        <v>4320.7500000000027</v>
      </c>
      <c r="P177" t="str">
        <f t="shared" si="11"/>
        <v>Jul</v>
      </c>
    </row>
    <row r="178" spans="1:16" x14ac:dyDescent="0.25">
      <c r="A178">
        <v>1042</v>
      </c>
      <c r="B178" s="1">
        <v>44941</v>
      </c>
      <c r="C178">
        <f t="shared" si="8"/>
        <v>91465.130400000009</v>
      </c>
      <c r="D178">
        <v>46</v>
      </c>
      <c r="E178">
        <v>2172.38</v>
      </c>
      <c r="F178">
        <v>2367.11</v>
      </c>
      <c r="G178">
        <v>0.16</v>
      </c>
      <c r="H178" t="str">
        <f>PROPER(TRIM(sales_data!C178))</f>
        <v>David</v>
      </c>
      <c r="I178" t="str">
        <f>PROPER(TRIM(sales_data!D178))</f>
        <v>South</v>
      </c>
      <c r="J178" t="str">
        <f>PROPER(TRIM(sales_data!G178))</f>
        <v>Furniture</v>
      </c>
      <c r="K178" t="str">
        <f>PROPER(TRIM(sales_data!J178))</f>
        <v>New</v>
      </c>
      <c r="L178" t="str">
        <f>PROPER(TRIM(sales_data!L178))</f>
        <v>Cash</v>
      </c>
      <c r="M178" t="str">
        <f>PROPER(TRIM(sales_data!M178))</f>
        <v>Retail</v>
      </c>
      <c r="N178">
        <f t="shared" si="9"/>
        <v>194.73000000000002</v>
      </c>
      <c r="O178">
        <f t="shared" si="10"/>
        <v>8957.5800000000017</v>
      </c>
      <c r="P178" t="str">
        <f t="shared" si="11"/>
        <v>Jan</v>
      </c>
    </row>
    <row r="179" spans="1:16" x14ac:dyDescent="0.25">
      <c r="A179">
        <v>1045</v>
      </c>
      <c r="B179" s="1">
        <v>45083</v>
      </c>
      <c r="C179">
        <f t="shared" si="8"/>
        <v>11985.599999999999</v>
      </c>
      <c r="D179">
        <v>15</v>
      </c>
      <c r="E179">
        <v>316.22000000000003</v>
      </c>
      <c r="F179">
        <v>799.04</v>
      </c>
      <c r="G179">
        <v>0</v>
      </c>
      <c r="H179" t="str">
        <f>PROPER(TRIM(sales_data!C179))</f>
        <v>Bob</v>
      </c>
      <c r="I179" t="str">
        <f>PROPER(TRIM(sales_data!D179))</f>
        <v>South</v>
      </c>
      <c r="J179" t="str">
        <f>PROPER(TRIM(sales_data!G179))</f>
        <v>Electronics</v>
      </c>
      <c r="K179" t="str">
        <f>PROPER(TRIM(sales_data!J179))</f>
        <v>New</v>
      </c>
      <c r="L179" t="str">
        <f>PROPER(TRIM(sales_data!L179))</f>
        <v>Bank Transfer</v>
      </c>
      <c r="M179" t="str">
        <f>PROPER(TRIM(sales_data!M179))</f>
        <v>Online</v>
      </c>
      <c r="N179">
        <f t="shared" si="9"/>
        <v>482.81999999999994</v>
      </c>
      <c r="O179">
        <f t="shared" si="10"/>
        <v>7242.2999999999993</v>
      </c>
      <c r="P179" t="str">
        <f t="shared" si="11"/>
        <v>Jun</v>
      </c>
    </row>
    <row r="180" spans="1:16" x14ac:dyDescent="0.25">
      <c r="A180">
        <v>1062</v>
      </c>
      <c r="B180" s="1">
        <v>45062</v>
      </c>
      <c r="C180">
        <f t="shared" si="8"/>
        <v>13535.923200000001</v>
      </c>
      <c r="D180">
        <v>46</v>
      </c>
      <c r="E180">
        <v>159.32</v>
      </c>
      <c r="F180">
        <v>303.36</v>
      </c>
      <c r="G180">
        <v>0.03</v>
      </c>
      <c r="H180" t="str">
        <f>PROPER(TRIM(sales_data!C180))</f>
        <v>Charlie</v>
      </c>
      <c r="I180" t="str">
        <f>PROPER(TRIM(sales_data!D180))</f>
        <v>North</v>
      </c>
      <c r="J180" t="str">
        <f>PROPER(TRIM(sales_data!G180))</f>
        <v>Furniture</v>
      </c>
      <c r="K180" t="str">
        <f>PROPER(TRIM(sales_data!J180))</f>
        <v>New</v>
      </c>
      <c r="L180" t="str">
        <f>PROPER(TRIM(sales_data!L180))</f>
        <v>Cash</v>
      </c>
      <c r="M180" t="str">
        <f>PROPER(TRIM(sales_data!M180))</f>
        <v>Retail</v>
      </c>
      <c r="N180">
        <f t="shared" si="9"/>
        <v>144.04000000000002</v>
      </c>
      <c r="O180">
        <f t="shared" si="10"/>
        <v>6625.8400000000011</v>
      </c>
      <c r="P180" t="str">
        <f t="shared" si="11"/>
        <v>May</v>
      </c>
    </row>
    <row r="181" spans="1:16" x14ac:dyDescent="0.25">
      <c r="A181">
        <v>1057</v>
      </c>
      <c r="B181" s="1">
        <v>45187</v>
      </c>
      <c r="C181">
        <f t="shared" si="8"/>
        <v>49679.63</v>
      </c>
      <c r="D181">
        <v>25</v>
      </c>
      <c r="E181">
        <v>1821.91</v>
      </c>
      <c r="F181">
        <v>2027.74</v>
      </c>
      <c r="G181">
        <v>0.02</v>
      </c>
      <c r="H181" t="str">
        <f>PROPER(TRIM(sales_data!C181))</f>
        <v>Charlie</v>
      </c>
      <c r="I181" t="str">
        <f>PROPER(TRIM(sales_data!D181))</f>
        <v>West</v>
      </c>
      <c r="J181" t="str">
        <f>PROPER(TRIM(sales_data!G181))</f>
        <v>Food</v>
      </c>
      <c r="K181" t="str">
        <f>PROPER(TRIM(sales_data!J181))</f>
        <v>New</v>
      </c>
      <c r="L181" t="str">
        <f>PROPER(TRIM(sales_data!L181))</f>
        <v>Bank Transfer</v>
      </c>
      <c r="M181" t="str">
        <f>PROPER(TRIM(sales_data!M181))</f>
        <v>Retail</v>
      </c>
      <c r="N181">
        <f t="shared" si="9"/>
        <v>205.82999999999993</v>
      </c>
      <c r="O181">
        <f t="shared" si="10"/>
        <v>5145.7499999999982</v>
      </c>
      <c r="P181" t="str">
        <f t="shared" si="11"/>
        <v>Sep</v>
      </c>
    </row>
    <row r="182" spans="1:16" x14ac:dyDescent="0.25">
      <c r="A182">
        <v>1006</v>
      </c>
      <c r="B182" s="1">
        <v>45083</v>
      </c>
      <c r="C182">
        <f t="shared" si="8"/>
        <v>35924.943599999999</v>
      </c>
      <c r="D182">
        <v>21</v>
      </c>
      <c r="E182">
        <v>1701.62</v>
      </c>
      <c r="F182">
        <v>2193.2199999999998</v>
      </c>
      <c r="G182">
        <v>0.22</v>
      </c>
      <c r="H182" t="str">
        <f>PROPER(TRIM(sales_data!C182))</f>
        <v>Bob</v>
      </c>
      <c r="I182" t="str">
        <f>PROPER(TRIM(sales_data!D182))</f>
        <v>East</v>
      </c>
      <c r="J182" t="str">
        <f>PROPER(TRIM(sales_data!G182))</f>
        <v>Electronics</v>
      </c>
      <c r="K182" t="str">
        <f>PROPER(TRIM(sales_data!J182))</f>
        <v>New</v>
      </c>
      <c r="L182" t="str">
        <f>PROPER(TRIM(sales_data!L182))</f>
        <v>Bank Transfer</v>
      </c>
      <c r="M182" t="str">
        <f>PROPER(TRIM(sales_data!M182))</f>
        <v>Retail</v>
      </c>
      <c r="N182">
        <f t="shared" si="9"/>
        <v>491.59999999999991</v>
      </c>
      <c r="O182">
        <f t="shared" si="10"/>
        <v>10323.599999999999</v>
      </c>
      <c r="P182" t="str">
        <f t="shared" si="11"/>
        <v>Jun</v>
      </c>
    </row>
    <row r="183" spans="1:16" x14ac:dyDescent="0.25">
      <c r="A183">
        <v>1028</v>
      </c>
      <c r="B183" s="1">
        <v>44973</v>
      </c>
      <c r="C183">
        <f t="shared" si="8"/>
        <v>52730.8992</v>
      </c>
      <c r="D183">
        <v>24</v>
      </c>
      <c r="E183">
        <v>1969.09</v>
      </c>
      <c r="F183">
        <v>2241.96</v>
      </c>
      <c r="G183">
        <v>0.02</v>
      </c>
      <c r="H183" t="str">
        <f>PROPER(TRIM(sales_data!C183))</f>
        <v>Bob</v>
      </c>
      <c r="I183" t="str">
        <f>PROPER(TRIM(sales_data!D183))</f>
        <v>East</v>
      </c>
      <c r="J183" t="str">
        <f>PROPER(TRIM(sales_data!G183))</f>
        <v>Electronics</v>
      </c>
      <c r="K183" t="str">
        <f>PROPER(TRIM(sales_data!J183))</f>
        <v>Returning</v>
      </c>
      <c r="L183" t="str">
        <f>PROPER(TRIM(sales_data!L183))</f>
        <v>Credit Card</v>
      </c>
      <c r="M183" t="str">
        <f>PROPER(TRIM(sales_data!M183))</f>
        <v>Online</v>
      </c>
      <c r="N183">
        <f t="shared" si="9"/>
        <v>272.87000000000012</v>
      </c>
      <c r="O183">
        <f t="shared" si="10"/>
        <v>6548.8800000000028</v>
      </c>
      <c r="P183" t="str">
        <f t="shared" si="11"/>
        <v>Feb</v>
      </c>
    </row>
    <row r="184" spans="1:16" x14ac:dyDescent="0.25">
      <c r="A184">
        <v>1028</v>
      </c>
      <c r="B184" s="1">
        <v>45250</v>
      </c>
      <c r="C184">
        <f t="shared" si="8"/>
        <v>3915.2795000000001</v>
      </c>
      <c r="D184">
        <v>5</v>
      </c>
      <c r="E184">
        <v>734.92</v>
      </c>
      <c r="F184">
        <v>991.21</v>
      </c>
      <c r="G184">
        <v>0.21</v>
      </c>
      <c r="H184" t="str">
        <f>PROPER(TRIM(sales_data!C184))</f>
        <v>Alice</v>
      </c>
      <c r="I184" t="str">
        <f>PROPER(TRIM(sales_data!D184))</f>
        <v>East</v>
      </c>
      <c r="J184" t="str">
        <f>PROPER(TRIM(sales_data!G184))</f>
        <v>Food</v>
      </c>
      <c r="K184" t="str">
        <f>PROPER(TRIM(sales_data!J184))</f>
        <v>Returning</v>
      </c>
      <c r="L184" t="str">
        <f>PROPER(TRIM(sales_data!L184))</f>
        <v>Credit Card</v>
      </c>
      <c r="M184" t="str">
        <f>PROPER(TRIM(sales_data!M184))</f>
        <v>Online</v>
      </c>
      <c r="N184">
        <f t="shared" si="9"/>
        <v>256.29000000000008</v>
      </c>
      <c r="O184">
        <f t="shared" si="10"/>
        <v>1281.4500000000003</v>
      </c>
      <c r="P184" t="str">
        <f t="shared" si="11"/>
        <v>Nov</v>
      </c>
    </row>
    <row r="185" spans="1:16" x14ac:dyDescent="0.25">
      <c r="A185">
        <v>1044</v>
      </c>
      <c r="B185" s="1">
        <v>45258</v>
      </c>
      <c r="C185">
        <f t="shared" si="8"/>
        <v>21428.539199999996</v>
      </c>
      <c r="D185">
        <v>6</v>
      </c>
      <c r="E185">
        <v>3703.93</v>
      </c>
      <c r="F185">
        <v>3840.24</v>
      </c>
      <c r="G185">
        <v>7.0000000000000007E-2</v>
      </c>
      <c r="H185" t="str">
        <f>PROPER(TRIM(sales_data!C185))</f>
        <v>Charlie</v>
      </c>
      <c r="I185" t="str">
        <f>PROPER(TRIM(sales_data!D185))</f>
        <v>West</v>
      </c>
      <c r="J185" t="str">
        <f>PROPER(TRIM(sales_data!G185))</f>
        <v>Electronics</v>
      </c>
      <c r="K185" t="str">
        <f>PROPER(TRIM(sales_data!J185))</f>
        <v>New</v>
      </c>
      <c r="L185" t="str">
        <f>PROPER(TRIM(sales_data!L185))</f>
        <v>Credit Card</v>
      </c>
      <c r="M185" t="str">
        <f>PROPER(TRIM(sales_data!M185))</f>
        <v>Online</v>
      </c>
      <c r="N185">
        <f t="shared" si="9"/>
        <v>136.30999999999995</v>
      </c>
      <c r="O185">
        <f t="shared" si="10"/>
        <v>817.85999999999967</v>
      </c>
      <c r="P185" t="str">
        <f t="shared" si="11"/>
        <v>Nov</v>
      </c>
    </row>
    <row r="186" spans="1:16" x14ac:dyDescent="0.25">
      <c r="A186">
        <v>1084</v>
      </c>
      <c r="B186" s="1">
        <v>45099</v>
      </c>
      <c r="C186">
        <f t="shared" si="8"/>
        <v>168450.90640000001</v>
      </c>
      <c r="D186">
        <v>49</v>
      </c>
      <c r="E186">
        <v>4291.97</v>
      </c>
      <c r="F186">
        <v>4645.6400000000003</v>
      </c>
      <c r="G186">
        <v>0.26</v>
      </c>
      <c r="H186" t="str">
        <f>PROPER(TRIM(sales_data!C186))</f>
        <v>Eve</v>
      </c>
      <c r="I186" t="str">
        <f>PROPER(TRIM(sales_data!D186))</f>
        <v>North</v>
      </c>
      <c r="J186" t="str">
        <f>PROPER(TRIM(sales_data!G186))</f>
        <v>Furniture</v>
      </c>
      <c r="K186" t="str">
        <f>PROPER(TRIM(sales_data!J186))</f>
        <v>Returning</v>
      </c>
      <c r="L186" t="str">
        <f>PROPER(TRIM(sales_data!L186))</f>
        <v>Credit Card</v>
      </c>
      <c r="M186" t="str">
        <f>PROPER(TRIM(sales_data!M186))</f>
        <v>Online</v>
      </c>
      <c r="N186">
        <f t="shared" si="9"/>
        <v>353.67000000000007</v>
      </c>
      <c r="O186">
        <f t="shared" si="10"/>
        <v>17329.830000000002</v>
      </c>
      <c r="P186" t="str">
        <f t="shared" si="11"/>
        <v>Jun</v>
      </c>
    </row>
    <row r="187" spans="1:16" x14ac:dyDescent="0.25">
      <c r="A187">
        <v>1030</v>
      </c>
      <c r="B187" s="1">
        <v>45056</v>
      </c>
      <c r="C187">
        <f t="shared" si="8"/>
        <v>154043.06240000002</v>
      </c>
      <c r="D187">
        <v>43</v>
      </c>
      <c r="E187">
        <v>4696.6400000000003</v>
      </c>
      <c r="F187">
        <v>4713.68</v>
      </c>
      <c r="G187">
        <v>0.24</v>
      </c>
      <c r="H187" t="str">
        <f>PROPER(TRIM(sales_data!C187))</f>
        <v>Bob</v>
      </c>
      <c r="I187" t="str">
        <f>PROPER(TRIM(sales_data!D187))</f>
        <v>South</v>
      </c>
      <c r="J187" t="str">
        <f>PROPER(TRIM(sales_data!G187))</f>
        <v>Clothing</v>
      </c>
      <c r="K187" t="str">
        <f>PROPER(TRIM(sales_data!J187))</f>
        <v>Returning</v>
      </c>
      <c r="L187" t="str">
        <f>PROPER(TRIM(sales_data!L187))</f>
        <v>Bank Transfer</v>
      </c>
      <c r="M187" t="str">
        <f>PROPER(TRIM(sales_data!M187))</f>
        <v>Online</v>
      </c>
      <c r="N187">
        <f t="shared" si="9"/>
        <v>17.039999999999964</v>
      </c>
      <c r="O187">
        <f t="shared" si="10"/>
        <v>732.71999999999844</v>
      </c>
      <c r="P187" t="str">
        <f t="shared" si="11"/>
        <v>May</v>
      </c>
    </row>
    <row r="188" spans="1:16" x14ac:dyDescent="0.25">
      <c r="A188">
        <v>1062</v>
      </c>
      <c r="B188" s="1">
        <v>45021</v>
      </c>
      <c r="C188">
        <f t="shared" si="8"/>
        <v>85931.015999999989</v>
      </c>
      <c r="D188">
        <v>48</v>
      </c>
      <c r="E188">
        <v>2487.19</v>
      </c>
      <c r="F188">
        <v>2521.4499999999998</v>
      </c>
      <c r="G188">
        <v>0.28999999999999998</v>
      </c>
      <c r="H188" t="str">
        <f>PROPER(TRIM(sales_data!C188))</f>
        <v>Bob</v>
      </c>
      <c r="I188" t="str">
        <f>PROPER(TRIM(sales_data!D188))</f>
        <v>North</v>
      </c>
      <c r="J188" t="str">
        <f>PROPER(TRIM(sales_data!G188))</f>
        <v>Food</v>
      </c>
      <c r="K188" t="str">
        <f>PROPER(TRIM(sales_data!J188))</f>
        <v>New</v>
      </c>
      <c r="L188" t="str">
        <f>PROPER(TRIM(sales_data!L188))</f>
        <v>Cash</v>
      </c>
      <c r="M188" t="str">
        <f>PROPER(TRIM(sales_data!M188))</f>
        <v>Online</v>
      </c>
      <c r="N188">
        <f t="shared" si="9"/>
        <v>34.259999999999764</v>
      </c>
      <c r="O188">
        <f t="shared" si="10"/>
        <v>1644.4799999999886</v>
      </c>
      <c r="P188" t="str">
        <f t="shared" si="11"/>
        <v>Apr</v>
      </c>
    </row>
    <row r="189" spans="1:16" x14ac:dyDescent="0.25">
      <c r="A189">
        <v>1075</v>
      </c>
      <c r="B189" s="1">
        <v>45041</v>
      </c>
      <c r="C189">
        <f t="shared" si="8"/>
        <v>122794.1176</v>
      </c>
      <c r="D189">
        <v>44</v>
      </c>
      <c r="E189">
        <v>3519.29</v>
      </c>
      <c r="F189">
        <v>3822.98</v>
      </c>
      <c r="G189">
        <v>0.27</v>
      </c>
      <c r="H189" t="str">
        <f>PROPER(TRIM(sales_data!C189))</f>
        <v>David</v>
      </c>
      <c r="I189" t="str">
        <f>PROPER(TRIM(sales_data!D189))</f>
        <v>West</v>
      </c>
      <c r="J189" t="str">
        <f>PROPER(TRIM(sales_data!G189))</f>
        <v>Furniture</v>
      </c>
      <c r="K189" t="str">
        <f>PROPER(TRIM(sales_data!J189))</f>
        <v>Returning</v>
      </c>
      <c r="L189" t="str">
        <f>PROPER(TRIM(sales_data!L189))</f>
        <v>Bank Transfer</v>
      </c>
      <c r="M189" t="str">
        <f>PROPER(TRIM(sales_data!M189))</f>
        <v>Online</v>
      </c>
      <c r="N189">
        <f t="shared" si="9"/>
        <v>303.69000000000005</v>
      </c>
      <c r="O189">
        <f t="shared" si="10"/>
        <v>13362.360000000002</v>
      </c>
      <c r="P189" t="str">
        <f t="shared" si="11"/>
        <v>Apr</v>
      </c>
    </row>
    <row r="190" spans="1:16" x14ac:dyDescent="0.25">
      <c r="A190">
        <v>1092</v>
      </c>
      <c r="B190" s="1">
        <v>45169</v>
      </c>
      <c r="C190">
        <f t="shared" si="8"/>
        <v>151007.61599999998</v>
      </c>
      <c r="D190">
        <v>47</v>
      </c>
      <c r="E190">
        <v>4284.9799999999996</v>
      </c>
      <c r="F190">
        <v>4462.3999999999996</v>
      </c>
      <c r="G190">
        <v>0.28000000000000003</v>
      </c>
      <c r="H190" t="str">
        <f>PROPER(TRIM(sales_data!C190))</f>
        <v>Eve</v>
      </c>
      <c r="I190" t="str">
        <f>PROPER(TRIM(sales_data!D190))</f>
        <v>South</v>
      </c>
      <c r="J190" t="str">
        <f>PROPER(TRIM(sales_data!G190))</f>
        <v>Food</v>
      </c>
      <c r="K190" t="str">
        <f>PROPER(TRIM(sales_data!J190))</f>
        <v>New</v>
      </c>
      <c r="L190" t="str">
        <f>PROPER(TRIM(sales_data!L190))</f>
        <v>Credit Card</v>
      </c>
      <c r="M190" t="str">
        <f>PROPER(TRIM(sales_data!M190))</f>
        <v>Retail</v>
      </c>
      <c r="N190">
        <f t="shared" si="9"/>
        <v>177.42000000000007</v>
      </c>
      <c r="O190">
        <f t="shared" si="10"/>
        <v>8338.7400000000034</v>
      </c>
      <c r="P190" t="str">
        <f t="shared" si="11"/>
        <v>Aug</v>
      </c>
    </row>
    <row r="191" spans="1:16" x14ac:dyDescent="0.25">
      <c r="A191">
        <v>1089</v>
      </c>
      <c r="B191" s="1">
        <v>45218</v>
      </c>
      <c r="C191">
        <f t="shared" si="8"/>
        <v>44212.343400000005</v>
      </c>
      <c r="D191">
        <v>23</v>
      </c>
      <c r="E191">
        <v>2120.54</v>
      </c>
      <c r="F191">
        <v>2597.67</v>
      </c>
      <c r="G191">
        <v>0.26</v>
      </c>
      <c r="H191" t="str">
        <f>PROPER(TRIM(sales_data!C191))</f>
        <v>Eve</v>
      </c>
      <c r="I191" t="str">
        <f>PROPER(TRIM(sales_data!D191))</f>
        <v>West</v>
      </c>
      <c r="J191" t="str">
        <f>PROPER(TRIM(sales_data!G191))</f>
        <v>Food</v>
      </c>
      <c r="K191" t="str">
        <f>PROPER(TRIM(sales_data!J191))</f>
        <v>Returning</v>
      </c>
      <c r="L191" t="str">
        <f>PROPER(TRIM(sales_data!L191))</f>
        <v>Credit Card</v>
      </c>
      <c r="M191" t="str">
        <f>PROPER(TRIM(sales_data!M191))</f>
        <v>Retail</v>
      </c>
      <c r="N191">
        <f t="shared" si="9"/>
        <v>477.13000000000011</v>
      </c>
      <c r="O191">
        <f t="shared" si="10"/>
        <v>10973.990000000002</v>
      </c>
      <c r="P191" t="str">
        <f t="shared" si="11"/>
        <v>Oct</v>
      </c>
    </row>
    <row r="192" spans="1:16" x14ac:dyDescent="0.25">
      <c r="A192">
        <v>1062</v>
      </c>
      <c r="B192" s="1">
        <v>45208</v>
      </c>
      <c r="C192">
        <f t="shared" si="8"/>
        <v>6427.9139999999688</v>
      </c>
      <c r="D192">
        <v>4</v>
      </c>
      <c r="E192">
        <v>1581.59</v>
      </c>
      <c r="F192">
        <v>2034.1499999999901</v>
      </c>
      <c r="G192">
        <v>0.21</v>
      </c>
      <c r="H192" t="str">
        <f>PROPER(TRIM(sales_data!C192))</f>
        <v>Bob</v>
      </c>
      <c r="I192" t="str">
        <f>PROPER(TRIM(sales_data!D192))</f>
        <v>East</v>
      </c>
      <c r="J192" t="str">
        <f>PROPER(TRIM(sales_data!G192))</f>
        <v>Electronics</v>
      </c>
      <c r="K192" t="str">
        <f>PROPER(TRIM(sales_data!J192))</f>
        <v>Returning</v>
      </c>
      <c r="L192" t="str">
        <f>PROPER(TRIM(sales_data!L192))</f>
        <v>Cash</v>
      </c>
      <c r="M192" t="str">
        <f>PROPER(TRIM(sales_data!M192))</f>
        <v>Online</v>
      </c>
      <c r="N192">
        <f t="shared" si="9"/>
        <v>452.55999999999017</v>
      </c>
      <c r="O192">
        <f t="shared" si="10"/>
        <v>1810.2399999999607</v>
      </c>
      <c r="P192" t="str">
        <f t="shared" si="11"/>
        <v>Oct</v>
      </c>
    </row>
    <row r="193" spans="1:16" x14ac:dyDescent="0.25">
      <c r="A193">
        <v>1097</v>
      </c>
      <c r="B193" s="1">
        <v>45225</v>
      </c>
      <c r="C193">
        <f t="shared" si="8"/>
        <v>129442.98150000001</v>
      </c>
      <c r="D193">
        <v>27</v>
      </c>
      <c r="E193">
        <v>4686.79</v>
      </c>
      <c r="F193">
        <v>5046.51</v>
      </c>
      <c r="G193">
        <v>0.05</v>
      </c>
      <c r="H193" t="str">
        <f>PROPER(TRIM(sales_data!C193))</f>
        <v>Alice</v>
      </c>
      <c r="I193" t="str">
        <f>PROPER(TRIM(sales_data!D193))</f>
        <v>East</v>
      </c>
      <c r="J193" t="str">
        <f>PROPER(TRIM(sales_data!G193))</f>
        <v>Electronics</v>
      </c>
      <c r="K193" t="str">
        <f>PROPER(TRIM(sales_data!J193))</f>
        <v>Returning</v>
      </c>
      <c r="L193" t="str">
        <f>PROPER(TRIM(sales_data!L193))</f>
        <v>Credit Card</v>
      </c>
      <c r="M193" t="str">
        <f>PROPER(TRIM(sales_data!M193))</f>
        <v>Retail</v>
      </c>
      <c r="N193">
        <f t="shared" si="9"/>
        <v>359.72000000000025</v>
      </c>
      <c r="O193">
        <f t="shared" si="10"/>
        <v>9712.440000000006</v>
      </c>
      <c r="P193" t="str">
        <f t="shared" si="11"/>
        <v>Oct</v>
      </c>
    </row>
    <row r="194" spans="1:16" x14ac:dyDescent="0.25">
      <c r="A194">
        <v>1001</v>
      </c>
      <c r="B194" s="1">
        <v>45209</v>
      </c>
      <c r="C194">
        <f t="shared" ref="C194:C257" si="12">(D194*F194)*(1-G194)</f>
        <v>49903.394399999997</v>
      </c>
      <c r="D194">
        <v>18</v>
      </c>
      <c r="E194">
        <v>2602.6</v>
      </c>
      <c r="F194">
        <v>3013.49</v>
      </c>
      <c r="G194">
        <v>0.08</v>
      </c>
      <c r="H194" t="str">
        <f>PROPER(TRIM(sales_data!C194))</f>
        <v>David</v>
      </c>
      <c r="I194" t="str">
        <f>PROPER(TRIM(sales_data!D194))</f>
        <v>West</v>
      </c>
      <c r="J194" t="str">
        <f>PROPER(TRIM(sales_data!G194))</f>
        <v>Furniture</v>
      </c>
      <c r="K194" t="str">
        <f>PROPER(TRIM(sales_data!J194))</f>
        <v>Returning</v>
      </c>
      <c r="L194" t="str">
        <f>PROPER(TRIM(sales_data!L194))</f>
        <v>Bank Transfer</v>
      </c>
      <c r="M194" t="str">
        <f>PROPER(TRIM(sales_data!M194))</f>
        <v>Online</v>
      </c>
      <c r="N194">
        <f t="shared" ref="N194:N257" si="13">F194-E194</f>
        <v>410.88999999999987</v>
      </c>
      <c r="O194">
        <f t="shared" ref="O194:O257" si="14">N194*D194</f>
        <v>7396.0199999999977</v>
      </c>
      <c r="P194" t="str">
        <f t="shared" ref="P194:P257" si="15">TEXT(B194,"mmm")</f>
        <v>Oct</v>
      </c>
    </row>
    <row r="195" spans="1:16" x14ac:dyDescent="0.25">
      <c r="A195">
        <v>1027</v>
      </c>
      <c r="B195" s="1">
        <v>44995</v>
      </c>
      <c r="C195">
        <f t="shared" si="12"/>
        <v>56227.415999999801</v>
      </c>
      <c r="D195">
        <v>21</v>
      </c>
      <c r="E195">
        <v>2511.41</v>
      </c>
      <c r="F195">
        <v>2848.3999999999901</v>
      </c>
      <c r="G195">
        <v>0.06</v>
      </c>
      <c r="H195" t="str">
        <f>PROPER(TRIM(sales_data!C195))</f>
        <v>Eve</v>
      </c>
      <c r="I195" t="str">
        <f>PROPER(TRIM(sales_data!D195))</f>
        <v>South</v>
      </c>
      <c r="J195" t="str">
        <f>PROPER(TRIM(sales_data!G195))</f>
        <v>Food</v>
      </c>
      <c r="K195" t="str">
        <f>PROPER(TRIM(sales_data!J195))</f>
        <v>Returning</v>
      </c>
      <c r="L195" t="str">
        <f>PROPER(TRIM(sales_data!L195))</f>
        <v>Bank Transfer</v>
      </c>
      <c r="M195" t="str">
        <f>PROPER(TRIM(sales_data!M195))</f>
        <v>Online</v>
      </c>
      <c r="N195">
        <f t="shared" si="13"/>
        <v>336.98999999999023</v>
      </c>
      <c r="O195">
        <f t="shared" si="14"/>
        <v>7076.7899999997953</v>
      </c>
      <c r="P195" t="str">
        <f t="shared" si="15"/>
        <v>Mar</v>
      </c>
    </row>
    <row r="196" spans="1:16" x14ac:dyDescent="0.25">
      <c r="A196">
        <v>1062</v>
      </c>
      <c r="B196" s="1">
        <v>45074</v>
      </c>
      <c r="C196">
        <f t="shared" si="12"/>
        <v>23067.911999999775</v>
      </c>
      <c r="D196">
        <v>28</v>
      </c>
      <c r="E196">
        <v>933.16</v>
      </c>
      <c r="F196">
        <v>1004.69999999999</v>
      </c>
      <c r="G196">
        <v>0.18</v>
      </c>
      <c r="H196" t="str">
        <f>PROPER(TRIM(sales_data!C196))</f>
        <v>Bob</v>
      </c>
      <c r="I196" t="str">
        <f>PROPER(TRIM(sales_data!D196))</f>
        <v>South</v>
      </c>
      <c r="J196" t="str">
        <f>PROPER(TRIM(sales_data!G196))</f>
        <v>Electronics</v>
      </c>
      <c r="K196" t="str">
        <f>PROPER(TRIM(sales_data!J196))</f>
        <v>Returning</v>
      </c>
      <c r="L196" t="str">
        <f>PROPER(TRIM(sales_data!L196))</f>
        <v>Bank Transfer</v>
      </c>
      <c r="M196" t="str">
        <f>PROPER(TRIM(sales_data!M196))</f>
        <v>Online</v>
      </c>
      <c r="N196">
        <f t="shared" si="13"/>
        <v>71.539999999990073</v>
      </c>
      <c r="O196">
        <f t="shared" si="14"/>
        <v>2003.119999999722</v>
      </c>
      <c r="P196" t="str">
        <f t="shared" si="15"/>
        <v>May</v>
      </c>
    </row>
    <row r="197" spans="1:16" x14ac:dyDescent="0.25">
      <c r="A197">
        <v>1077</v>
      </c>
      <c r="B197" s="1">
        <v>44937</v>
      </c>
      <c r="C197">
        <f t="shared" si="12"/>
        <v>28872.077499999999</v>
      </c>
      <c r="D197">
        <v>35</v>
      </c>
      <c r="E197">
        <v>585.37</v>
      </c>
      <c r="F197">
        <v>970.49</v>
      </c>
      <c r="G197">
        <v>0.15</v>
      </c>
      <c r="H197" t="str">
        <f>PROPER(TRIM(sales_data!C197))</f>
        <v>Eve</v>
      </c>
      <c r="I197" t="str">
        <f>PROPER(TRIM(sales_data!D197))</f>
        <v>North</v>
      </c>
      <c r="J197" t="str">
        <f>PROPER(TRIM(sales_data!G197))</f>
        <v>Electronics</v>
      </c>
      <c r="K197" t="str">
        <f>PROPER(TRIM(sales_data!J197))</f>
        <v>Returning</v>
      </c>
      <c r="L197" t="str">
        <f>PROPER(TRIM(sales_data!L197))</f>
        <v>Bank Transfer</v>
      </c>
      <c r="M197" t="str">
        <f>PROPER(TRIM(sales_data!M197))</f>
        <v>Retail</v>
      </c>
      <c r="N197">
        <f t="shared" si="13"/>
        <v>385.12</v>
      </c>
      <c r="O197">
        <f t="shared" si="14"/>
        <v>13479.2</v>
      </c>
      <c r="P197" t="str">
        <f t="shared" si="15"/>
        <v>Jan</v>
      </c>
    </row>
    <row r="198" spans="1:16" x14ac:dyDescent="0.25">
      <c r="A198">
        <v>1003</v>
      </c>
      <c r="B198" s="1">
        <v>45180</v>
      </c>
      <c r="C198">
        <f t="shared" si="12"/>
        <v>70515.517600000006</v>
      </c>
      <c r="D198">
        <v>22</v>
      </c>
      <c r="E198">
        <v>4218.43</v>
      </c>
      <c r="F198">
        <v>4331.42</v>
      </c>
      <c r="G198">
        <v>0.26</v>
      </c>
      <c r="H198" t="str">
        <f>PROPER(TRIM(sales_data!C198))</f>
        <v>David</v>
      </c>
      <c r="I198" t="str">
        <f>PROPER(TRIM(sales_data!D198))</f>
        <v>East</v>
      </c>
      <c r="J198" t="str">
        <f>PROPER(TRIM(sales_data!G198))</f>
        <v>Food</v>
      </c>
      <c r="K198" t="str">
        <f>PROPER(TRIM(sales_data!J198))</f>
        <v>New</v>
      </c>
      <c r="L198" t="str">
        <f>PROPER(TRIM(sales_data!L198))</f>
        <v>Bank Transfer</v>
      </c>
      <c r="M198" t="str">
        <f>PROPER(TRIM(sales_data!M198))</f>
        <v>Online</v>
      </c>
      <c r="N198">
        <f t="shared" si="13"/>
        <v>112.98999999999978</v>
      </c>
      <c r="O198">
        <f t="shared" si="14"/>
        <v>2485.7799999999952</v>
      </c>
      <c r="P198" t="str">
        <f t="shared" si="15"/>
        <v>Sep</v>
      </c>
    </row>
    <row r="199" spans="1:16" x14ac:dyDescent="0.25">
      <c r="A199">
        <v>1070</v>
      </c>
      <c r="B199" s="1">
        <v>45256</v>
      </c>
      <c r="C199">
        <f t="shared" si="12"/>
        <v>92539.98</v>
      </c>
      <c r="D199">
        <v>40</v>
      </c>
      <c r="E199">
        <v>3089.96</v>
      </c>
      <c r="F199">
        <v>3258.45</v>
      </c>
      <c r="G199">
        <v>0.28999999999999998</v>
      </c>
      <c r="H199" t="str">
        <f>PROPER(TRIM(sales_data!C199))</f>
        <v>David</v>
      </c>
      <c r="I199" t="str">
        <f>PROPER(TRIM(sales_data!D199))</f>
        <v>North</v>
      </c>
      <c r="J199" t="str">
        <f>PROPER(TRIM(sales_data!G199))</f>
        <v>Furniture</v>
      </c>
      <c r="K199" t="str">
        <f>PROPER(TRIM(sales_data!J199))</f>
        <v>New</v>
      </c>
      <c r="L199" t="str">
        <f>PROPER(TRIM(sales_data!L199))</f>
        <v>Cash</v>
      </c>
      <c r="M199" t="str">
        <f>PROPER(TRIM(sales_data!M199))</f>
        <v>Online</v>
      </c>
      <c r="N199">
        <f t="shared" si="13"/>
        <v>168.48999999999978</v>
      </c>
      <c r="O199">
        <f t="shared" si="14"/>
        <v>6739.5999999999913</v>
      </c>
      <c r="P199" t="str">
        <f t="shared" si="15"/>
        <v>Nov</v>
      </c>
    </row>
    <row r="200" spans="1:16" x14ac:dyDescent="0.25">
      <c r="A200">
        <v>1072</v>
      </c>
      <c r="B200" s="1">
        <v>45286</v>
      </c>
      <c r="C200">
        <f t="shared" si="12"/>
        <v>41982.82</v>
      </c>
      <c r="D200">
        <v>23</v>
      </c>
      <c r="E200">
        <v>1662.83</v>
      </c>
      <c r="F200">
        <v>2074.25</v>
      </c>
      <c r="G200">
        <v>0.12</v>
      </c>
      <c r="H200" t="str">
        <f>PROPER(TRIM(sales_data!C200))</f>
        <v>Charlie</v>
      </c>
      <c r="I200" t="str">
        <f>PROPER(TRIM(sales_data!D200))</f>
        <v>North</v>
      </c>
      <c r="J200" t="str">
        <f>PROPER(TRIM(sales_data!G200))</f>
        <v>Furniture</v>
      </c>
      <c r="K200" t="str">
        <f>PROPER(TRIM(sales_data!J200))</f>
        <v>New</v>
      </c>
      <c r="L200" t="str">
        <f>PROPER(TRIM(sales_data!L200))</f>
        <v>Bank Transfer</v>
      </c>
      <c r="M200" t="str">
        <f>PROPER(TRIM(sales_data!M200))</f>
        <v>Online</v>
      </c>
      <c r="N200">
        <f t="shared" si="13"/>
        <v>411.42000000000007</v>
      </c>
      <c r="O200">
        <f t="shared" si="14"/>
        <v>9462.6600000000017</v>
      </c>
      <c r="P200" t="str">
        <f t="shared" si="15"/>
        <v>Dec</v>
      </c>
    </row>
    <row r="201" spans="1:16" x14ac:dyDescent="0.25">
      <c r="A201">
        <v>1027</v>
      </c>
      <c r="B201" s="1">
        <v>44964</v>
      </c>
      <c r="C201">
        <f t="shared" si="12"/>
        <v>3243.5745000000002</v>
      </c>
      <c r="D201">
        <v>3</v>
      </c>
      <c r="E201">
        <v>999.09</v>
      </c>
      <c r="F201">
        <v>1271.99</v>
      </c>
      <c r="G201">
        <v>0.15</v>
      </c>
      <c r="H201" t="str">
        <f>PROPER(TRIM(sales_data!C201))</f>
        <v>Bob</v>
      </c>
      <c r="I201" t="str">
        <f>PROPER(TRIM(sales_data!D201))</f>
        <v>West</v>
      </c>
      <c r="J201" t="str">
        <f>PROPER(TRIM(sales_data!G201))</f>
        <v>Food</v>
      </c>
      <c r="K201" t="str">
        <f>PROPER(TRIM(sales_data!J201))</f>
        <v>New</v>
      </c>
      <c r="L201" t="str">
        <f>PROPER(TRIM(sales_data!L201))</f>
        <v>Credit Card</v>
      </c>
      <c r="M201" t="str">
        <f>PROPER(TRIM(sales_data!M201))</f>
        <v>Online</v>
      </c>
      <c r="N201">
        <f t="shared" si="13"/>
        <v>272.89999999999998</v>
      </c>
      <c r="O201">
        <f t="shared" si="14"/>
        <v>818.69999999999993</v>
      </c>
      <c r="P201" t="str">
        <f t="shared" si="15"/>
        <v>Feb</v>
      </c>
    </row>
    <row r="202" spans="1:16" x14ac:dyDescent="0.25">
      <c r="A202">
        <v>1009</v>
      </c>
      <c r="B202" s="1">
        <v>45060</v>
      </c>
      <c r="C202">
        <f t="shared" si="12"/>
        <v>91762.671999999991</v>
      </c>
      <c r="D202">
        <v>40</v>
      </c>
      <c r="E202">
        <v>2799.71</v>
      </c>
      <c r="F202">
        <v>3231.08</v>
      </c>
      <c r="G202">
        <v>0.28999999999999998</v>
      </c>
      <c r="H202" t="str">
        <f>PROPER(TRIM(sales_data!C202))</f>
        <v>David</v>
      </c>
      <c r="I202" t="str">
        <f>PROPER(TRIM(sales_data!D202))</f>
        <v>West</v>
      </c>
      <c r="J202" t="str">
        <f>PROPER(TRIM(sales_data!G202))</f>
        <v>Furniture</v>
      </c>
      <c r="K202" t="str">
        <f>PROPER(TRIM(sales_data!J202))</f>
        <v>Returning</v>
      </c>
      <c r="L202" t="str">
        <f>PROPER(TRIM(sales_data!L202))</f>
        <v>Credit Card</v>
      </c>
      <c r="M202" t="str">
        <f>PROPER(TRIM(sales_data!M202))</f>
        <v>Retail</v>
      </c>
      <c r="N202">
        <f t="shared" si="13"/>
        <v>431.36999999999989</v>
      </c>
      <c r="O202">
        <f t="shared" si="14"/>
        <v>17254.799999999996</v>
      </c>
      <c r="P202" t="str">
        <f t="shared" si="15"/>
        <v>May</v>
      </c>
    </row>
    <row r="203" spans="1:16" x14ac:dyDescent="0.25">
      <c r="A203">
        <v>1062</v>
      </c>
      <c r="B203" s="1">
        <v>45126</v>
      </c>
      <c r="C203">
        <f t="shared" si="12"/>
        <v>28104.068000000003</v>
      </c>
      <c r="D203">
        <v>10</v>
      </c>
      <c r="E203">
        <v>2940.4</v>
      </c>
      <c r="F203">
        <v>3054.79</v>
      </c>
      <c r="G203">
        <v>0.08</v>
      </c>
      <c r="H203" t="str">
        <f>PROPER(TRIM(sales_data!C203))</f>
        <v>Charlie</v>
      </c>
      <c r="I203" t="str">
        <f>PROPER(TRIM(sales_data!D203))</f>
        <v>North</v>
      </c>
      <c r="J203" t="str">
        <f>PROPER(TRIM(sales_data!G203))</f>
        <v>Electronics</v>
      </c>
      <c r="K203" t="str">
        <f>PROPER(TRIM(sales_data!J203))</f>
        <v>Returning</v>
      </c>
      <c r="L203" t="str">
        <f>PROPER(TRIM(sales_data!L203))</f>
        <v>Credit Card</v>
      </c>
      <c r="M203" t="str">
        <f>PROPER(TRIM(sales_data!M203))</f>
        <v>Online</v>
      </c>
      <c r="N203">
        <f t="shared" si="13"/>
        <v>114.38999999999987</v>
      </c>
      <c r="O203">
        <f t="shared" si="14"/>
        <v>1143.8999999999987</v>
      </c>
      <c r="P203" t="str">
        <f t="shared" si="15"/>
        <v>Jul</v>
      </c>
    </row>
    <row r="204" spans="1:16" x14ac:dyDescent="0.25">
      <c r="A204">
        <v>1037</v>
      </c>
      <c r="B204" s="1">
        <v>44949</v>
      </c>
      <c r="C204">
        <f t="shared" si="12"/>
        <v>26266.169999999813</v>
      </c>
      <c r="D204">
        <v>25</v>
      </c>
      <c r="E204">
        <v>1074.6199999999999</v>
      </c>
      <c r="F204">
        <v>1382.4299999999901</v>
      </c>
      <c r="G204">
        <v>0.24</v>
      </c>
      <c r="H204" t="str">
        <f>PROPER(TRIM(sales_data!C204))</f>
        <v>Charlie</v>
      </c>
      <c r="I204" t="str">
        <f>PROPER(TRIM(sales_data!D204))</f>
        <v>East</v>
      </c>
      <c r="J204" t="str">
        <f>PROPER(TRIM(sales_data!G204))</f>
        <v>Food</v>
      </c>
      <c r="K204" t="str">
        <f>PROPER(TRIM(sales_data!J204))</f>
        <v>Returning</v>
      </c>
      <c r="L204" t="str">
        <f>PROPER(TRIM(sales_data!L204))</f>
        <v>Credit Card</v>
      </c>
      <c r="M204" t="str">
        <f>PROPER(TRIM(sales_data!M204))</f>
        <v>Retail</v>
      </c>
      <c r="N204">
        <f t="shared" si="13"/>
        <v>307.80999999999017</v>
      </c>
      <c r="O204">
        <f t="shared" si="14"/>
        <v>7695.2499999997544</v>
      </c>
      <c r="P204" t="str">
        <f t="shared" si="15"/>
        <v>Jan</v>
      </c>
    </row>
    <row r="205" spans="1:16" x14ac:dyDescent="0.25">
      <c r="A205">
        <v>1097</v>
      </c>
      <c r="B205" s="1">
        <v>45229</v>
      </c>
      <c r="C205">
        <f t="shared" si="12"/>
        <v>196658.2464</v>
      </c>
      <c r="D205">
        <v>49</v>
      </c>
      <c r="E205">
        <v>4264.46</v>
      </c>
      <c r="F205">
        <v>4315.5200000000004</v>
      </c>
      <c r="G205">
        <v>7.0000000000000007E-2</v>
      </c>
      <c r="H205" t="str">
        <f>PROPER(TRIM(sales_data!C205))</f>
        <v>Eve</v>
      </c>
      <c r="I205" t="str">
        <f>PROPER(TRIM(sales_data!D205))</f>
        <v>West</v>
      </c>
      <c r="J205" t="str">
        <f>PROPER(TRIM(sales_data!G205))</f>
        <v>Electronics</v>
      </c>
      <c r="K205" t="str">
        <f>PROPER(TRIM(sales_data!J205))</f>
        <v>New</v>
      </c>
      <c r="L205" t="str">
        <f>PROPER(TRIM(sales_data!L205))</f>
        <v>Cash</v>
      </c>
      <c r="M205" t="str">
        <f>PROPER(TRIM(sales_data!M205))</f>
        <v>Retail</v>
      </c>
      <c r="N205">
        <f t="shared" si="13"/>
        <v>51.0600000000004</v>
      </c>
      <c r="O205">
        <f t="shared" si="14"/>
        <v>2501.9400000000196</v>
      </c>
      <c r="P205" t="str">
        <f t="shared" si="15"/>
        <v>Oct</v>
      </c>
    </row>
    <row r="206" spans="1:16" x14ac:dyDescent="0.25">
      <c r="A206">
        <v>1051</v>
      </c>
      <c r="B206" s="1">
        <v>45272</v>
      </c>
      <c r="C206">
        <f t="shared" si="12"/>
        <v>5070.1440000000002</v>
      </c>
      <c r="D206">
        <v>8</v>
      </c>
      <c r="E206">
        <v>467.11</v>
      </c>
      <c r="F206">
        <v>792.21</v>
      </c>
      <c r="G206">
        <v>0.2</v>
      </c>
      <c r="H206" t="str">
        <f>PROPER(TRIM(sales_data!C206))</f>
        <v>Eve</v>
      </c>
      <c r="I206" t="str">
        <f>PROPER(TRIM(sales_data!D206))</f>
        <v>North</v>
      </c>
      <c r="J206" t="str">
        <f>PROPER(TRIM(sales_data!G206))</f>
        <v>Clothing</v>
      </c>
      <c r="K206" t="str">
        <f>PROPER(TRIM(sales_data!J206))</f>
        <v>New</v>
      </c>
      <c r="L206" t="str">
        <f>PROPER(TRIM(sales_data!L206))</f>
        <v>Credit Card</v>
      </c>
      <c r="M206" t="str">
        <f>PROPER(TRIM(sales_data!M206))</f>
        <v>Online</v>
      </c>
      <c r="N206">
        <f t="shared" si="13"/>
        <v>325.10000000000002</v>
      </c>
      <c r="O206">
        <f t="shared" si="14"/>
        <v>2600.8000000000002</v>
      </c>
      <c r="P206" t="str">
        <f t="shared" si="15"/>
        <v>Dec</v>
      </c>
    </row>
    <row r="207" spans="1:16" x14ac:dyDescent="0.25">
      <c r="A207">
        <v>1044</v>
      </c>
      <c r="B207" s="1">
        <v>45228</v>
      </c>
      <c r="C207">
        <f t="shared" si="12"/>
        <v>22226.556000000004</v>
      </c>
      <c r="D207">
        <v>11</v>
      </c>
      <c r="E207">
        <v>1812.66</v>
      </c>
      <c r="F207">
        <v>2196.3000000000002</v>
      </c>
      <c r="G207">
        <v>0.08</v>
      </c>
      <c r="H207" t="str">
        <f>PROPER(TRIM(sales_data!C207))</f>
        <v>Charlie</v>
      </c>
      <c r="I207" t="str">
        <f>PROPER(TRIM(sales_data!D207))</f>
        <v>North</v>
      </c>
      <c r="J207" t="str">
        <f>PROPER(TRIM(sales_data!G207))</f>
        <v>Clothing</v>
      </c>
      <c r="K207" t="str">
        <f>PROPER(TRIM(sales_data!J207))</f>
        <v>New</v>
      </c>
      <c r="L207" t="str">
        <f>PROPER(TRIM(sales_data!L207))</f>
        <v>Cash</v>
      </c>
      <c r="M207" t="str">
        <f>PROPER(TRIM(sales_data!M207))</f>
        <v>Online</v>
      </c>
      <c r="N207">
        <f t="shared" si="13"/>
        <v>383.6400000000001</v>
      </c>
      <c r="O207">
        <f t="shared" si="14"/>
        <v>4220.0400000000009</v>
      </c>
      <c r="P207" t="str">
        <f t="shared" si="15"/>
        <v>Oct</v>
      </c>
    </row>
    <row r="208" spans="1:16" x14ac:dyDescent="0.25">
      <c r="A208">
        <v>1024</v>
      </c>
      <c r="B208" s="1">
        <v>45289</v>
      </c>
      <c r="C208">
        <f t="shared" si="12"/>
        <v>13557.997999999998</v>
      </c>
      <c r="D208">
        <v>5</v>
      </c>
      <c r="E208">
        <v>3417.9</v>
      </c>
      <c r="F208">
        <v>3714.52</v>
      </c>
      <c r="G208">
        <v>0.27</v>
      </c>
      <c r="H208" t="str">
        <f>PROPER(TRIM(sales_data!C208))</f>
        <v>Eve</v>
      </c>
      <c r="I208" t="str">
        <f>PROPER(TRIM(sales_data!D208))</f>
        <v>North</v>
      </c>
      <c r="J208" t="str">
        <f>PROPER(TRIM(sales_data!G208))</f>
        <v>Furniture</v>
      </c>
      <c r="K208" t="str">
        <f>PROPER(TRIM(sales_data!J208))</f>
        <v>Returning</v>
      </c>
      <c r="L208" t="str">
        <f>PROPER(TRIM(sales_data!L208))</f>
        <v>Credit Card</v>
      </c>
      <c r="M208" t="str">
        <f>PROPER(TRIM(sales_data!M208))</f>
        <v>Retail</v>
      </c>
      <c r="N208">
        <f t="shared" si="13"/>
        <v>296.61999999999989</v>
      </c>
      <c r="O208">
        <f t="shared" si="14"/>
        <v>1483.0999999999995</v>
      </c>
      <c r="P208" t="str">
        <f t="shared" si="15"/>
        <v>Dec</v>
      </c>
    </row>
    <row r="209" spans="1:16" x14ac:dyDescent="0.25">
      <c r="A209">
        <v>1079</v>
      </c>
      <c r="B209" s="1">
        <v>45144</v>
      </c>
      <c r="C209">
        <f t="shared" si="12"/>
        <v>57793.522499999999</v>
      </c>
      <c r="D209">
        <v>45</v>
      </c>
      <c r="E209">
        <v>1406.9</v>
      </c>
      <c r="F209">
        <v>1547.35</v>
      </c>
      <c r="G209">
        <v>0.17</v>
      </c>
      <c r="H209" t="str">
        <f>PROPER(TRIM(sales_data!C209))</f>
        <v>David</v>
      </c>
      <c r="I209" t="str">
        <f>PROPER(TRIM(sales_data!D209))</f>
        <v>North</v>
      </c>
      <c r="J209" t="str">
        <f>PROPER(TRIM(sales_data!G209))</f>
        <v>Clothing</v>
      </c>
      <c r="K209" t="str">
        <f>PROPER(TRIM(sales_data!J209))</f>
        <v>New</v>
      </c>
      <c r="L209" t="str">
        <f>PROPER(TRIM(sales_data!L209))</f>
        <v>Cash</v>
      </c>
      <c r="M209" t="str">
        <f>PROPER(TRIM(sales_data!M209))</f>
        <v>Retail</v>
      </c>
      <c r="N209">
        <f t="shared" si="13"/>
        <v>140.44999999999982</v>
      </c>
      <c r="O209">
        <f t="shared" si="14"/>
        <v>6320.2499999999918</v>
      </c>
      <c r="P209" t="str">
        <f t="shared" si="15"/>
        <v>Aug</v>
      </c>
    </row>
    <row r="210" spans="1:16" x14ac:dyDescent="0.25">
      <c r="A210">
        <v>1059</v>
      </c>
      <c r="B210" s="1">
        <v>45067</v>
      </c>
      <c r="C210">
        <f t="shared" si="12"/>
        <v>145114.33299999963</v>
      </c>
      <c r="D210">
        <v>37</v>
      </c>
      <c r="E210">
        <v>4146.99</v>
      </c>
      <c r="F210">
        <v>4172.3499999999904</v>
      </c>
      <c r="G210">
        <v>0.06</v>
      </c>
      <c r="H210" t="str">
        <f>PROPER(TRIM(sales_data!C210))</f>
        <v>Alice</v>
      </c>
      <c r="I210" t="str">
        <f>PROPER(TRIM(sales_data!D210))</f>
        <v>North</v>
      </c>
      <c r="J210" t="str">
        <f>PROPER(TRIM(sales_data!G210))</f>
        <v>Electronics</v>
      </c>
      <c r="K210" t="str">
        <f>PROPER(TRIM(sales_data!J210))</f>
        <v>Returning</v>
      </c>
      <c r="L210" t="str">
        <f>PROPER(TRIM(sales_data!L210))</f>
        <v>Cash</v>
      </c>
      <c r="M210" t="str">
        <f>PROPER(TRIM(sales_data!M210))</f>
        <v>Retail</v>
      </c>
      <c r="N210">
        <f t="shared" si="13"/>
        <v>25.359999999990578</v>
      </c>
      <c r="O210">
        <f t="shared" si="14"/>
        <v>938.31999999965137</v>
      </c>
      <c r="P210" t="str">
        <f t="shared" si="15"/>
        <v>May</v>
      </c>
    </row>
    <row r="211" spans="1:16" x14ac:dyDescent="0.25">
      <c r="A211">
        <v>1032</v>
      </c>
      <c r="B211" s="1">
        <v>45030</v>
      </c>
      <c r="C211">
        <f t="shared" si="12"/>
        <v>158229.82800000001</v>
      </c>
      <c r="D211">
        <v>45</v>
      </c>
      <c r="E211">
        <v>3712.35</v>
      </c>
      <c r="F211">
        <v>3780.88</v>
      </c>
      <c r="G211">
        <v>7.0000000000000007E-2</v>
      </c>
      <c r="H211" t="str">
        <f>PROPER(TRIM(sales_data!C211))</f>
        <v>David</v>
      </c>
      <c r="I211" t="str">
        <f>PROPER(TRIM(sales_data!D211))</f>
        <v>North</v>
      </c>
      <c r="J211" t="str">
        <f>PROPER(TRIM(sales_data!G211))</f>
        <v>Clothing</v>
      </c>
      <c r="K211" t="str">
        <f>PROPER(TRIM(sales_data!J211))</f>
        <v>New</v>
      </c>
      <c r="L211" t="str">
        <f>PROPER(TRIM(sales_data!L211))</f>
        <v>Cash</v>
      </c>
      <c r="M211" t="str">
        <f>PROPER(TRIM(sales_data!M211))</f>
        <v>Retail</v>
      </c>
      <c r="N211">
        <f t="shared" si="13"/>
        <v>68.5300000000002</v>
      </c>
      <c r="O211">
        <f t="shared" si="14"/>
        <v>3083.850000000009</v>
      </c>
      <c r="P211" t="str">
        <f t="shared" si="15"/>
        <v>Apr</v>
      </c>
    </row>
    <row r="212" spans="1:16" x14ac:dyDescent="0.25">
      <c r="A212">
        <v>1096</v>
      </c>
      <c r="B212" s="1">
        <v>45136</v>
      </c>
      <c r="C212">
        <f t="shared" si="12"/>
        <v>137940.057</v>
      </c>
      <c r="D212">
        <v>38</v>
      </c>
      <c r="E212">
        <v>3955.66</v>
      </c>
      <c r="F212">
        <v>4270.59</v>
      </c>
      <c r="G212">
        <v>0.15</v>
      </c>
      <c r="H212" t="str">
        <f>PROPER(TRIM(sales_data!C212))</f>
        <v>Charlie</v>
      </c>
      <c r="I212" t="str">
        <f>PROPER(TRIM(sales_data!D212))</f>
        <v>West</v>
      </c>
      <c r="J212" t="str">
        <f>PROPER(TRIM(sales_data!G212))</f>
        <v>Electronics</v>
      </c>
      <c r="K212" t="str">
        <f>PROPER(TRIM(sales_data!J212))</f>
        <v>Returning</v>
      </c>
      <c r="L212" t="str">
        <f>PROPER(TRIM(sales_data!L212))</f>
        <v>Credit Card</v>
      </c>
      <c r="M212" t="str">
        <f>PROPER(TRIM(sales_data!M212))</f>
        <v>Online</v>
      </c>
      <c r="N212">
        <f t="shared" si="13"/>
        <v>314.93000000000029</v>
      </c>
      <c r="O212">
        <f t="shared" si="14"/>
        <v>11967.340000000011</v>
      </c>
      <c r="P212" t="str">
        <f t="shared" si="15"/>
        <v>Jul</v>
      </c>
    </row>
    <row r="213" spans="1:16" x14ac:dyDescent="0.25">
      <c r="A213">
        <v>1088</v>
      </c>
      <c r="B213" s="1">
        <v>45037</v>
      </c>
      <c r="C213">
        <f t="shared" si="12"/>
        <v>22802.395500000002</v>
      </c>
      <c r="D213">
        <v>29</v>
      </c>
      <c r="E213">
        <v>639.58000000000004</v>
      </c>
      <c r="F213">
        <v>1107.45</v>
      </c>
      <c r="G213">
        <v>0.28999999999999998</v>
      </c>
      <c r="H213" t="str">
        <f>PROPER(TRIM(sales_data!C213))</f>
        <v>Charlie</v>
      </c>
      <c r="I213" t="str">
        <f>PROPER(TRIM(sales_data!D213))</f>
        <v>East</v>
      </c>
      <c r="J213" t="str">
        <f>PROPER(TRIM(sales_data!G213))</f>
        <v>Furniture</v>
      </c>
      <c r="K213" t="str">
        <f>PROPER(TRIM(sales_data!J213))</f>
        <v>New</v>
      </c>
      <c r="L213" t="str">
        <f>PROPER(TRIM(sales_data!L213))</f>
        <v>Cash</v>
      </c>
      <c r="M213" t="str">
        <f>PROPER(TRIM(sales_data!M213))</f>
        <v>Retail</v>
      </c>
      <c r="N213">
        <f t="shared" si="13"/>
        <v>467.87</v>
      </c>
      <c r="O213">
        <f t="shared" si="14"/>
        <v>13568.23</v>
      </c>
      <c r="P213" t="str">
        <f t="shared" si="15"/>
        <v>Apr</v>
      </c>
    </row>
    <row r="214" spans="1:16" x14ac:dyDescent="0.25">
      <c r="A214">
        <v>1052</v>
      </c>
      <c r="B214" s="1">
        <v>45030</v>
      </c>
      <c r="C214">
        <f t="shared" si="12"/>
        <v>3299.1035000000002</v>
      </c>
      <c r="D214">
        <v>5</v>
      </c>
      <c r="E214">
        <v>745.71</v>
      </c>
      <c r="F214">
        <v>856.91</v>
      </c>
      <c r="G214">
        <v>0.23</v>
      </c>
      <c r="H214" t="str">
        <f>PROPER(TRIM(sales_data!C214))</f>
        <v>David</v>
      </c>
      <c r="I214" t="str">
        <f>PROPER(TRIM(sales_data!D214))</f>
        <v>North</v>
      </c>
      <c r="J214" t="str">
        <f>PROPER(TRIM(sales_data!G214))</f>
        <v>Furniture</v>
      </c>
      <c r="K214" t="str">
        <f>PROPER(TRIM(sales_data!J214))</f>
        <v>Returning</v>
      </c>
      <c r="L214" t="str">
        <f>PROPER(TRIM(sales_data!L214))</f>
        <v>Bank Transfer</v>
      </c>
      <c r="M214" t="str">
        <f>PROPER(TRIM(sales_data!M214))</f>
        <v>Retail</v>
      </c>
      <c r="N214">
        <f t="shared" si="13"/>
        <v>111.19999999999993</v>
      </c>
      <c r="O214">
        <f t="shared" si="14"/>
        <v>555.99999999999966</v>
      </c>
      <c r="P214" t="str">
        <f t="shared" si="15"/>
        <v>Apr</v>
      </c>
    </row>
    <row r="215" spans="1:16" x14ac:dyDescent="0.25">
      <c r="A215">
        <v>1062</v>
      </c>
      <c r="B215" s="1">
        <v>45242</v>
      </c>
      <c r="C215">
        <f t="shared" si="12"/>
        <v>14062.306499999999</v>
      </c>
      <c r="D215">
        <v>9</v>
      </c>
      <c r="E215">
        <v>1468.05</v>
      </c>
      <c r="F215">
        <v>1838.21</v>
      </c>
      <c r="G215">
        <v>0.15</v>
      </c>
      <c r="H215" t="str">
        <f>PROPER(TRIM(sales_data!C215))</f>
        <v>Eve</v>
      </c>
      <c r="I215" t="str">
        <f>PROPER(TRIM(sales_data!D215))</f>
        <v>South</v>
      </c>
      <c r="J215" t="str">
        <f>PROPER(TRIM(sales_data!G215))</f>
        <v>Electronics</v>
      </c>
      <c r="K215" t="str">
        <f>PROPER(TRIM(sales_data!J215))</f>
        <v>New</v>
      </c>
      <c r="L215" t="str">
        <f>PROPER(TRIM(sales_data!L215))</f>
        <v>Bank Transfer</v>
      </c>
      <c r="M215" t="str">
        <f>PROPER(TRIM(sales_data!M215))</f>
        <v>Retail</v>
      </c>
      <c r="N215">
        <f t="shared" si="13"/>
        <v>370.16000000000008</v>
      </c>
      <c r="O215">
        <f t="shared" si="14"/>
        <v>3331.4400000000005</v>
      </c>
      <c r="P215" t="str">
        <f t="shared" si="15"/>
        <v>Nov</v>
      </c>
    </row>
    <row r="216" spans="1:16" x14ac:dyDescent="0.25">
      <c r="A216">
        <v>1058</v>
      </c>
      <c r="B216" s="1">
        <v>45097</v>
      </c>
      <c r="C216">
        <f t="shared" si="12"/>
        <v>131718.52799999999</v>
      </c>
      <c r="D216">
        <v>48</v>
      </c>
      <c r="E216">
        <v>2614.48</v>
      </c>
      <c r="F216">
        <v>3049.04</v>
      </c>
      <c r="G216">
        <v>0.1</v>
      </c>
      <c r="H216" t="str">
        <f>PROPER(TRIM(sales_data!C216))</f>
        <v>Eve</v>
      </c>
      <c r="I216" t="str">
        <f>PROPER(TRIM(sales_data!D216))</f>
        <v>West</v>
      </c>
      <c r="J216" t="str">
        <f>PROPER(TRIM(sales_data!G216))</f>
        <v>Clothing</v>
      </c>
      <c r="K216" t="str">
        <f>PROPER(TRIM(sales_data!J216))</f>
        <v>New</v>
      </c>
      <c r="L216" t="str">
        <f>PROPER(TRIM(sales_data!L216))</f>
        <v>Credit Card</v>
      </c>
      <c r="M216" t="str">
        <f>PROPER(TRIM(sales_data!M216))</f>
        <v>Retail</v>
      </c>
      <c r="N216">
        <f t="shared" si="13"/>
        <v>434.55999999999995</v>
      </c>
      <c r="O216">
        <f t="shared" si="14"/>
        <v>20858.879999999997</v>
      </c>
      <c r="P216" t="str">
        <f t="shared" si="15"/>
        <v>Jun</v>
      </c>
    </row>
    <row r="217" spans="1:16" x14ac:dyDescent="0.25">
      <c r="A217">
        <v>1052</v>
      </c>
      <c r="B217" s="1">
        <v>45282</v>
      </c>
      <c r="C217">
        <f t="shared" si="12"/>
        <v>6750.0887999999995</v>
      </c>
      <c r="D217">
        <v>2</v>
      </c>
      <c r="E217">
        <v>3752.68</v>
      </c>
      <c r="F217">
        <v>4017.91</v>
      </c>
      <c r="G217">
        <v>0.16</v>
      </c>
      <c r="H217" t="str">
        <f>PROPER(TRIM(sales_data!C217))</f>
        <v>Charlie</v>
      </c>
      <c r="I217" t="str">
        <f>PROPER(TRIM(sales_data!D217))</f>
        <v>West</v>
      </c>
      <c r="J217" t="str">
        <f>PROPER(TRIM(sales_data!G217))</f>
        <v>Furniture</v>
      </c>
      <c r="K217" t="str">
        <f>PROPER(TRIM(sales_data!J217))</f>
        <v>Returning</v>
      </c>
      <c r="L217" t="str">
        <f>PROPER(TRIM(sales_data!L217))</f>
        <v>Bank Transfer</v>
      </c>
      <c r="M217" t="str">
        <f>PROPER(TRIM(sales_data!M217))</f>
        <v>Online</v>
      </c>
      <c r="N217">
        <f t="shared" si="13"/>
        <v>265.23</v>
      </c>
      <c r="O217">
        <f t="shared" si="14"/>
        <v>530.46</v>
      </c>
      <c r="P217" t="str">
        <f t="shared" si="15"/>
        <v>Dec</v>
      </c>
    </row>
    <row r="218" spans="1:16" x14ac:dyDescent="0.25">
      <c r="A218">
        <v>1012</v>
      </c>
      <c r="B218" s="1">
        <v>45250</v>
      </c>
      <c r="C218">
        <f t="shared" si="12"/>
        <v>3532.4405999999926</v>
      </c>
      <c r="D218">
        <v>1</v>
      </c>
      <c r="E218">
        <v>4190.83</v>
      </c>
      <c r="F218">
        <v>4528.7699999999904</v>
      </c>
      <c r="G218">
        <v>0.22</v>
      </c>
      <c r="H218" t="str">
        <f>PROPER(TRIM(sales_data!C218))</f>
        <v>Bob</v>
      </c>
      <c r="I218" t="str">
        <f>PROPER(TRIM(sales_data!D218))</f>
        <v>North</v>
      </c>
      <c r="J218" t="str">
        <f>PROPER(TRIM(sales_data!G218))</f>
        <v>Food</v>
      </c>
      <c r="K218" t="str">
        <f>PROPER(TRIM(sales_data!J218))</f>
        <v>Returning</v>
      </c>
      <c r="L218" t="str">
        <f>PROPER(TRIM(sales_data!L218))</f>
        <v>Bank Transfer</v>
      </c>
      <c r="M218" t="str">
        <f>PROPER(TRIM(sales_data!M218))</f>
        <v>Online</v>
      </c>
      <c r="N218">
        <f t="shared" si="13"/>
        <v>337.9399999999905</v>
      </c>
      <c r="O218">
        <f t="shared" si="14"/>
        <v>337.9399999999905</v>
      </c>
      <c r="P218" t="str">
        <f t="shared" si="15"/>
        <v>Nov</v>
      </c>
    </row>
    <row r="219" spans="1:16" x14ac:dyDescent="0.25">
      <c r="A219">
        <v>1039</v>
      </c>
      <c r="B219" s="1">
        <v>45059</v>
      </c>
      <c r="C219">
        <f t="shared" si="12"/>
        <v>119952.92800000001</v>
      </c>
      <c r="D219">
        <v>40</v>
      </c>
      <c r="E219">
        <v>3536.46</v>
      </c>
      <c r="F219">
        <v>3945.82</v>
      </c>
      <c r="G219">
        <v>0.24</v>
      </c>
      <c r="H219" t="str">
        <f>PROPER(TRIM(sales_data!C219))</f>
        <v>Eve</v>
      </c>
      <c r="I219" t="str">
        <f>PROPER(TRIM(sales_data!D219))</f>
        <v>West</v>
      </c>
      <c r="J219" t="str">
        <f>PROPER(TRIM(sales_data!G219))</f>
        <v>Furniture</v>
      </c>
      <c r="K219" t="str">
        <f>PROPER(TRIM(sales_data!J219))</f>
        <v>New</v>
      </c>
      <c r="L219" t="str">
        <f>PROPER(TRIM(sales_data!L219))</f>
        <v>Bank Transfer</v>
      </c>
      <c r="M219" t="str">
        <f>PROPER(TRIM(sales_data!M219))</f>
        <v>Online</v>
      </c>
      <c r="N219">
        <f t="shared" si="13"/>
        <v>409.36000000000013</v>
      </c>
      <c r="O219">
        <f t="shared" si="14"/>
        <v>16374.400000000005</v>
      </c>
      <c r="P219" t="str">
        <f t="shared" si="15"/>
        <v>May</v>
      </c>
    </row>
    <row r="220" spans="1:16" x14ac:dyDescent="0.25">
      <c r="A220">
        <v>1002</v>
      </c>
      <c r="B220" s="1">
        <v>45219</v>
      </c>
      <c r="C220">
        <f t="shared" si="12"/>
        <v>129175.56</v>
      </c>
      <c r="D220">
        <v>30</v>
      </c>
      <c r="E220">
        <v>4646.55</v>
      </c>
      <c r="F220">
        <v>4784.28</v>
      </c>
      <c r="G220">
        <v>0.1</v>
      </c>
      <c r="H220" t="str">
        <f>PROPER(TRIM(sales_data!C220))</f>
        <v>David</v>
      </c>
      <c r="I220" t="str">
        <f>PROPER(TRIM(sales_data!D220))</f>
        <v>North</v>
      </c>
      <c r="J220" t="str">
        <f>PROPER(TRIM(sales_data!G220))</f>
        <v>Clothing</v>
      </c>
      <c r="K220" t="str">
        <f>PROPER(TRIM(sales_data!J220))</f>
        <v>Returning</v>
      </c>
      <c r="L220" t="str">
        <f>PROPER(TRIM(sales_data!L220))</f>
        <v>Credit Card</v>
      </c>
      <c r="M220" t="str">
        <f>PROPER(TRIM(sales_data!M220))</f>
        <v>Retail</v>
      </c>
      <c r="N220">
        <f t="shared" si="13"/>
        <v>137.72999999999956</v>
      </c>
      <c r="O220">
        <f t="shared" si="14"/>
        <v>4131.8999999999869</v>
      </c>
      <c r="P220" t="str">
        <f t="shared" si="15"/>
        <v>Oct</v>
      </c>
    </row>
    <row r="221" spans="1:16" x14ac:dyDescent="0.25">
      <c r="A221">
        <v>1003</v>
      </c>
      <c r="B221" s="1">
        <v>45254</v>
      </c>
      <c r="C221">
        <f t="shared" si="12"/>
        <v>33138.190800000004</v>
      </c>
      <c r="D221">
        <v>11</v>
      </c>
      <c r="E221">
        <v>3706.78</v>
      </c>
      <c r="F221">
        <v>3862.26</v>
      </c>
      <c r="G221">
        <v>0.22</v>
      </c>
      <c r="H221" t="str">
        <f>PROPER(TRIM(sales_data!C221))</f>
        <v>Eve</v>
      </c>
      <c r="I221" t="str">
        <f>PROPER(TRIM(sales_data!D221))</f>
        <v>East</v>
      </c>
      <c r="J221" t="str">
        <f>PROPER(TRIM(sales_data!G221))</f>
        <v>Food</v>
      </c>
      <c r="K221" t="str">
        <f>PROPER(TRIM(sales_data!J221))</f>
        <v>New</v>
      </c>
      <c r="L221" t="str">
        <f>PROPER(TRIM(sales_data!L221))</f>
        <v>Credit Card</v>
      </c>
      <c r="M221" t="str">
        <f>PROPER(TRIM(sales_data!M221))</f>
        <v>Retail</v>
      </c>
      <c r="N221">
        <f t="shared" si="13"/>
        <v>155.48000000000002</v>
      </c>
      <c r="O221">
        <f t="shared" si="14"/>
        <v>1710.2800000000002</v>
      </c>
      <c r="P221" t="str">
        <f t="shared" si="15"/>
        <v>Nov</v>
      </c>
    </row>
    <row r="222" spans="1:16" x14ac:dyDescent="0.25">
      <c r="A222">
        <v>1056</v>
      </c>
      <c r="B222" s="1">
        <v>45053</v>
      </c>
      <c r="C222">
        <f t="shared" si="12"/>
        <v>35310.015999999996</v>
      </c>
      <c r="D222">
        <v>28</v>
      </c>
      <c r="E222">
        <v>1566.03</v>
      </c>
      <c r="F222">
        <v>1576.34</v>
      </c>
      <c r="G222">
        <v>0.2</v>
      </c>
      <c r="H222" t="str">
        <f>PROPER(TRIM(sales_data!C222))</f>
        <v>David</v>
      </c>
      <c r="I222" t="str">
        <f>PROPER(TRIM(sales_data!D222))</f>
        <v>East</v>
      </c>
      <c r="J222" t="str">
        <f>PROPER(TRIM(sales_data!G222))</f>
        <v>Clothing</v>
      </c>
      <c r="K222" t="str">
        <f>PROPER(TRIM(sales_data!J222))</f>
        <v>Returning</v>
      </c>
      <c r="L222" t="str">
        <f>PROPER(TRIM(sales_data!L222))</f>
        <v>Bank Transfer</v>
      </c>
      <c r="M222" t="str">
        <f>PROPER(TRIM(sales_data!M222))</f>
        <v>Online</v>
      </c>
      <c r="N222">
        <f t="shared" si="13"/>
        <v>10.309999999999945</v>
      </c>
      <c r="O222">
        <f t="shared" si="14"/>
        <v>288.67999999999847</v>
      </c>
      <c r="P222" t="str">
        <f t="shared" si="15"/>
        <v>May</v>
      </c>
    </row>
    <row r="223" spans="1:16" x14ac:dyDescent="0.25">
      <c r="A223">
        <v>1081</v>
      </c>
      <c r="B223" s="1">
        <v>45032</v>
      </c>
      <c r="C223">
        <f t="shared" si="12"/>
        <v>57608.746800000001</v>
      </c>
      <c r="D223">
        <v>44</v>
      </c>
      <c r="E223">
        <v>1362.15</v>
      </c>
      <c r="F223">
        <v>1844.07</v>
      </c>
      <c r="G223">
        <v>0.28999999999999998</v>
      </c>
      <c r="H223" t="str">
        <f>PROPER(TRIM(sales_data!C223))</f>
        <v>Charlie</v>
      </c>
      <c r="I223" t="str">
        <f>PROPER(TRIM(sales_data!D223))</f>
        <v>West</v>
      </c>
      <c r="J223" t="str">
        <f>PROPER(TRIM(sales_data!G223))</f>
        <v>Electronics</v>
      </c>
      <c r="K223" t="str">
        <f>PROPER(TRIM(sales_data!J223))</f>
        <v>New</v>
      </c>
      <c r="L223" t="str">
        <f>PROPER(TRIM(sales_data!L223))</f>
        <v>Credit Card</v>
      </c>
      <c r="M223" t="str">
        <f>PROPER(TRIM(sales_data!M223))</f>
        <v>Online</v>
      </c>
      <c r="N223">
        <f t="shared" si="13"/>
        <v>481.91999999999985</v>
      </c>
      <c r="O223">
        <f t="shared" si="14"/>
        <v>21204.479999999992</v>
      </c>
      <c r="P223" t="str">
        <f t="shared" si="15"/>
        <v>Apr</v>
      </c>
    </row>
    <row r="224" spans="1:16" x14ac:dyDescent="0.25">
      <c r="A224">
        <v>1059</v>
      </c>
      <c r="B224" s="1">
        <v>45018</v>
      </c>
      <c r="C224">
        <f t="shared" si="12"/>
        <v>34177.68</v>
      </c>
      <c r="D224">
        <v>12</v>
      </c>
      <c r="E224">
        <v>3496.15</v>
      </c>
      <c r="F224">
        <v>3955.75</v>
      </c>
      <c r="G224">
        <v>0.28000000000000003</v>
      </c>
      <c r="H224" t="str">
        <f>PROPER(TRIM(sales_data!C224))</f>
        <v>Eve</v>
      </c>
      <c r="I224" t="str">
        <f>PROPER(TRIM(sales_data!D224))</f>
        <v>West</v>
      </c>
      <c r="J224" t="str">
        <f>PROPER(TRIM(sales_data!G224))</f>
        <v>Food</v>
      </c>
      <c r="K224" t="str">
        <f>PROPER(TRIM(sales_data!J224))</f>
        <v>Returning</v>
      </c>
      <c r="L224" t="str">
        <f>PROPER(TRIM(sales_data!L224))</f>
        <v>Cash</v>
      </c>
      <c r="M224" t="str">
        <f>PROPER(TRIM(sales_data!M224))</f>
        <v>Retail</v>
      </c>
      <c r="N224">
        <f t="shared" si="13"/>
        <v>459.59999999999991</v>
      </c>
      <c r="O224">
        <f t="shared" si="14"/>
        <v>5515.1999999999989</v>
      </c>
      <c r="P224" t="str">
        <f t="shared" si="15"/>
        <v>Apr</v>
      </c>
    </row>
    <row r="225" spans="1:16" x14ac:dyDescent="0.25">
      <c r="A225">
        <v>1002</v>
      </c>
      <c r="B225" s="1">
        <v>45213</v>
      </c>
      <c r="C225">
        <f t="shared" si="12"/>
        <v>41180.333999999995</v>
      </c>
      <c r="D225">
        <v>39</v>
      </c>
      <c r="E225">
        <v>1004.71</v>
      </c>
      <c r="F225">
        <v>1389.35</v>
      </c>
      <c r="G225">
        <v>0.24</v>
      </c>
      <c r="H225" t="str">
        <f>PROPER(TRIM(sales_data!C225))</f>
        <v>David</v>
      </c>
      <c r="I225" t="str">
        <f>PROPER(TRIM(sales_data!D225))</f>
        <v>South</v>
      </c>
      <c r="J225" t="str">
        <f>PROPER(TRIM(sales_data!G225))</f>
        <v>Clothing</v>
      </c>
      <c r="K225" t="str">
        <f>PROPER(TRIM(sales_data!J225))</f>
        <v>New</v>
      </c>
      <c r="L225" t="str">
        <f>PROPER(TRIM(sales_data!L225))</f>
        <v>Bank Transfer</v>
      </c>
      <c r="M225" t="str">
        <f>PROPER(TRIM(sales_data!M225))</f>
        <v>Online</v>
      </c>
      <c r="N225">
        <f t="shared" si="13"/>
        <v>384.63999999999987</v>
      </c>
      <c r="O225">
        <f t="shared" si="14"/>
        <v>15000.959999999995</v>
      </c>
      <c r="P225" t="str">
        <f t="shared" si="15"/>
        <v>Oct</v>
      </c>
    </row>
    <row r="226" spans="1:16" x14ac:dyDescent="0.25">
      <c r="A226">
        <v>1002</v>
      </c>
      <c r="B226" s="1">
        <v>44977</v>
      </c>
      <c r="C226">
        <f t="shared" si="12"/>
        <v>11309.953200000002</v>
      </c>
      <c r="D226">
        <v>26</v>
      </c>
      <c r="E226">
        <v>508.94</v>
      </c>
      <c r="F226">
        <v>557.69000000000005</v>
      </c>
      <c r="G226">
        <v>0.22</v>
      </c>
      <c r="H226" t="str">
        <f>PROPER(TRIM(sales_data!C226))</f>
        <v>Charlie</v>
      </c>
      <c r="I226" t="str">
        <f>PROPER(TRIM(sales_data!D226))</f>
        <v>West</v>
      </c>
      <c r="J226" t="str">
        <f>PROPER(TRIM(sales_data!G226))</f>
        <v>Food</v>
      </c>
      <c r="K226" t="str">
        <f>PROPER(TRIM(sales_data!J226))</f>
        <v>New</v>
      </c>
      <c r="L226" t="str">
        <f>PROPER(TRIM(sales_data!L226))</f>
        <v>Credit Card</v>
      </c>
      <c r="M226" t="str">
        <f>PROPER(TRIM(sales_data!M226))</f>
        <v>Retail</v>
      </c>
      <c r="N226">
        <f t="shared" si="13"/>
        <v>48.750000000000057</v>
      </c>
      <c r="O226">
        <f t="shared" si="14"/>
        <v>1267.5000000000014</v>
      </c>
      <c r="P226" t="str">
        <f t="shared" si="15"/>
        <v>Feb</v>
      </c>
    </row>
    <row r="227" spans="1:16" x14ac:dyDescent="0.25">
      <c r="A227">
        <v>1092</v>
      </c>
      <c r="B227" s="1">
        <v>44955</v>
      </c>
      <c r="C227">
        <f t="shared" si="12"/>
        <v>34848.808799999999</v>
      </c>
      <c r="D227">
        <v>13</v>
      </c>
      <c r="E227">
        <v>2684.5</v>
      </c>
      <c r="F227">
        <v>2913.78</v>
      </c>
      <c r="G227">
        <v>0.08</v>
      </c>
      <c r="H227" t="str">
        <f>PROPER(TRIM(sales_data!C227))</f>
        <v>Bob</v>
      </c>
      <c r="I227" t="str">
        <f>PROPER(TRIM(sales_data!D227))</f>
        <v>South</v>
      </c>
      <c r="J227" t="str">
        <f>PROPER(TRIM(sales_data!G227))</f>
        <v>Clothing</v>
      </c>
      <c r="K227" t="str">
        <f>PROPER(TRIM(sales_data!J227))</f>
        <v>New</v>
      </c>
      <c r="L227" t="str">
        <f>PROPER(TRIM(sales_data!L227))</f>
        <v>Credit Card</v>
      </c>
      <c r="M227" t="str">
        <f>PROPER(TRIM(sales_data!M227))</f>
        <v>Retail</v>
      </c>
      <c r="N227">
        <f t="shared" si="13"/>
        <v>229.2800000000002</v>
      </c>
      <c r="O227">
        <f t="shared" si="14"/>
        <v>2980.6400000000026</v>
      </c>
      <c r="P227" t="str">
        <f t="shared" si="15"/>
        <v>Jan</v>
      </c>
    </row>
    <row r="228" spans="1:16" x14ac:dyDescent="0.25">
      <c r="A228">
        <v>1054</v>
      </c>
      <c r="B228" s="1">
        <v>45222</v>
      </c>
      <c r="C228">
        <f t="shared" si="12"/>
        <v>25062.36</v>
      </c>
      <c r="D228">
        <v>8</v>
      </c>
      <c r="E228">
        <v>4117.13</v>
      </c>
      <c r="F228">
        <v>4177.0600000000004</v>
      </c>
      <c r="G228">
        <v>0.25</v>
      </c>
      <c r="H228" t="str">
        <f>PROPER(TRIM(sales_data!C228))</f>
        <v>David</v>
      </c>
      <c r="I228" t="str">
        <f>PROPER(TRIM(sales_data!D228))</f>
        <v>East</v>
      </c>
      <c r="J228" t="str">
        <f>PROPER(TRIM(sales_data!G228))</f>
        <v>Food</v>
      </c>
      <c r="K228" t="str">
        <f>PROPER(TRIM(sales_data!J228))</f>
        <v>Returning</v>
      </c>
      <c r="L228" t="str">
        <f>PROPER(TRIM(sales_data!L228))</f>
        <v>Bank Transfer</v>
      </c>
      <c r="M228" t="str">
        <f>PROPER(TRIM(sales_data!M228))</f>
        <v>Retail</v>
      </c>
      <c r="N228">
        <f t="shared" si="13"/>
        <v>59.930000000000291</v>
      </c>
      <c r="O228">
        <f t="shared" si="14"/>
        <v>479.44000000000233</v>
      </c>
      <c r="P228" t="str">
        <f t="shared" si="15"/>
        <v>Oct</v>
      </c>
    </row>
    <row r="229" spans="1:16" x14ac:dyDescent="0.25">
      <c r="A229">
        <v>1087</v>
      </c>
      <c r="B229" s="1">
        <v>45223</v>
      </c>
      <c r="C229">
        <f t="shared" si="12"/>
        <v>13876.186799999999</v>
      </c>
      <c r="D229">
        <v>28</v>
      </c>
      <c r="E229">
        <v>551.83000000000004</v>
      </c>
      <c r="F229">
        <v>569.63</v>
      </c>
      <c r="G229">
        <v>0.13</v>
      </c>
      <c r="H229" t="str">
        <f>PROPER(TRIM(sales_data!C229))</f>
        <v>Bob</v>
      </c>
      <c r="I229" t="str">
        <f>PROPER(TRIM(sales_data!D229))</f>
        <v>East</v>
      </c>
      <c r="J229" t="str">
        <f>PROPER(TRIM(sales_data!G229))</f>
        <v>Clothing</v>
      </c>
      <c r="K229" t="str">
        <f>PROPER(TRIM(sales_data!J229))</f>
        <v>New</v>
      </c>
      <c r="L229" t="str">
        <f>PROPER(TRIM(sales_data!L229))</f>
        <v>Credit Card</v>
      </c>
      <c r="M229" t="str">
        <f>PROPER(TRIM(sales_data!M229))</f>
        <v>Retail</v>
      </c>
      <c r="N229">
        <f t="shared" si="13"/>
        <v>17.799999999999955</v>
      </c>
      <c r="O229">
        <f t="shared" si="14"/>
        <v>498.39999999999873</v>
      </c>
      <c r="P229" t="str">
        <f t="shared" si="15"/>
        <v>Oct</v>
      </c>
    </row>
    <row r="230" spans="1:16" x14ac:dyDescent="0.25">
      <c r="A230">
        <v>1096</v>
      </c>
      <c r="B230" s="1">
        <v>45140</v>
      </c>
      <c r="C230">
        <f t="shared" si="12"/>
        <v>118177.40400000001</v>
      </c>
      <c r="D230">
        <v>30</v>
      </c>
      <c r="E230">
        <v>3969.86</v>
      </c>
      <c r="F230">
        <v>4281.79</v>
      </c>
      <c r="G230">
        <v>0.08</v>
      </c>
      <c r="H230" t="str">
        <f>PROPER(TRIM(sales_data!C230))</f>
        <v>Bob</v>
      </c>
      <c r="I230" t="str">
        <f>PROPER(TRIM(sales_data!D230))</f>
        <v>North</v>
      </c>
      <c r="J230" t="str">
        <f>PROPER(TRIM(sales_data!G230))</f>
        <v>Electronics</v>
      </c>
      <c r="K230" t="str">
        <f>PROPER(TRIM(sales_data!J230))</f>
        <v>Returning</v>
      </c>
      <c r="L230" t="str">
        <f>PROPER(TRIM(sales_data!L230))</f>
        <v>Bank Transfer</v>
      </c>
      <c r="M230" t="str">
        <f>PROPER(TRIM(sales_data!M230))</f>
        <v>Retail</v>
      </c>
      <c r="N230">
        <f t="shared" si="13"/>
        <v>311.92999999999984</v>
      </c>
      <c r="O230">
        <f t="shared" si="14"/>
        <v>9357.8999999999942</v>
      </c>
      <c r="P230" t="str">
        <f t="shared" si="15"/>
        <v>Aug</v>
      </c>
    </row>
    <row r="231" spans="1:16" x14ac:dyDescent="0.25">
      <c r="A231">
        <v>1097</v>
      </c>
      <c r="B231" s="1">
        <v>45193</v>
      </c>
      <c r="C231">
        <f t="shared" si="12"/>
        <v>36020.872799999997</v>
      </c>
      <c r="D231">
        <v>9</v>
      </c>
      <c r="E231">
        <v>4067.28</v>
      </c>
      <c r="F231">
        <v>4548.09</v>
      </c>
      <c r="G231">
        <v>0.12</v>
      </c>
      <c r="H231" t="str">
        <f>PROPER(TRIM(sales_data!C231))</f>
        <v>Alice</v>
      </c>
      <c r="I231" t="str">
        <f>PROPER(TRIM(sales_data!D231))</f>
        <v>East</v>
      </c>
      <c r="J231" t="str">
        <f>PROPER(TRIM(sales_data!G231))</f>
        <v>Food</v>
      </c>
      <c r="K231" t="str">
        <f>PROPER(TRIM(sales_data!J231))</f>
        <v>Returning</v>
      </c>
      <c r="L231" t="str">
        <f>PROPER(TRIM(sales_data!L231))</f>
        <v>Credit Card</v>
      </c>
      <c r="M231" t="str">
        <f>PROPER(TRIM(sales_data!M231))</f>
        <v>Retail</v>
      </c>
      <c r="N231">
        <f t="shared" si="13"/>
        <v>480.80999999999995</v>
      </c>
      <c r="O231">
        <f t="shared" si="14"/>
        <v>4327.2899999999991</v>
      </c>
      <c r="P231" t="str">
        <f t="shared" si="15"/>
        <v>Sep</v>
      </c>
    </row>
    <row r="232" spans="1:16" x14ac:dyDescent="0.25">
      <c r="A232">
        <v>1001</v>
      </c>
      <c r="B232" s="1">
        <v>45183</v>
      </c>
      <c r="C232">
        <f t="shared" si="12"/>
        <v>84522.847500000003</v>
      </c>
      <c r="D232">
        <v>39</v>
      </c>
      <c r="E232">
        <v>2437.2600000000002</v>
      </c>
      <c r="F232">
        <v>2889.67</v>
      </c>
      <c r="G232">
        <v>0.25</v>
      </c>
      <c r="H232" t="str">
        <f>PROPER(TRIM(sales_data!C232))</f>
        <v>Eve</v>
      </c>
      <c r="I232" t="str">
        <f>PROPER(TRIM(sales_data!D232))</f>
        <v>South</v>
      </c>
      <c r="J232" t="str">
        <f>PROPER(TRIM(sales_data!G232))</f>
        <v>Food</v>
      </c>
      <c r="K232" t="str">
        <f>PROPER(TRIM(sales_data!J232))</f>
        <v>Returning</v>
      </c>
      <c r="L232" t="str">
        <f>PROPER(TRIM(sales_data!L232))</f>
        <v>Cash</v>
      </c>
      <c r="M232" t="str">
        <f>PROPER(TRIM(sales_data!M232))</f>
        <v>Online</v>
      </c>
      <c r="N232">
        <f t="shared" si="13"/>
        <v>452.40999999999985</v>
      </c>
      <c r="O232">
        <f t="shared" si="14"/>
        <v>17643.989999999994</v>
      </c>
      <c r="P232" t="str">
        <f t="shared" si="15"/>
        <v>Sep</v>
      </c>
    </row>
    <row r="233" spans="1:16" x14ac:dyDescent="0.25">
      <c r="A233">
        <v>1019</v>
      </c>
      <c r="B233" s="1">
        <v>45228</v>
      </c>
      <c r="C233">
        <f t="shared" si="12"/>
        <v>20388.576000000001</v>
      </c>
      <c r="D233">
        <v>31</v>
      </c>
      <c r="E233">
        <v>333.69</v>
      </c>
      <c r="F233">
        <v>685.1</v>
      </c>
      <c r="G233">
        <v>0.04</v>
      </c>
      <c r="H233" t="str">
        <f>PROPER(TRIM(sales_data!C233))</f>
        <v>David</v>
      </c>
      <c r="I233" t="str">
        <f>PROPER(TRIM(sales_data!D233))</f>
        <v>West</v>
      </c>
      <c r="J233" t="str">
        <f>PROPER(TRIM(sales_data!G233))</f>
        <v>Food</v>
      </c>
      <c r="K233" t="str">
        <f>PROPER(TRIM(sales_data!J233))</f>
        <v>New</v>
      </c>
      <c r="L233" t="str">
        <f>PROPER(TRIM(sales_data!L233))</f>
        <v>Bank Transfer</v>
      </c>
      <c r="M233" t="str">
        <f>PROPER(TRIM(sales_data!M233))</f>
        <v>Online</v>
      </c>
      <c r="N233">
        <f t="shared" si="13"/>
        <v>351.41</v>
      </c>
      <c r="O233">
        <f t="shared" si="14"/>
        <v>10893.710000000001</v>
      </c>
      <c r="P233" t="str">
        <f t="shared" si="15"/>
        <v>Oct</v>
      </c>
    </row>
    <row r="234" spans="1:16" x14ac:dyDescent="0.25">
      <c r="A234">
        <v>1002</v>
      </c>
      <c r="B234" s="1">
        <v>45027</v>
      </c>
      <c r="C234">
        <f t="shared" si="12"/>
        <v>17546.554200000002</v>
      </c>
      <c r="D234">
        <v>21</v>
      </c>
      <c r="E234">
        <v>914.22</v>
      </c>
      <c r="F234">
        <v>971.57</v>
      </c>
      <c r="G234">
        <v>0.14000000000000001</v>
      </c>
      <c r="H234" t="str">
        <f>PROPER(TRIM(sales_data!C234))</f>
        <v>Bob</v>
      </c>
      <c r="I234" t="str">
        <f>PROPER(TRIM(sales_data!D234))</f>
        <v>North</v>
      </c>
      <c r="J234" t="str">
        <f>PROPER(TRIM(sales_data!G234))</f>
        <v>Food</v>
      </c>
      <c r="K234" t="str">
        <f>PROPER(TRIM(sales_data!J234))</f>
        <v>Returning</v>
      </c>
      <c r="L234" t="str">
        <f>PROPER(TRIM(sales_data!L234))</f>
        <v>Cash</v>
      </c>
      <c r="M234" t="str">
        <f>PROPER(TRIM(sales_data!M234))</f>
        <v>Online</v>
      </c>
      <c r="N234">
        <f t="shared" si="13"/>
        <v>57.350000000000023</v>
      </c>
      <c r="O234">
        <f t="shared" si="14"/>
        <v>1204.3500000000004</v>
      </c>
      <c r="P234" t="str">
        <f t="shared" si="15"/>
        <v>Apr</v>
      </c>
    </row>
    <row r="235" spans="1:16" x14ac:dyDescent="0.25">
      <c r="A235">
        <v>1053</v>
      </c>
      <c r="B235" s="1">
        <v>45272</v>
      </c>
      <c r="C235">
        <f t="shared" si="12"/>
        <v>147659.19499999998</v>
      </c>
      <c r="D235">
        <v>47</v>
      </c>
      <c r="E235">
        <v>3551.76</v>
      </c>
      <c r="F235">
        <v>3696.1</v>
      </c>
      <c r="G235">
        <v>0.15</v>
      </c>
      <c r="H235" t="str">
        <f>PROPER(TRIM(sales_data!C235))</f>
        <v>Alice</v>
      </c>
      <c r="I235" t="str">
        <f>PROPER(TRIM(sales_data!D235))</f>
        <v>South</v>
      </c>
      <c r="J235" t="str">
        <f>PROPER(TRIM(sales_data!G235))</f>
        <v>Electronics</v>
      </c>
      <c r="K235" t="str">
        <f>PROPER(TRIM(sales_data!J235))</f>
        <v>Returning</v>
      </c>
      <c r="L235" t="str">
        <f>PROPER(TRIM(sales_data!L235))</f>
        <v>Bank Transfer</v>
      </c>
      <c r="M235" t="str">
        <f>PROPER(TRIM(sales_data!M235))</f>
        <v>Retail</v>
      </c>
      <c r="N235">
        <f t="shared" si="13"/>
        <v>144.33999999999969</v>
      </c>
      <c r="O235">
        <f t="shared" si="14"/>
        <v>6783.979999999985</v>
      </c>
      <c r="P235" t="str">
        <f t="shared" si="15"/>
        <v>Dec</v>
      </c>
    </row>
    <row r="236" spans="1:16" x14ac:dyDescent="0.25">
      <c r="A236">
        <v>1044</v>
      </c>
      <c r="B236" s="1">
        <v>45036</v>
      </c>
      <c r="C236">
        <f t="shared" si="12"/>
        <v>125892.7758</v>
      </c>
      <c r="D236">
        <v>34</v>
      </c>
      <c r="E236">
        <v>3573.3</v>
      </c>
      <c r="F236">
        <v>3740.13</v>
      </c>
      <c r="G236">
        <v>0.01</v>
      </c>
      <c r="H236" t="str">
        <f>PROPER(TRIM(sales_data!C236))</f>
        <v>Charlie</v>
      </c>
      <c r="I236" t="str">
        <f>PROPER(TRIM(sales_data!D236))</f>
        <v>West</v>
      </c>
      <c r="J236" t="str">
        <f>PROPER(TRIM(sales_data!G236))</f>
        <v>Food</v>
      </c>
      <c r="K236" t="str">
        <f>PROPER(TRIM(sales_data!J236))</f>
        <v>Returning</v>
      </c>
      <c r="L236" t="str">
        <f>PROPER(TRIM(sales_data!L236))</f>
        <v>Credit Card</v>
      </c>
      <c r="M236" t="str">
        <f>PROPER(TRIM(sales_data!M236))</f>
        <v>Online</v>
      </c>
      <c r="N236">
        <f t="shared" si="13"/>
        <v>166.82999999999993</v>
      </c>
      <c r="O236">
        <f t="shared" si="14"/>
        <v>5672.2199999999975</v>
      </c>
      <c r="P236" t="str">
        <f t="shared" si="15"/>
        <v>Apr</v>
      </c>
    </row>
    <row r="237" spans="1:16" x14ac:dyDescent="0.25">
      <c r="A237">
        <v>1090</v>
      </c>
      <c r="B237" s="1">
        <v>45108</v>
      </c>
      <c r="C237">
        <f t="shared" si="12"/>
        <v>142226.5119999997</v>
      </c>
      <c r="D237">
        <v>31</v>
      </c>
      <c r="E237">
        <v>4496.8599999999997</v>
      </c>
      <c r="F237">
        <v>4880.7999999999902</v>
      </c>
      <c r="G237">
        <v>0.06</v>
      </c>
      <c r="H237" t="str">
        <f>PROPER(TRIM(sales_data!C237))</f>
        <v>David</v>
      </c>
      <c r="I237" t="str">
        <f>PROPER(TRIM(sales_data!D237))</f>
        <v>North</v>
      </c>
      <c r="J237" t="str">
        <f>PROPER(TRIM(sales_data!G237))</f>
        <v>Furniture</v>
      </c>
      <c r="K237" t="str">
        <f>PROPER(TRIM(sales_data!J237))</f>
        <v>New</v>
      </c>
      <c r="L237" t="str">
        <f>PROPER(TRIM(sales_data!L237))</f>
        <v>Cash</v>
      </c>
      <c r="M237" t="str">
        <f>PROPER(TRIM(sales_data!M237))</f>
        <v>Retail</v>
      </c>
      <c r="N237">
        <f t="shared" si="13"/>
        <v>383.9399999999905</v>
      </c>
      <c r="O237">
        <f t="shared" si="14"/>
        <v>11902.139999999705</v>
      </c>
      <c r="P237" t="str">
        <f t="shared" si="15"/>
        <v>Jul</v>
      </c>
    </row>
    <row r="238" spans="1:16" x14ac:dyDescent="0.25">
      <c r="A238">
        <v>1032</v>
      </c>
      <c r="B238" s="1">
        <v>45239</v>
      </c>
      <c r="C238">
        <f t="shared" si="12"/>
        <v>62576.25</v>
      </c>
      <c r="D238">
        <v>25</v>
      </c>
      <c r="E238">
        <v>2934.3</v>
      </c>
      <c r="F238">
        <v>3337.4</v>
      </c>
      <c r="G238">
        <v>0.25</v>
      </c>
      <c r="H238" t="str">
        <f>PROPER(TRIM(sales_data!C238))</f>
        <v>Bob</v>
      </c>
      <c r="I238" t="str">
        <f>PROPER(TRIM(sales_data!D238))</f>
        <v>East</v>
      </c>
      <c r="J238" t="str">
        <f>PROPER(TRIM(sales_data!G238))</f>
        <v>Electronics</v>
      </c>
      <c r="K238" t="str">
        <f>PROPER(TRIM(sales_data!J238))</f>
        <v>Returning</v>
      </c>
      <c r="L238" t="str">
        <f>PROPER(TRIM(sales_data!L238))</f>
        <v>Credit Card</v>
      </c>
      <c r="M238" t="str">
        <f>PROPER(TRIM(sales_data!M238))</f>
        <v>Retail</v>
      </c>
      <c r="N238">
        <f t="shared" si="13"/>
        <v>403.09999999999991</v>
      </c>
      <c r="O238">
        <f t="shared" si="14"/>
        <v>10077.499999999998</v>
      </c>
      <c r="P238" t="str">
        <f t="shared" si="15"/>
        <v>Nov</v>
      </c>
    </row>
    <row r="239" spans="1:16" x14ac:dyDescent="0.25">
      <c r="A239">
        <v>1070</v>
      </c>
      <c r="B239" s="1">
        <v>44927</v>
      </c>
      <c r="C239">
        <f t="shared" si="12"/>
        <v>7767.27</v>
      </c>
      <c r="D239">
        <v>12</v>
      </c>
      <c r="E239">
        <v>664.33</v>
      </c>
      <c r="F239">
        <v>863.03</v>
      </c>
      <c r="G239">
        <v>0.25</v>
      </c>
      <c r="H239" t="str">
        <f>PROPER(TRIM(sales_data!C239))</f>
        <v>Eve</v>
      </c>
      <c r="I239" t="str">
        <f>PROPER(TRIM(sales_data!D239))</f>
        <v>South</v>
      </c>
      <c r="J239" t="str">
        <f>PROPER(TRIM(sales_data!G239))</f>
        <v>Furniture</v>
      </c>
      <c r="K239" t="str">
        <f>PROPER(TRIM(sales_data!J239))</f>
        <v>Returning</v>
      </c>
      <c r="L239" t="str">
        <f>PROPER(TRIM(sales_data!L239))</f>
        <v>Bank Transfer</v>
      </c>
      <c r="M239" t="str">
        <f>PROPER(TRIM(sales_data!M239))</f>
        <v>Retail</v>
      </c>
      <c r="N239">
        <f t="shared" si="13"/>
        <v>198.69999999999993</v>
      </c>
      <c r="O239">
        <f t="shared" si="14"/>
        <v>2384.3999999999992</v>
      </c>
      <c r="P239" t="str">
        <f t="shared" si="15"/>
        <v>Jan</v>
      </c>
    </row>
    <row r="240" spans="1:16" x14ac:dyDescent="0.25">
      <c r="A240">
        <v>1032</v>
      </c>
      <c r="B240" s="1">
        <v>45245</v>
      </c>
      <c r="C240">
        <f t="shared" si="12"/>
        <v>787.84159999999997</v>
      </c>
      <c r="D240">
        <v>1</v>
      </c>
      <c r="E240">
        <v>651</v>
      </c>
      <c r="F240">
        <v>865.76</v>
      </c>
      <c r="G240">
        <v>0.09</v>
      </c>
      <c r="H240" t="str">
        <f>PROPER(TRIM(sales_data!C240))</f>
        <v>Alice</v>
      </c>
      <c r="I240" t="str">
        <f>PROPER(TRIM(sales_data!D240))</f>
        <v>West</v>
      </c>
      <c r="J240" t="str">
        <f>PROPER(TRIM(sales_data!G240))</f>
        <v>Food</v>
      </c>
      <c r="K240" t="str">
        <f>PROPER(TRIM(sales_data!J240))</f>
        <v>Returning</v>
      </c>
      <c r="L240" t="str">
        <f>PROPER(TRIM(sales_data!L240))</f>
        <v>Bank Transfer</v>
      </c>
      <c r="M240" t="str">
        <f>PROPER(TRIM(sales_data!M240))</f>
        <v>Retail</v>
      </c>
      <c r="N240">
        <f t="shared" si="13"/>
        <v>214.76</v>
      </c>
      <c r="O240">
        <f t="shared" si="14"/>
        <v>214.76</v>
      </c>
      <c r="P240" t="str">
        <f t="shared" si="15"/>
        <v>Nov</v>
      </c>
    </row>
    <row r="241" spans="1:16" x14ac:dyDescent="0.25">
      <c r="A241">
        <v>1068</v>
      </c>
      <c r="B241" s="1">
        <v>44981</v>
      </c>
      <c r="C241">
        <f t="shared" si="12"/>
        <v>59445.117600000005</v>
      </c>
      <c r="D241">
        <v>22</v>
      </c>
      <c r="E241">
        <v>3619.61</v>
      </c>
      <c r="F241">
        <v>3651.42</v>
      </c>
      <c r="G241">
        <v>0.26</v>
      </c>
      <c r="H241" t="str">
        <f>PROPER(TRIM(sales_data!C241))</f>
        <v>Bob</v>
      </c>
      <c r="I241" t="str">
        <f>PROPER(TRIM(sales_data!D241))</f>
        <v>North</v>
      </c>
      <c r="J241" t="str">
        <f>PROPER(TRIM(sales_data!G241))</f>
        <v>Clothing</v>
      </c>
      <c r="K241" t="str">
        <f>PROPER(TRIM(sales_data!J241))</f>
        <v>Returning</v>
      </c>
      <c r="L241" t="str">
        <f>PROPER(TRIM(sales_data!L241))</f>
        <v>Bank Transfer</v>
      </c>
      <c r="M241" t="str">
        <f>PROPER(TRIM(sales_data!M241))</f>
        <v>Online</v>
      </c>
      <c r="N241">
        <f t="shared" si="13"/>
        <v>31.809999999999945</v>
      </c>
      <c r="O241">
        <f t="shared" si="14"/>
        <v>699.8199999999988</v>
      </c>
      <c r="P241" t="str">
        <f t="shared" si="15"/>
        <v>Feb</v>
      </c>
    </row>
    <row r="242" spans="1:16" x14ac:dyDescent="0.25">
      <c r="A242">
        <v>1055</v>
      </c>
      <c r="B242" s="1">
        <v>45075</v>
      </c>
      <c r="C242">
        <f t="shared" si="12"/>
        <v>34231.428</v>
      </c>
      <c r="D242">
        <v>40</v>
      </c>
      <c r="E242">
        <v>959.73</v>
      </c>
      <c r="F242">
        <v>1111.4100000000001</v>
      </c>
      <c r="G242">
        <v>0.23</v>
      </c>
      <c r="H242" t="str">
        <f>PROPER(TRIM(sales_data!C242))</f>
        <v>Eve</v>
      </c>
      <c r="I242" t="str">
        <f>PROPER(TRIM(sales_data!D242))</f>
        <v>North</v>
      </c>
      <c r="J242" t="str">
        <f>PROPER(TRIM(sales_data!G242))</f>
        <v>Furniture</v>
      </c>
      <c r="K242" t="str">
        <f>PROPER(TRIM(sales_data!J242))</f>
        <v>New</v>
      </c>
      <c r="L242" t="str">
        <f>PROPER(TRIM(sales_data!L242))</f>
        <v>Bank Transfer</v>
      </c>
      <c r="M242" t="str">
        <f>PROPER(TRIM(sales_data!M242))</f>
        <v>Online</v>
      </c>
      <c r="N242">
        <f t="shared" si="13"/>
        <v>151.68000000000006</v>
      </c>
      <c r="O242">
        <f t="shared" si="14"/>
        <v>6067.2000000000025</v>
      </c>
      <c r="P242" t="str">
        <f t="shared" si="15"/>
        <v>May</v>
      </c>
    </row>
    <row r="243" spans="1:16" x14ac:dyDescent="0.25">
      <c r="A243">
        <v>1075</v>
      </c>
      <c r="B243" s="1">
        <v>45235</v>
      </c>
      <c r="C243">
        <f t="shared" si="12"/>
        <v>61374.741599999674</v>
      </c>
      <c r="D243">
        <v>37</v>
      </c>
      <c r="E243">
        <v>1675.51</v>
      </c>
      <c r="F243">
        <v>1906.6399999999901</v>
      </c>
      <c r="G243">
        <v>0.13</v>
      </c>
      <c r="H243" t="str">
        <f>PROPER(TRIM(sales_data!C243))</f>
        <v>Bob</v>
      </c>
      <c r="I243" t="str">
        <f>PROPER(TRIM(sales_data!D243))</f>
        <v>East</v>
      </c>
      <c r="J243" t="str">
        <f>PROPER(TRIM(sales_data!G243))</f>
        <v>Food</v>
      </c>
      <c r="K243" t="str">
        <f>PROPER(TRIM(sales_data!J243))</f>
        <v>New</v>
      </c>
      <c r="L243" t="str">
        <f>PROPER(TRIM(sales_data!L243))</f>
        <v>Bank Transfer</v>
      </c>
      <c r="M243" t="str">
        <f>PROPER(TRIM(sales_data!M243))</f>
        <v>Online</v>
      </c>
      <c r="N243">
        <f t="shared" si="13"/>
        <v>231.1299999999901</v>
      </c>
      <c r="O243">
        <f t="shared" si="14"/>
        <v>8551.8099999996339</v>
      </c>
      <c r="P243" t="str">
        <f t="shared" si="15"/>
        <v>Nov</v>
      </c>
    </row>
    <row r="244" spans="1:16" x14ac:dyDescent="0.25">
      <c r="A244">
        <v>1056</v>
      </c>
      <c r="B244" s="1">
        <v>45063</v>
      </c>
      <c r="C244">
        <f t="shared" si="12"/>
        <v>92713.873200000002</v>
      </c>
      <c r="D244">
        <v>47</v>
      </c>
      <c r="E244">
        <v>2461.6999999999998</v>
      </c>
      <c r="F244">
        <v>2529.02</v>
      </c>
      <c r="G244">
        <v>0.22</v>
      </c>
      <c r="H244" t="str">
        <f>PROPER(TRIM(sales_data!C244))</f>
        <v>David</v>
      </c>
      <c r="I244" t="str">
        <f>PROPER(TRIM(sales_data!D244))</f>
        <v>West</v>
      </c>
      <c r="J244" t="str">
        <f>PROPER(TRIM(sales_data!G244))</f>
        <v>Furniture</v>
      </c>
      <c r="K244" t="str">
        <f>PROPER(TRIM(sales_data!J244))</f>
        <v>Returning</v>
      </c>
      <c r="L244" t="str">
        <f>PROPER(TRIM(sales_data!L244))</f>
        <v>Cash</v>
      </c>
      <c r="M244" t="str">
        <f>PROPER(TRIM(sales_data!M244))</f>
        <v>Retail</v>
      </c>
      <c r="N244">
        <f t="shared" si="13"/>
        <v>67.320000000000164</v>
      </c>
      <c r="O244">
        <f t="shared" si="14"/>
        <v>3164.0400000000077</v>
      </c>
      <c r="P244" t="str">
        <f t="shared" si="15"/>
        <v>May</v>
      </c>
    </row>
    <row r="245" spans="1:16" x14ac:dyDescent="0.25">
      <c r="A245">
        <v>1017</v>
      </c>
      <c r="B245" s="1">
        <v>45128</v>
      </c>
      <c r="C245">
        <f t="shared" si="12"/>
        <v>287.32990000000001</v>
      </c>
      <c r="D245">
        <v>1</v>
      </c>
      <c r="E245">
        <v>172.59</v>
      </c>
      <c r="F245">
        <v>404.69</v>
      </c>
      <c r="G245">
        <v>0.28999999999999998</v>
      </c>
      <c r="H245" t="str">
        <f>PROPER(TRIM(sales_data!C245))</f>
        <v>David</v>
      </c>
      <c r="I245" t="str">
        <f>PROPER(TRIM(sales_data!D245))</f>
        <v>East</v>
      </c>
      <c r="J245" t="str">
        <f>PROPER(TRIM(sales_data!G245))</f>
        <v>Food</v>
      </c>
      <c r="K245" t="str">
        <f>PROPER(TRIM(sales_data!J245))</f>
        <v>Returning</v>
      </c>
      <c r="L245" t="str">
        <f>PROPER(TRIM(sales_data!L245))</f>
        <v>Bank Transfer</v>
      </c>
      <c r="M245" t="str">
        <f>PROPER(TRIM(sales_data!M245))</f>
        <v>Online</v>
      </c>
      <c r="N245">
        <f t="shared" si="13"/>
        <v>232.1</v>
      </c>
      <c r="O245">
        <f t="shared" si="14"/>
        <v>232.1</v>
      </c>
      <c r="P245" t="str">
        <f t="shared" si="15"/>
        <v>Jul</v>
      </c>
    </row>
    <row r="246" spans="1:16" x14ac:dyDescent="0.25">
      <c r="A246">
        <v>1038</v>
      </c>
      <c r="B246" s="1">
        <v>45239</v>
      </c>
      <c r="C246">
        <f t="shared" si="12"/>
        <v>1470.3506</v>
      </c>
      <c r="D246">
        <v>1</v>
      </c>
      <c r="E246">
        <v>1281.6500000000001</v>
      </c>
      <c r="F246">
        <v>1709.71</v>
      </c>
      <c r="G246">
        <v>0.14000000000000001</v>
      </c>
      <c r="H246" t="str">
        <f>PROPER(TRIM(sales_data!C246))</f>
        <v>David</v>
      </c>
      <c r="I246" t="str">
        <f>PROPER(TRIM(sales_data!D246))</f>
        <v>East</v>
      </c>
      <c r="J246" t="str">
        <f>PROPER(TRIM(sales_data!G246))</f>
        <v>Food</v>
      </c>
      <c r="K246" t="str">
        <f>PROPER(TRIM(sales_data!J246))</f>
        <v>Returning</v>
      </c>
      <c r="L246" t="str">
        <f>PROPER(TRIM(sales_data!L246))</f>
        <v>Credit Card</v>
      </c>
      <c r="M246" t="str">
        <f>PROPER(TRIM(sales_data!M246))</f>
        <v>Online</v>
      </c>
      <c r="N246">
        <f t="shared" si="13"/>
        <v>428.05999999999995</v>
      </c>
      <c r="O246">
        <f t="shared" si="14"/>
        <v>428.05999999999995</v>
      </c>
      <c r="P246" t="str">
        <f t="shared" si="15"/>
        <v>Nov</v>
      </c>
    </row>
    <row r="247" spans="1:16" x14ac:dyDescent="0.25">
      <c r="A247">
        <v>1024</v>
      </c>
      <c r="B247" s="1">
        <v>45043</v>
      </c>
      <c r="C247">
        <f t="shared" si="12"/>
        <v>92333.933999999994</v>
      </c>
      <c r="D247">
        <v>42</v>
      </c>
      <c r="E247">
        <v>2069.0500000000002</v>
      </c>
      <c r="F247">
        <v>2363.9</v>
      </c>
      <c r="G247">
        <v>7.0000000000000007E-2</v>
      </c>
      <c r="H247" t="str">
        <f>PROPER(TRIM(sales_data!C247))</f>
        <v>Alice</v>
      </c>
      <c r="I247" t="str">
        <f>PROPER(TRIM(sales_data!D247))</f>
        <v>West</v>
      </c>
      <c r="J247" t="str">
        <f>PROPER(TRIM(sales_data!G247))</f>
        <v>Food</v>
      </c>
      <c r="K247" t="str">
        <f>PROPER(TRIM(sales_data!J247))</f>
        <v>Returning</v>
      </c>
      <c r="L247" t="str">
        <f>PROPER(TRIM(sales_data!L247))</f>
        <v>Cash</v>
      </c>
      <c r="M247" t="str">
        <f>PROPER(TRIM(sales_data!M247))</f>
        <v>Online</v>
      </c>
      <c r="N247">
        <f t="shared" si="13"/>
        <v>294.84999999999991</v>
      </c>
      <c r="O247">
        <f t="shared" si="14"/>
        <v>12383.699999999997</v>
      </c>
      <c r="P247" t="str">
        <f t="shared" si="15"/>
        <v>Apr</v>
      </c>
    </row>
    <row r="248" spans="1:16" x14ac:dyDescent="0.25">
      <c r="A248">
        <v>1069</v>
      </c>
      <c r="B248" s="1">
        <v>45080</v>
      </c>
      <c r="C248">
        <f t="shared" si="12"/>
        <v>44842.2912</v>
      </c>
      <c r="D248">
        <v>42</v>
      </c>
      <c r="E248">
        <v>1434.2</v>
      </c>
      <c r="F248">
        <v>1482.88</v>
      </c>
      <c r="G248">
        <v>0.28000000000000003</v>
      </c>
      <c r="H248" t="str">
        <f>PROPER(TRIM(sales_data!C248))</f>
        <v>David</v>
      </c>
      <c r="I248" t="str">
        <f>PROPER(TRIM(sales_data!D248))</f>
        <v>West</v>
      </c>
      <c r="J248" t="str">
        <f>PROPER(TRIM(sales_data!G248))</f>
        <v>Clothing</v>
      </c>
      <c r="K248" t="str">
        <f>PROPER(TRIM(sales_data!J248))</f>
        <v>New</v>
      </c>
      <c r="L248" t="str">
        <f>PROPER(TRIM(sales_data!L248))</f>
        <v>Credit Card</v>
      </c>
      <c r="M248" t="str">
        <f>PROPER(TRIM(sales_data!M248))</f>
        <v>Retail</v>
      </c>
      <c r="N248">
        <f t="shared" si="13"/>
        <v>48.680000000000064</v>
      </c>
      <c r="O248">
        <f t="shared" si="14"/>
        <v>2044.5600000000027</v>
      </c>
      <c r="P248" t="str">
        <f t="shared" si="15"/>
        <v>Jun</v>
      </c>
    </row>
    <row r="249" spans="1:16" x14ac:dyDescent="0.25">
      <c r="A249">
        <v>1098</v>
      </c>
      <c r="B249" s="1">
        <v>45217</v>
      </c>
      <c r="C249">
        <f t="shared" si="12"/>
        <v>14274.518999999984</v>
      </c>
      <c r="D249">
        <v>21</v>
      </c>
      <c r="E249">
        <v>725.03</v>
      </c>
      <c r="F249">
        <v>828.94999999999902</v>
      </c>
      <c r="G249">
        <v>0.18</v>
      </c>
      <c r="H249" t="str">
        <f>PROPER(TRIM(sales_data!C249))</f>
        <v>Eve</v>
      </c>
      <c r="I249" t="str">
        <f>PROPER(TRIM(sales_data!D249))</f>
        <v>West</v>
      </c>
      <c r="J249" t="str">
        <f>PROPER(TRIM(sales_data!G249))</f>
        <v>Furniture</v>
      </c>
      <c r="K249" t="str">
        <f>PROPER(TRIM(sales_data!J249))</f>
        <v>New</v>
      </c>
      <c r="L249" t="str">
        <f>PROPER(TRIM(sales_data!L249))</f>
        <v>Bank Transfer</v>
      </c>
      <c r="M249" t="str">
        <f>PROPER(TRIM(sales_data!M249))</f>
        <v>Online</v>
      </c>
      <c r="N249">
        <f t="shared" si="13"/>
        <v>103.91999999999905</v>
      </c>
      <c r="O249">
        <f t="shared" si="14"/>
        <v>2182.3199999999802</v>
      </c>
      <c r="P249" t="str">
        <f t="shared" si="15"/>
        <v>Oct</v>
      </c>
    </row>
    <row r="250" spans="1:16" x14ac:dyDescent="0.25">
      <c r="A250">
        <v>1070</v>
      </c>
      <c r="B250" s="1">
        <v>44989</v>
      </c>
      <c r="C250">
        <f t="shared" si="12"/>
        <v>56689.5645</v>
      </c>
      <c r="D250">
        <v>15</v>
      </c>
      <c r="E250">
        <v>3653.66</v>
      </c>
      <c r="F250">
        <v>3896.19</v>
      </c>
      <c r="G250">
        <v>0.03</v>
      </c>
      <c r="H250" t="str">
        <f>PROPER(TRIM(sales_data!C250))</f>
        <v>Bob</v>
      </c>
      <c r="I250" t="str">
        <f>PROPER(TRIM(sales_data!D250))</f>
        <v>South</v>
      </c>
      <c r="J250" t="str">
        <f>PROPER(TRIM(sales_data!G250))</f>
        <v>Electronics</v>
      </c>
      <c r="K250" t="str">
        <f>PROPER(TRIM(sales_data!J250))</f>
        <v>New</v>
      </c>
      <c r="L250" t="str">
        <f>PROPER(TRIM(sales_data!L250))</f>
        <v>Credit Card</v>
      </c>
      <c r="M250" t="str">
        <f>PROPER(TRIM(sales_data!M250))</f>
        <v>Retail</v>
      </c>
      <c r="N250">
        <f t="shared" si="13"/>
        <v>242.5300000000002</v>
      </c>
      <c r="O250">
        <f t="shared" si="14"/>
        <v>3637.950000000003</v>
      </c>
      <c r="P250" t="str">
        <f t="shared" si="15"/>
        <v>Mar</v>
      </c>
    </row>
    <row r="251" spans="1:16" x14ac:dyDescent="0.25">
      <c r="A251">
        <v>1086</v>
      </c>
      <c r="B251" s="1">
        <v>45170</v>
      </c>
      <c r="C251">
        <f t="shared" si="12"/>
        <v>60139.783100000001</v>
      </c>
      <c r="D251">
        <v>17</v>
      </c>
      <c r="E251">
        <v>4075.08</v>
      </c>
      <c r="F251">
        <v>4262.21</v>
      </c>
      <c r="G251">
        <v>0.17</v>
      </c>
      <c r="H251" t="str">
        <f>PROPER(TRIM(sales_data!C251))</f>
        <v>Charlie</v>
      </c>
      <c r="I251" t="str">
        <f>PROPER(TRIM(sales_data!D251))</f>
        <v>West</v>
      </c>
      <c r="J251" t="str">
        <f>PROPER(TRIM(sales_data!G251))</f>
        <v>Electronics</v>
      </c>
      <c r="K251" t="str">
        <f>PROPER(TRIM(sales_data!J251))</f>
        <v>New</v>
      </c>
      <c r="L251" t="str">
        <f>PROPER(TRIM(sales_data!L251))</f>
        <v>Cash</v>
      </c>
      <c r="M251" t="str">
        <f>PROPER(TRIM(sales_data!M251))</f>
        <v>Online</v>
      </c>
      <c r="N251">
        <f t="shared" si="13"/>
        <v>187.13000000000011</v>
      </c>
      <c r="O251">
        <f t="shared" si="14"/>
        <v>3181.2100000000019</v>
      </c>
      <c r="P251" t="str">
        <f t="shared" si="15"/>
        <v>Sep</v>
      </c>
    </row>
    <row r="252" spans="1:16" x14ac:dyDescent="0.25">
      <c r="A252">
        <v>1011</v>
      </c>
      <c r="B252" s="1">
        <v>44951</v>
      </c>
      <c r="C252">
        <f t="shared" si="12"/>
        <v>28242.609999999997</v>
      </c>
      <c r="D252">
        <v>22</v>
      </c>
      <c r="E252">
        <v>1324.52</v>
      </c>
      <c r="F252">
        <v>1510.3</v>
      </c>
      <c r="G252">
        <v>0.15</v>
      </c>
      <c r="H252" t="str">
        <f>PROPER(TRIM(sales_data!C252))</f>
        <v>Eve</v>
      </c>
      <c r="I252" t="str">
        <f>PROPER(TRIM(sales_data!D252))</f>
        <v>North</v>
      </c>
      <c r="J252" t="str">
        <f>PROPER(TRIM(sales_data!G252))</f>
        <v>Electronics</v>
      </c>
      <c r="K252" t="str">
        <f>PROPER(TRIM(sales_data!J252))</f>
        <v>Returning</v>
      </c>
      <c r="L252" t="str">
        <f>PROPER(TRIM(sales_data!L252))</f>
        <v>Cash</v>
      </c>
      <c r="M252" t="str">
        <f>PROPER(TRIM(sales_data!M252))</f>
        <v>Retail</v>
      </c>
      <c r="N252">
        <f t="shared" si="13"/>
        <v>185.77999999999997</v>
      </c>
      <c r="O252">
        <f t="shared" si="14"/>
        <v>4087.1599999999994</v>
      </c>
      <c r="P252" t="str">
        <f t="shared" si="15"/>
        <v>Jan</v>
      </c>
    </row>
    <row r="253" spans="1:16" x14ac:dyDescent="0.25">
      <c r="A253">
        <v>1016</v>
      </c>
      <c r="B253" s="1">
        <v>45016</v>
      </c>
      <c r="C253">
        <f t="shared" si="12"/>
        <v>116774.48640000001</v>
      </c>
      <c r="D253">
        <v>38</v>
      </c>
      <c r="E253">
        <v>3883.38</v>
      </c>
      <c r="F253">
        <v>4152.72</v>
      </c>
      <c r="G253">
        <v>0.26</v>
      </c>
      <c r="H253" t="str">
        <f>PROPER(TRIM(sales_data!C253))</f>
        <v>Eve</v>
      </c>
      <c r="I253" t="str">
        <f>PROPER(TRIM(sales_data!D253))</f>
        <v>East</v>
      </c>
      <c r="J253" t="str">
        <f>PROPER(TRIM(sales_data!G253))</f>
        <v>Electronics</v>
      </c>
      <c r="K253" t="str">
        <f>PROPER(TRIM(sales_data!J253))</f>
        <v>Returning</v>
      </c>
      <c r="L253" t="str">
        <f>PROPER(TRIM(sales_data!L253))</f>
        <v>Cash</v>
      </c>
      <c r="M253" t="str">
        <f>PROPER(TRIM(sales_data!M253))</f>
        <v>Online</v>
      </c>
      <c r="N253">
        <f t="shared" si="13"/>
        <v>269.34000000000015</v>
      </c>
      <c r="O253">
        <f t="shared" si="14"/>
        <v>10234.920000000006</v>
      </c>
      <c r="P253" t="str">
        <f t="shared" si="15"/>
        <v>Mar</v>
      </c>
    </row>
    <row r="254" spans="1:16" x14ac:dyDescent="0.25">
      <c r="A254">
        <v>1097</v>
      </c>
      <c r="B254" s="1">
        <v>45001</v>
      </c>
      <c r="C254">
        <f t="shared" si="12"/>
        <v>66292.296000000002</v>
      </c>
      <c r="D254">
        <v>35</v>
      </c>
      <c r="E254">
        <v>1958.49</v>
      </c>
      <c r="F254">
        <v>2254.84</v>
      </c>
      <c r="G254">
        <v>0.16</v>
      </c>
      <c r="H254" t="str">
        <f>PROPER(TRIM(sales_data!C254))</f>
        <v>David</v>
      </c>
      <c r="I254" t="str">
        <f>PROPER(TRIM(sales_data!D254))</f>
        <v>South</v>
      </c>
      <c r="J254" t="str">
        <f>PROPER(TRIM(sales_data!G254))</f>
        <v>Food</v>
      </c>
      <c r="K254" t="str">
        <f>PROPER(TRIM(sales_data!J254))</f>
        <v>New</v>
      </c>
      <c r="L254" t="str">
        <f>PROPER(TRIM(sales_data!L254))</f>
        <v>Credit Card</v>
      </c>
      <c r="M254" t="str">
        <f>PROPER(TRIM(sales_data!M254))</f>
        <v>Online</v>
      </c>
      <c r="N254">
        <f t="shared" si="13"/>
        <v>296.35000000000014</v>
      </c>
      <c r="O254">
        <f t="shared" si="14"/>
        <v>10372.250000000005</v>
      </c>
      <c r="P254" t="str">
        <f t="shared" si="15"/>
        <v>Mar</v>
      </c>
    </row>
    <row r="255" spans="1:16" x14ac:dyDescent="0.25">
      <c r="A255">
        <v>1073</v>
      </c>
      <c r="B255" s="1">
        <v>45220</v>
      </c>
      <c r="C255">
        <f t="shared" si="12"/>
        <v>122483.97</v>
      </c>
      <c r="D255">
        <v>45</v>
      </c>
      <c r="E255">
        <v>2558.09</v>
      </c>
      <c r="F255">
        <v>2958.55</v>
      </c>
      <c r="G255">
        <v>0.08</v>
      </c>
      <c r="H255" t="str">
        <f>PROPER(TRIM(sales_data!C255))</f>
        <v>Alice</v>
      </c>
      <c r="I255" t="str">
        <f>PROPER(TRIM(sales_data!D255))</f>
        <v>West</v>
      </c>
      <c r="J255" t="str">
        <f>PROPER(TRIM(sales_data!G255))</f>
        <v>Furniture</v>
      </c>
      <c r="K255" t="str">
        <f>PROPER(TRIM(sales_data!J255))</f>
        <v>New</v>
      </c>
      <c r="L255" t="str">
        <f>PROPER(TRIM(sales_data!L255))</f>
        <v>Cash</v>
      </c>
      <c r="M255" t="str">
        <f>PROPER(TRIM(sales_data!M255))</f>
        <v>Online</v>
      </c>
      <c r="N255">
        <f t="shared" si="13"/>
        <v>400.46000000000004</v>
      </c>
      <c r="O255">
        <f t="shared" si="14"/>
        <v>18020.7</v>
      </c>
      <c r="P255" t="str">
        <f t="shared" si="15"/>
        <v>Oct</v>
      </c>
    </row>
    <row r="256" spans="1:16" x14ac:dyDescent="0.25">
      <c r="A256">
        <v>1059</v>
      </c>
      <c r="B256" s="1">
        <v>45136</v>
      </c>
      <c r="C256">
        <f t="shared" si="12"/>
        <v>57142.784</v>
      </c>
      <c r="D256">
        <v>16</v>
      </c>
      <c r="E256">
        <v>4287.21</v>
      </c>
      <c r="F256">
        <v>4464.28</v>
      </c>
      <c r="G256">
        <v>0.2</v>
      </c>
      <c r="H256" t="str">
        <f>PROPER(TRIM(sales_data!C256))</f>
        <v>Bob</v>
      </c>
      <c r="I256" t="str">
        <f>PROPER(TRIM(sales_data!D256))</f>
        <v>South</v>
      </c>
      <c r="J256" t="str">
        <f>PROPER(TRIM(sales_data!G256))</f>
        <v>Furniture</v>
      </c>
      <c r="K256" t="str">
        <f>PROPER(TRIM(sales_data!J256))</f>
        <v>Returning</v>
      </c>
      <c r="L256" t="str">
        <f>PROPER(TRIM(sales_data!L256))</f>
        <v>Credit Card</v>
      </c>
      <c r="M256" t="str">
        <f>PROPER(TRIM(sales_data!M256))</f>
        <v>Retail</v>
      </c>
      <c r="N256">
        <f t="shared" si="13"/>
        <v>177.06999999999971</v>
      </c>
      <c r="O256">
        <f t="shared" si="14"/>
        <v>2833.1199999999953</v>
      </c>
      <c r="P256" t="str">
        <f t="shared" si="15"/>
        <v>Jul</v>
      </c>
    </row>
    <row r="257" spans="1:16" x14ac:dyDescent="0.25">
      <c r="A257">
        <v>1070</v>
      </c>
      <c r="B257" s="1">
        <v>45273</v>
      </c>
      <c r="C257">
        <f t="shared" si="12"/>
        <v>28001.903999999999</v>
      </c>
      <c r="D257">
        <v>8</v>
      </c>
      <c r="E257">
        <v>3762.27</v>
      </c>
      <c r="F257">
        <v>4166.95</v>
      </c>
      <c r="G257">
        <v>0.16</v>
      </c>
      <c r="H257" t="str">
        <f>PROPER(TRIM(sales_data!C257))</f>
        <v>Alice</v>
      </c>
      <c r="I257" t="str">
        <f>PROPER(TRIM(sales_data!D257))</f>
        <v>West</v>
      </c>
      <c r="J257" t="str">
        <f>PROPER(TRIM(sales_data!G257))</f>
        <v>Clothing</v>
      </c>
      <c r="K257" t="str">
        <f>PROPER(TRIM(sales_data!J257))</f>
        <v>Returning</v>
      </c>
      <c r="L257" t="str">
        <f>PROPER(TRIM(sales_data!L257))</f>
        <v>Bank Transfer</v>
      </c>
      <c r="M257" t="str">
        <f>PROPER(TRIM(sales_data!M257))</f>
        <v>Online</v>
      </c>
      <c r="N257">
        <f t="shared" si="13"/>
        <v>404.67999999999984</v>
      </c>
      <c r="O257">
        <f t="shared" si="14"/>
        <v>3237.4399999999987</v>
      </c>
      <c r="P257" t="str">
        <f t="shared" si="15"/>
        <v>Dec</v>
      </c>
    </row>
    <row r="258" spans="1:16" x14ac:dyDescent="0.25">
      <c r="A258">
        <v>1080</v>
      </c>
      <c r="B258" s="1">
        <v>44943</v>
      </c>
      <c r="C258">
        <f t="shared" ref="C258:C321" si="16">(D258*F258)*(1-G258)</f>
        <v>184073.73749999999</v>
      </c>
      <c r="D258">
        <v>47</v>
      </c>
      <c r="E258">
        <v>4035.33</v>
      </c>
      <c r="F258">
        <v>4211.25</v>
      </c>
      <c r="G258">
        <v>7.0000000000000007E-2</v>
      </c>
      <c r="H258" t="str">
        <f>PROPER(TRIM(sales_data!C258))</f>
        <v>Bob</v>
      </c>
      <c r="I258" t="str">
        <f>PROPER(TRIM(sales_data!D258))</f>
        <v>South</v>
      </c>
      <c r="J258" t="str">
        <f>PROPER(TRIM(sales_data!G258))</f>
        <v>Furniture</v>
      </c>
      <c r="K258" t="str">
        <f>PROPER(TRIM(sales_data!J258))</f>
        <v>Returning</v>
      </c>
      <c r="L258" t="str">
        <f>PROPER(TRIM(sales_data!L258))</f>
        <v>Bank Transfer</v>
      </c>
      <c r="M258" t="str">
        <f>PROPER(TRIM(sales_data!M258))</f>
        <v>Online</v>
      </c>
      <c r="N258">
        <f t="shared" ref="N258:N321" si="17">F258-E258</f>
        <v>175.92000000000007</v>
      </c>
      <c r="O258">
        <f t="shared" ref="O258:O321" si="18">N258*D258</f>
        <v>8268.2400000000034</v>
      </c>
      <c r="P258" t="str">
        <f t="shared" ref="P258:P321" si="19">TEXT(B258,"mmm")</f>
        <v>Jan</v>
      </c>
    </row>
    <row r="259" spans="1:16" x14ac:dyDescent="0.25">
      <c r="A259">
        <v>1093</v>
      </c>
      <c r="B259" s="1">
        <v>45054</v>
      </c>
      <c r="C259">
        <f t="shared" si="16"/>
        <v>10787.6594</v>
      </c>
      <c r="D259">
        <v>17</v>
      </c>
      <c r="E259">
        <v>727.38</v>
      </c>
      <c r="F259">
        <v>764.54</v>
      </c>
      <c r="G259">
        <v>0.17</v>
      </c>
      <c r="H259" t="str">
        <f>PROPER(TRIM(sales_data!C259))</f>
        <v>Bob</v>
      </c>
      <c r="I259" t="str">
        <f>PROPER(TRIM(sales_data!D259))</f>
        <v>East</v>
      </c>
      <c r="J259" t="str">
        <f>PROPER(TRIM(sales_data!G259))</f>
        <v>Furniture</v>
      </c>
      <c r="K259" t="str">
        <f>PROPER(TRIM(sales_data!J259))</f>
        <v>Returning</v>
      </c>
      <c r="L259" t="str">
        <f>PROPER(TRIM(sales_data!L259))</f>
        <v>Credit Card</v>
      </c>
      <c r="M259" t="str">
        <f>PROPER(TRIM(sales_data!M259))</f>
        <v>Retail</v>
      </c>
      <c r="N259">
        <f t="shared" si="17"/>
        <v>37.159999999999968</v>
      </c>
      <c r="O259">
        <f t="shared" si="18"/>
        <v>631.71999999999946</v>
      </c>
      <c r="P259" t="str">
        <f t="shared" si="19"/>
        <v>May</v>
      </c>
    </row>
    <row r="260" spans="1:16" x14ac:dyDescent="0.25">
      <c r="A260">
        <v>1003</v>
      </c>
      <c r="B260" s="1">
        <v>45290</v>
      </c>
      <c r="C260">
        <f t="shared" si="16"/>
        <v>8627.4149999999991</v>
      </c>
      <c r="D260">
        <v>17</v>
      </c>
      <c r="E260">
        <v>395.11</v>
      </c>
      <c r="F260">
        <v>676.66</v>
      </c>
      <c r="G260">
        <v>0.25</v>
      </c>
      <c r="H260" t="str">
        <f>PROPER(TRIM(sales_data!C260))</f>
        <v>Alice</v>
      </c>
      <c r="I260" t="str">
        <f>PROPER(TRIM(sales_data!D260))</f>
        <v>East</v>
      </c>
      <c r="J260" t="str">
        <f>PROPER(TRIM(sales_data!G260))</f>
        <v>Furniture</v>
      </c>
      <c r="K260" t="str">
        <f>PROPER(TRIM(sales_data!J260))</f>
        <v>Returning</v>
      </c>
      <c r="L260" t="str">
        <f>PROPER(TRIM(sales_data!L260))</f>
        <v>Cash</v>
      </c>
      <c r="M260" t="str">
        <f>PROPER(TRIM(sales_data!M260))</f>
        <v>Retail</v>
      </c>
      <c r="N260">
        <f t="shared" si="17"/>
        <v>281.54999999999995</v>
      </c>
      <c r="O260">
        <f t="shared" si="18"/>
        <v>4786.3499999999995</v>
      </c>
      <c r="P260" t="str">
        <f t="shared" si="19"/>
        <v>Dec</v>
      </c>
    </row>
    <row r="261" spans="1:16" x14ac:dyDescent="0.25">
      <c r="A261">
        <v>1020</v>
      </c>
      <c r="B261" s="1">
        <v>45177</v>
      </c>
      <c r="C261">
        <f t="shared" si="16"/>
        <v>122790.61079999999</v>
      </c>
      <c r="D261">
        <v>26</v>
      </c>
      <c r="E261">
        <v>4472.3500000000004</v>
      </c>
      <c r="F261">
        <v>4770.42</v>
      </c>
      <c r="G261">
        <v>0.01</v>
      </c>
      <c r="H261" t="str">
        <f>PROPER(TRIM(sales_data!C261))</f>
        <v>Eve</v>
      </c>
      <c r="I261" t="str">
        <f>PROPER(TRIM(sales_data!D261))</f>
        <v>North</v>
      </c>
      <c r="J261" t="str">
        <f>PROPER(TRIM(sales_data!G261))</f>
        <v>Clothing</v>
      </c>
      <c r="K261" t="str">
        <f>PROPER(TRIM(sales_data!J261))</f>
        <v>New</v>
      </c>
      <c r="L261" t="str">
        <f>PROPER(TRIM(sales_data!L261))</f>
        <v>Credit Card</v>
      </c>
      <c r="M261" t="str">
        <f>PROPER(TRIM(sales_data!M261))</f>
        <v>Retail</v>
      </c>
      <c r="N261">
        <f t="shared" si="17"/>
        <v>298.06999999999971</v>
      </c>
      <c r="O261">
        <f t="shared" si="18"/>
        <v>7749.8199999999924</v>
      </c>
      <c r="P261" t="str">
        <f t="shared" si="19"/>
        <v>Sep</v>
      </c>
    </row>
    <row r="262" spans="1:16" x14ac:dyDescent="0.25">
      <c r="A262">
        <v>1059</v>
      </c>
      <c r="B262" s="1">
        <v>45105</v>
      </c>
      <c r="C262">
        <f t="shared" si="16"/>
        <v>25668.981</v>
      </c>
      <c r="D262">
        <v>13</v>
      </c>
      <c r="E262">
        <v>1969.78</v>
      </c>
      <c r="F262">
        <v>2437.6999999999998</v>
      </c>
      <c r="G262">
        <v>0.19</v>
      </c>
      <c r="H262" t="str">
        <f>PROPER(TRIM(sales_data!C262))</f>
        <v>Bob</v>
      </c>
      <c r="I262" t="str">
        <f>PROPER(TRIM(sales_data!D262))</f>
        <v>North</v>
      </c>
      <c r="J262" t="str">
        <f>PROPER(TRIM(sales_data!G262))</f>
        <v>Electronics</v>
      </c>
      <c r="K262" t="str">
        <f>PROPER(TRIM(sales_data!J262))</f>
        <v>New</v>
      </c>
      <c r="L262" t="str">
        <f>PROPER(TRIM(sales_data!L262))</f>
        <v>Credit Card</v>
      </c>
      <c r="M262" t="str">
        <f>PROPER(TRIM(sales_data!M262))</f>
        <v>Retail</v>
      </c>
      <c r="N262">
        <f t="shared" si="17"/>
        <v>467.91999999999985</v>
      </c>
      <c r="O262">
        <f t="shared" si="18"/>
        <v>6082.9599999999982</v>
      </c>
      <c r="P262" t="str">
        <f t="shared" si="19"/>
        <v>Jun</v>
      </c>
    </row>
    <row r="263" spans="1:16" x14ac:dyDescent="0.25">
      <c r="A263">
        <v>1036</v>
      </c>
      <c r="B263" s="1">
        <v>45108</v>
      </c>
      <c r="C263">
        <f t="shared" si="16"/>
        <v>28163.780999999999</v>
      </c>
      <c r="D263">
        <v>17</v>
      </c>
      <c r="E263">
        <v>1475</v>
      </c>
      <c r="F263">
        <v>1840.77</v>
      </c>
      <c r="G263">
        <v>0.1</v>
      </c>
      <c r="H263" t="str">
        <f>PROPER(TRIM(sales_data!C263))</f>
        <v>Alice</v>
      </c>
      <c r="I263" t="str">
        <f>PROPER(TRIM(sales_data!D263))</f>
        <v>West</v>
      </c>
      <c r="J263" t="str">
        <f>PROPER(TRIM(sales_data!G263))</f>
        <v>Furniture</v>
      </c>
      <c r="K263" t="str">
        <f>PROPER(TRIM(sales_data!J263))</f>
        <v>Returning</v>
      </c>
      <c r="L263" t="str">
        <f>PROPER(TRIM(sales_data!L263))</f>
        <v>Credit Card</v>
      </c>
      <c r="M263" t="str">
        <f>PROPER(TRIM(sales_data!M263))</f>
        <v>Online</v>
      </c>
      <c r="N263">
        <f t="shared" si="17"/>
        <v>365.77</v>
      </c>
      <c r="O263">
        <f t="shared" si="18"/>
        <v>6218.09</v>
      </c>
      <c r="P263" t="str">
        <f t="shared" si="19"/>
        <v>Jul</v>
      </c>
    </row>
    <row r="264" spans="1:16" x14ac:dyDescent="0.25">
      <c r="A264">
        <v>1019</v>
      </c>
      <c r="B264" s="1">
        <v>45078</v>
      </c>
      <c r="C264">
        <f t="shared" si="16"/>
        <v>141672.87680000003</v>
      </c>
      <c r="D264">
        <v>38</v>
      </c>
      <c r="E264">
        <v>3637.25</v>
      </c>
      <c r="F264">
        <v>4096.96</v>
      </c>
      <c r="G264">
        <v>0.09</v>
      </c>
      <c r="H264" t="str">
        <f>PROPER(TRIM(sales_data!C264))</f>
        <v>Bob</v>
      </c>
      <c r="I264" t="str">
        <f>PROPER(TRIM(sales_data!D264))</f>
        <v>East</v>
      </c>
      <c r="J264" t="str">
        <f>PROPER(TRIM(sales_data!G264))</f>
        <v>Clothing</v>
      </c>
      <c r="K264" t="str">
        <f>PROPER(TRIM(sales_data!J264))</f>
        <v>Returning</v>
      </c>
      <c r="L264" t="str">
        <f>PROPER(TRIM(sales_data!L264))</f>
        <v>Bank Transfer</v>
      </c>
      <c r="M264" t="str">
        <f>PROPER(TRIM(sales_data!M264))</f>
        <v>Online</v>
      </c>
      <c r="N264">
        <f t="shared" si="17"/>
        <v>459.71000000000004</v>
      </c>
      <c r="O264">
        <f t="shared" si="18"/>
        <v>17468.980000000003</v>
      </c>
      <c r="P264" t="str">
        <f t="shared" si="19"/>
        <v>Jun</v>
      </c>
    </row>
    <row r="265" spans="1:16" x14ac:dyDescent="0.25">
      <c r="A265">
        <v>1090</v>
      </c>
      <c r="B265" s="1">
        <v>44951</v>
      </c>
      <c r="C265">
        <f t="shared" si="16"/>
        <v>69494.436000000016</v>
      </c>
      <c r="D265">
        <v>17</v>
      </c>
      <c r="E265">
        <v>4190.26</v>
      </c>
      <c r="F265">
        <v>4645.3500000000004</v>
      </c>
      <c r="G265">
        <v>0.12</v>
      </c>
      <c r="H265" t="str">
        <f>PROPER(TRIM(sales_data!C265))</f>
        <v>Charlie</v>
      </c>
      <c r="I265" t="str">
        <f>PROPER(TRIM(sales_data!D265))</f>
        <v>South</v>
      </c>
      <c r="J265" t="str">
        <f>PROPER(TRIM(sales_data!G265))</f>
        <v>Clothing</v>
      </c>
      <c r="K265" t="str">
        <f>PROPER(TRIM(sales_data!J265))</f>
        <v>New</v>
      </c>
      <c r="L265" t="str">
        <f>PROPER(TRIM(sales_data!L265))</f>
        <v>Credit Card</v>
      </c>
      <c r="M265" t="str">
        <f>PROPER(TRIM(sales_data!M265))</f>
        <v>Retail</v>
      </c>
      <c r="N265">
        <f t="shared" si="17"/>
        <v>455.09000000000015</v>
      </c>
      <c r="O265">
        <f t="shared" si="18"/>
        <v>7736.5300000000025</v>
      </c>
      <c r="P265" t="str">
        <f t="shared" si="19"/>
        <v>Jan</v>
      </c>
    </row>
    <row r="266" spans="1:16" x14ac:dyDescent="0.25">
      <c r="A266">
        <v>1067</v>
      </c>
      <c r="B266" s="1">
        <v>45106</v>
      </c>
      <c r="C266">
        <f t="shared" si="16"/>
        <v>199824.1919999996</v>
      </c>
      <c r="D266">
        <v>48</v>
      </c>
      <c r="E266">
        <v>4319.32</v>
      </c>
      <c r="F266">
        <v>4625.5599999999904</v>
      </c>
      <c r="G266">
        <v>0.1</v>
      </c>
      <c r="H266" t="str">
        <f>PROPER(TRIM(sales_data!C266))</f>
        <v>Eve</v>
      </c>
      <c r="I266" t="str">
        <f>PROPER(TRIM(sales_data!D266))</f>
        <v>South</v>
      </c>
      <c r="J266" t="str">
        <f>PROPER(TRIM(sales_data!G266))</f>
        <v>Food</v>
      </c>
      <c r="K266" t="str">
        <f>PROPER(TRIM(sales_data!J266))</f>
        <v>Returning</v>
      </c>
      <c r="L266" t="str">
        <f>PROPER(TRIM(sales_data!L266))</f>
        <v>Bank Transfer</v>
      </c>
      <c r="M266" t="str">
        <f>PROPER(TRIM(sales_data!M266))</f>
        <v>Online</v>
      </c>
      <c r="N266">
        <f t="shared" si="17"/>
        <v>306.23999999999069</v>
      </c>
      <c r="O266">
        <f t="shared" si="18"/>
        <v>14699.519999999553</v>
      </c>
      <c r="P266" t="str">
        <f t="shared" si="19"/>
        <v>Jun</v>
      </c>
    </row>
    <row r="267" spans="1:16" x14ac:dyDescent="0.25">
      <c r="A267">
        <v>1019</v>
      </c>
      <c r="B267" s="1">
        <v>45124</v>
      </c>
      <c r="C267">
        <f t="shared" si="16"/>
        <v>19769.294999999998</v>
      </c>
      <c r="D267">
        <v>14</v>
      </c>
      <c r="E267">
        <v>1614.19</v>
      </c>
      <c r="F267">
        <v>1882.79</v>
      </c>
      <c r="G267">
        <v>0.25</v>
      </c>
      <c r="H267" t="str">
        <f>PROPER(TRIM(sales_data!C267))</f>
        <v>David</v>
      </c>
      <c r="I267" t="str">
        <f>PROPER(TRIM(sales_data!D267))</f>
        <v>South</v>
      </c>
      <c r="J267" t="str">
        <f>PROPER(TRIM(sales_data!G267))</f>
        <v>Clothing</v>
      </c>
      <c r="K267" t="str">
        <f>PROPER(TRIM(sales_data!J267))</f>
        <v>New</v>
      </c>
      <c r="L267" t="str">
        <f>PROPER(TRIM(sales_data!L267))</f>
        <v>Credit Card</v>
      </c>
      <c r="M267" t="str">
        <f>PROPER(TRIM(sales_data!M267))</f>
        <v>Retail</v>
      </c>
      <c r="N267">
        <f t="shared" si="17"/>
        <v>268.59999999999991</v>
      </c>
      <c r="O267">
        <f t="shared" si="18"/>
        <v>3760.3999999999987</v>
      </c>
      <c r="P267" t="str">
        <f t="shared" si="19"/>
        <v>Jul</v>
      </c>
    </row>
    <row r="268" spans="1:16" x14ac:dyDescent="0.25">
      <c r="A268">
        <v>1020</v>
      </c>
      <c r="B268" s="1">
        <v>45270</v>
      </c>
      <c r="C268">
        <f t="shared" si="16"/>
        <v>188436.23999999961</v>
      </c>
      <c r="D268">
        <v>45</v>
      </c>
      <c r="E268">
        <v>4268.45</v>
      </c>
      <c r="F268">
        <v>4551.5999999999904</v>
      </c>
      <c r="G268">
        <v>0.08</v>
      </c>
      <c r="H268" t="str">
        <f>PROPER(TRIM(sales_data!C268))</f>
        <v>Bob</v>
      </c>
      <c r="I268" t="str">
        <f>PROPER(TRIM(sales_data!D268))</f>
        <v>North</v>
      </c>
      <c r="J268" t="str">
        <f>PROPER(TRIM(sales_data!G268))</f>
        <v>Electronics</v>
      </c>
      <c r="K268" t="str">
        <f>PROPER(TRIM(sales_data!J268))</f>
        <v>New</v>
      </c>
      <c r="L268" t="str">
        <f>PROPER(TRIM(sales_data!L268))</f>
        <v>Bank Transfer</v>
      </c>
      <c r="M268" t="str">
        <f>PROPER(TRIM(sales_data!M268))</f>
        <v>Online</v>
      </c>
      <c r="N268">
        <f t="shared" si="17"/>
        <v>283.14999999999054</v>
      </c>
      <c r="O268">
        <f t="shared" si="18"/>
        <v>12741.749999999574</v>
      </c>
      <c r="P268" t="str">
        <f t="shared" si="19"/>
        <v>Dec</v>
      </c>
    </row>
    <row r="269" spans="1:16" x14ac:dyDescent="0.25">
      <c r="A269">
        <v>1096</v>
      </c>
      <c r="B269" s="1">
        <v>45087</v>
      </c>
      <c r="C269">
        <f t="shared" si="16"/>
        <v>3472.56</v>
      </c>
      <c r="D269">
        <v>6</v>
      </c>
      <c r="E269">
        <v>252.62</v>
      </c>
      <c r="F269">
        <v>742</v>
      </c>
      <c r="G269">
        <v>0.22</v>
      </c>
      <c r="H269" t="str">
        <f>PROPER(TRIM(sales_data!C269))</f>
        <v>Charlie</v>
      </c>
      <c r="I269" t="str">
        <f>PROPER(TRIM(sales_data!D269))</f>
        <v>South</v>
      </c>
      <c r="J269" t="str">
        <f>PROPER(TRIM(sales_data!G269))</f>
        <v>Furniture</v>
      </c>
      <c r="K269" t="str">
        <f>PROPER(TRIM(sales_data!J269))</f>
        <v>New</v>
      </c>
      <c r="L269" t="str">
        <f>PROPER(TRIM(sales_data!L269))</f>
        <v>Credit Card</v>
      </c>
      <c r="M269" t="str">
        <f>PROPER(TRIM(sales_data!M269))</f>
        <v>Retail</v>
      </c>
      <c r="N269">
        <f t="shared" si="17"/>
        <v>489.38</v>
      </c>
      <c r="O269">
        <f t="shared" si="18"/>
        <v>2936.2799999999997</v>
      </c>
      <c r="P269" t="str">
        <f t="shared" si="19"/>
        <v>Jun</v>
      </c>
    </row>
    <row r="270" spans="1:16" x14ac:dyDescent="0.25">
      <c r="A270">
        <v>1071</v>
      </c>
      <c r="B270" s="1">
        <v>45103</v>
      </c>
      <c r="C270">
        <f t="shared" si="16"/>
        <v>23244.546499999997</v>
      </c>
      <c r="D270">
        <v>35</v>
      </c>
      <c r="E270">
        <v>295.82</v>
      </c>
      <c r="F270">
        <v>684.67</v>
      </c>
      <c r="G270">
        <v>0.03</v>
      </c>
      <c r="H270" t="str">
        <f>PROPER(TRIM(sales_data!C270))</f>
        <v>David</v>
      </c>
      <c r="I270" t="str">
        <f>PROPER(TRIM(sales_data!D270))</f>
        <v>North</v>
      </c>
      <c r="J270" t="str">
        <f>PROPER(TRIM(sales_data!G270))</f>
        <v>Clothing</v>
      </c>
      <c r="K270" t="str">
        <f>PROPER(TRIM(sales_data!J270))</f>
        <v>New</v>
      </c>
      <c r="L270" t="str">
        <f>PROPER(TRIM(sales_data!L270))</f>
        <v>Credit Card</v>
      </c>
      <c r="M270" t="str">
        <f>PROPER(TRIM(sales_data!M270))</f>
        <v>Online</v>
      </c>
      <c r="N270">
        <f t="shared" si="17"/>
        <v>388.84999999999997</v>
      </c>
      <c r="O270">
        <f t="shared" si="18"/>
        <v>13609.749999999998</v>
      </c>
      <c r="P270" t="str">
        <f t="shared" si="19"/>
        <v>Jun</v>
      </c>
    </row>
    <row r="271" spans="1:16" x14ac:dyDescent="0.25">
      <c r="A271">
        <v>1052</v>
      </c>
      <c r="B271" s="1">
        <v>45211</v>
      </c>
      <c r="C271">
        <f t="shared" si="16"/>
        <v>104462.68339999998</v>
      </c>
      <c r="D271">
        <v>46</v>
      </c>
      <c r="E271">
        <v>3136.42</v>
      </c>
      <c r="F271">
        <v>3198.49</v>
      </c>
      <c r="G271">
        <v>0.28999999999999998</v>
      </c>
      <c r="H271" t="str">
        <f>PROPER(TRIM(sales_data!C271))</f>
        <v>David</v>
      </c>
      <c r="I271" t="str">
        <f>PROPER(TRIM(sales_data!D271))</f>
        <v>North</v>
      </c>
      <c r="J271" t="str">
        <f>PROPER(TRIM(sales_data!G271))</f>
        <v>Electronics</v>
      </c>
      <c r="K271" t="str">
        <f>PROPER(TRIM(sales_data!J271))</f>
        <v>Returning</v>
      </c>
      <c r="L271" t="str">
        <f>PROPER(TRIM(sales_data!L271))</f>
        <v>Cash</v>
      </c>
      <c r="M271" t="str">
        <f>PROPER(TRIM(sales_data!M271))</f>
        <v>Retail</v>
      </c>
      <c r="N271">
        <f t="shared" si="17"/>
        <v>62.069999999999709</v>
      </c>
      <c r="O271">
        <f t="shared" si="18"/>
        <v>2855.2199999999866</v>
      </c>
      <c r="P271" t="str">
        <f t="shared" si="19"/>
        <v>Oct</v>
      </c>
    </row>
    <row r="272" spans="1:16" x14ac:dyDescent="0.25">
      <c r="A272">
        <v>1033</v>
      </c>
      <c r="B272" s="1">
        <v>44989</v>
      </c>
      <c r="C272">
        <f t="shared" si="16"/>
        <v>8548.2054000000007</v>
      </c>
      <c r="D272">
        <v>14</v>
      </c>
      <c r="E272">
        <v>362.38</v>
      </c>
      <c r="F272">
        <v>753.81</v>
      </c>
      <c r="G272">
        <v>0.19</v>
      </c>
      <c r="H272" t="str">
        <f>PROPER(TRIM(sales_data!C272))</f>
        <v>Bob</v>
      </c>
      <c r="I272" t="str">
        <f>PROPER(TRIM(sales_data!D272))</f>
        <v>West</v>
      </c>
      <c r="J272" t="str">
        <f>PROPER(TRIM(sales_data!G272))</f>
        <v>Clothing</v>
      </c>
      <c r="K272" t="str">
        <f>PROPER(TRIM(sales_data!J272))</f>
        <v>Returning</v>
      </c>
      <c r="L272" t="str">
        <f>PROPER(TRIM(sales_data!L272))</f>
        <v>Cash</v>
      </c>
      <c r="M272" t="str">
        <f>PROPER(TRIM(sales_data!M272))</f>
        <v>Retail</v>
      </c>
      <c r="N272">
        <f t="shared" si="17"/>
        <v>391.42999999999995</v>
      </c>
      <c r="O272">
        <f t="shared" si="18"/>
        <v>5480.0199999999995</v>
      </c>
      <c r="P272" t="str">
        <f t="shared" si="19"/>
        <v>Mar</v>
      </c>
    </row>
    <row r="273" spans="1:16" x14ac:dyDescent="0.25">
      <c r="A273">
        <v>1040</v>
      </c>
      <c r="B273" s="1">
        <v>45076</v>
      </c>
      <c r="C273">
        <f t="shared" si="16"/>
        <v>64991.609399999637</v>
      </c>
      <c r="D273">
        <v>47</v>
      </c>
      <c r="E273">
        <v>1656.82</v>
      </c>
      <c r="F273">
        <v>1750.3799999999901</v>
      </c>
      <c r="G273">
        <v>0.21</v>
      </c>
      <c r="H273" t="str">
        <f>PROPER(TRIM(sales_data!C273))</f>
        <v>Alice</v>
      </c>
      <c r="I273" t="str">
        <f>PROPER(TRIM(sales_data!D273))</f>
        <v>South</v>
      </c>
      <c r="J273" t="str">
        <f>PROPER(TRIM(sales_data!G273))</f>
        <v>Clothing</v>
      </c>
      <c r="K273" t="str">
        <f>PROPER(TRIM(sales_data!J273))</f>
        <v>New</v>
      </c>
      <c r="L273" t="str">
        <f>PROPER(TRIM(sales_data!L273))</f>
        <v>Credit Card</v>
      </c>
      <c r="M273" t="str">
        <f>PROPER(TRIM(sales_data!M273))</f>
        <v>Online</v>
      </c>
      <c r="N273">
        <f t="shared" si="17"/>
        <v>93.559999999990168</v>
      </c>
      <c r="O273">
        <f t="shared" si="18"/>
        <v>4397.3199999995377</v>
      </c>
      <c r="P273" t="str">
        <f t="shared" si="19"/>
        <v>May</v>
      </c>
    </row>
    <row r="274" spans="1:16" x14ac:dyDescent="0.25">
      <c r="A274">
        <v>1039</v>
      </c>
      <c r="B274" s="1">
        <v>45080</v>
      </c>
      <c r="C274">
        <f t="shared" si="16"/>
        <v>26275.995199999928</v>
      </c>
      <c r="D274">
        <v>8</v>
      </c>
      <c r="E274">
        <v>3380.14</v>
      </c>
      <c r="F274">
        <v>3609.3399999999901</v>
      </c>
      <c r="G274">
        <v>0.09</v>
      </c>
      <c r="H274" t="str">
        <f>PROPER(TRIM(sales_data!C274))</f>
        <v>Bob</v>
      </c>
      <c r="I274" t="str">
        <f>PROPER(TRIM(sales_data!D274))</f>
        <v>South</v>
      </c>
      <c r="J274" t="str">
        <f>PROPER(TRIM(sales_data!G274))</f>
        <v>Clothing</v>
      </c>
      <c r="K274" t="str">
        <f>PROPER(TRIM(sales_data!J274))</f>
        <v>Returning</v>
      </c>
      <c r="L274" t="str">
        <f>PROPER(TRIM(sales_data!L274))</f>
        <v>Credit Card</v>
      </c>
      <c r="M274" t="str">
        <f>PROPER(TRIM(sales_data!M274))</f>
        <v>Online</v>
      </c>
      <c r="N274">
        <f t="shared" si="17"/>
        <v>229.19999999999027</v>
      </c>
      <c r="O274">
        <f t="shared" si="18"/>
        <v>1833.5999999999221</v>
      </c>
      <c r="P274" t="str">
        <f t="shared" si="19"/>
        <v>Jun</v>
      </c>
    </row>
    <row r="275" spans="1:16" x14ac:dyDescent="0.25">
      <c r="A275">
        <v>1082</v>
      </c>
      <c r="B275" s="1">
        <v>45082</v>
      </c>
      <c r="C275">
        <f t="shared" si="16"/>
        <v>24190.32</v>
      </c>
      <c r="D275">
        <v>15</v>
      </c>
      <c r="E275">
        <v>1719.47</v>
      </c>
      <c r="F275">
        <v>1832.6</v>
      </c>
      <c r="G275">
        <v>0.12</v>
      </c>
      <c r="H275" t="str">
        <f>PROPER(TRIM(sales_data!C275))</f>
        <v>Charlie</v>
      </c>
      <c r="I275" t="str">
        <f>PROPER(TRIM(sales_data!D275))</f>
        <v>East</v>
      </c>
      <c r="J275" t="str">
        <f>PROPER(TRIM(sales_data!G275))</f>
        <v>Clothing</v>
      </c>
      <c r="K275" t="str">
        <f>PROPER(TRIM(sales_data!J275))</f>
        <v>Returning</v>
      </c>
      <c r="L275" t="str">
        <f>PROPER(TRIM(sales_data!L275))</f>
        <v>Credit Card</v>
      </c>
      <c r="M275" t="str">
        <f>PROPER(TRIM(sales_data!M275))</f>
        <v>Online</v>
      </c>
      <c r="N275">
        <f t="shared" si="17"/>
        <v>113.12999999999988</v>
      </c>
      <c r="O275">
        <f t="shared" si="18"/>
        <v>1696.9499999999982</v>
      </c>
      <c r="P275" t="str">
        <f t="shared" si="19"/>
        <v>Jun</v>
      </c>
    </row>
    <row r="276" spans="1:16" x14ac:dyDescent="0.25">
      <c r="A276">
        <v>1001</v>
      </c>
      <c r="B276" s="1">
        <v>44975</v>
      </c>
      <c r="C276">
        <f t="shared" si="16"/>
        <v>32314.5612</v>
      </c>
      <c r="D276">
        <v>27</v>
      </c>
      <c r="E276">
        <v>939.02</v>
      </c>
      <c r="F276">
        <v>1286.92</v>
      </c>
      <c r="G276">
        <v>7.0000000000000007E-2</v>
      </c>
      <c r="H276" t="str">
        <f>PROPER(TRIM(sales_data!C276))</f>
        <v>David</v>
      </c>
      <c r="I276" t="str">
        <f>PROPER(TRIM(sales_data!D276))</f>
        <v>West</v>
      </c>
      <c r="J276" t="str">
        <f>PROPER(TRIM(sales_data!G276))</f>
        <v>Clothing</v>
      </c>
      <c r="K276" t="str">
        <f>PROPER(TRIM(sales_data!J276))</f>
        <v>Returning</v>
      </c>
      <c r="L276" t="str">
        <f>PROPER(TRIM(sales_data!L276))</f>
        <v>Credit Card</v>
      </c>
      <c r="M276" t="str">
        <f>PROPER(TRIM(sales_data!M276))</f>
        <v>Retail</v>
      </c>
      <c r="N276">
        <f t="shared" si="17"/>
        <v>347.90000000000009</v>
      </c>
      <c r="O276">
        <f t="shared" si="18"/>
        <v>9393.3000000000029</v>
      </c>
      <c r="P276" t="str">
        <f t="shared" si="19"/>
        <v>Feb</v>
      </c>
    </row>
    <row r="277" spans="1:16" x14ac:dyDescent="0.25">
      <c r="A277">
        <v>1011</v>
      </c>
      <c r="B277" s="1">
        <v>45263</v>
      </c>
      <c r="C277">
        <f t="shared" si="16"/>
        <v>17620.855199999998</v>
      </c>
      <c r="D277">
        <v>13</v>
      </c>
      <c r="E277">
        <v>1442.69</v>
      </c>
      <c r="F277">
        <v>1882.57</v>
      </c>
      <c r="G277">
        <v>0.28000000000000003</v>
      </c>
      <c r="H277" t="str">
        <f>PROPER(TRIM(sales_data!C277))</f>
        <v>Bob</v>
      </c>
      <c r="I277" t="str">
        <f>PROPER(TRIM(sales_data!D277))</f>
        <v>East</v>
      </c>
      <c r="J277" t="str">
        <f>PROPER(TRIM(sales_data!G277))</f>
        <v>Electronics</v>
      </c>
      <c r="K277" t="str">
        <f>PROPER(TRIM(sales_data!J277))</f>
        <v>Returning</v>
      </c>
      <c r="L277" t="str">
        <f>PROPER(TRIM(sales_data!L277))</f>
        <v>Cash</v>
      </c>
      <c r="M277" t="str">
        <f>PROPER(TRIM(sales_data!M277))</f>
        <v>Online</v>
      </c>
      <c r="N277">
        <f t="shared" si="17"/>
        <v>439.87999999999988</v>
      </c>
      <c r="O277">
        <f t="shared" si="18"/>
        <v>5718.4399999999987</v>
      </c>
      <c r="P277" t="str">
        <f t="shared" si="19"/>
        <v>Dec</v>
      </c>
    </row>
    <row r="278" spans="1:16" x14ac:dyDescent="0.25">
      <c r="A278">
        <v>1092</v>
      </c>
      <c r="B278" s="1">
        <v>45010</v>
      </c>
      <c r="C278">
        <f t="shared" si="16"/>
        <v>102762.21200000001</v>
      </c>
      <c r="D278">
        <v>49</v>
      </c>
      <c r="E278">
        <v>2315</v>
      </c>
      <c r="F278">
        <v>2467.2800000000002</v>
      </c>
      <c r="G278">
        <v>0.15</v>
      </c>
      <c r="H278" t="str">
        <f>PROPER(TRIM(sales_data!C278))</f>
        <v>Alice</v>
      </c>
      <c r="I278" t="str">
        <f>PROPER(TRIM(sales_data!D278))</f>
        <v>West</v>
      </c>
      <c r="J278" t="str">
        <f>PROPER(TRIM(sales_data!G278))</f>
        <v>Furniture</v>
      </c>
      <c r="K278" t="str">
        <f>PROPER(TRIM(sales_data!J278))</f>
        <v>New</v>
      </c>
      <c r="L278" t="str">
        <f>PROPER(TRIM(sales_data!L278))</f>
        <v>Bank Transfer</v>
      </c>
      <c r="M278" t="str">
        <f>PROPER(TRIM(sales_data!M278))</f>
        <v>Retail</v>
      </c>
      <c r="N278">
        <f t="shared" si="17"/>
        <v>152.2800000000002</v>
      </c>
      <c r="O278">
        <f t="shared" si="18"/>
        <v>7461.7200000000103</v>
      </c>
      <c r="P278" t="str">
        <f t="shared" si="19"/>
        <v>Mar</v>
      </c>
    </row>
    <row r="279" spans="1:16" x14ac:dyDescent="0.25">
      <c r="A279">
        <v>1057</v>
      </c>
      <c r="B279" s="1">
        <v>45287</v>
      </c>
      <c r="C279">
        <f t="shared" si="16"/>
        <v>61603.618499999997</v>
      </c>
      <c r="D279">
        <v>31</v>
      </c>
      <c r="E279">
        <v>2403.16</v>
      </c>
      <c r="F279">
        <v>2453.35</v>
      </c>
      <c r="G279">
        <v>0.19</v>
      </c>
      <c r="H279" t="str">
        <f>PROPER(TRIM(sales_data!C279))</f>
        <v>Bob</v>
      </c>
      <c r="I279" t="str">
        <f>PROPER(TRIM(sales_data!D279))</f>
        <v>South</v>
      </c>
      <c r="J279" t="str">
        <f>PROPER(TRIM(sales_data!G279))</f>
        <v>Furniture</v>
      </c>
      <c r="K279" t="str">
        <f>PROPER(TRIM(sales_data!J279))</f>
        <v>Returning</v>
      </c>
      <c r="L279" t="str">
        <f>PROPER(TRIM(sales_data!L279))</f>
        <v>Credit Card</v>
      </c>
      <c r="M279" t="str">
        <f>PROPER(TRIM(sales_data!M279))</f>
        <v>Online</v>
      </c>
      <c r="N279">
        <f t="shared" si="17"/>
        <v>50.190000000000055</v>
      </c>
      <c r="O279">
        <f t="shared" si="18"/>
        <v>1555.8900000000017</v>
      </c>
      <c r="P279" t="str">
        <f t="shared" si="19"/>
        <v>Dec</v>
      </c>
    </row>
    <row r="280" spans="1:16" x14ac:dyDescent="0.25">
      <c r="A280">
        <v>1089</v>
      </c>
      <c r="B280" s="1">
        <v>45103</v>
      </c>
      <c r="C280">
        <f t="shared" si="16"/>
        <v>111441.60299999974</v>
      </c>
      <c r="D280">
        <v>35</v>
      </c>
      <c r="E280">
        <v>3925.85</v>
      </c>
      <c r="F280">
        <v>4082.1099999999901</v>
      </c>
      <c r="G280">
        <v>0.22</v>
      </c>
      <c r="H280" t="str">
        <f>PROPER(TRIM(sales_data!C280))</f>
        <v>Eve</v>
      </c>
      <c r="I280" t="str">
        <f>PROPER(TRIM(sales_data!D280))</f>
        <v>North</v>
      </c>
      <c r="J280" t="str">
        <f>PROPER(TRIM(sales_data!G280))</f>
        <v>Furniture</v>
      </c>
      <c r="K280" t="str">
        <f>PROPER(TRIM(sales_data!J280))</f>
        <v>New</v>
      </c>
      <c r="L280" t="str">
        <f>PROPER(TRIM(sales_data!L280))</f>
        <v>Cash</v>
      </c>
      <c r="M280" t="str">
        <f>PROPER(TRIM(sales_data!M280))</f>
        <v>Online</v>
      </c>
      <c r="N280">
        <f t="shared" si="17"/>
        <v>156.25999999999021</v>
      </c>
      <c r="O280">
        <f t="shared" si="18"/>
        <v>5469.0999999996575</v>
      </c>
      <c r="P280" t="str">
        <f t="shared" si="19"/>
        <v>Jun</v>
      </c>
    </row>
    <row r="281" spans="1:16" x14ac:dyDescent="0.25">
      <c r="A281">
        <v>1050</v>
      </c>
      <c r="B281" s="1">
        <v>45074</v>
      </c>
      <c r="C281">
        <f t="shared" si="16"/>
        <v>21908.524799999999</v>
      </c>
      <c r="D281">
        <v>6</v>
      </c>
      <c r="E281">
        <v>3763.26</v>
      </c>
      <c r="F281">
        <v>4102.72</v>
      </c>
      <c r="G281">
        <v>0.11</v>
      </c>
      <c r="H281" t="str">
        <f>PROPER(TRIM(sales_data!C281))</f>
        <v>Alice</v>
      </c>
      <c r="I281" t="str">
        <f>PROPER(TRIM(sales_data!D281))</f>
        <v>North</v>
      </c>
      <c r="J281" t="str">
        <f>PROPER(TRIM(sales_data!G281))</f>
        <v>Furniture</v>
      </c>
      <c r="K281" t="str">
        <f>PROPER(TRIM(sales_data!J281))</f>
        <v>New</v>
      </c>
      <c r="L281" t="str">
        <f>PROPER(TRIM(sales_data!L281))</f>
        <v>Credit Card</v>
      </c>
      <c r="M281" t="str">
        <f>PROPER(TRIM(sales_data!M281))</f>
        <v>Retail</v>
      </c>
      <c r="N281">
        <f t="shared" si="17"/>
        <v>339.46000000000004</v>
      </c>
      <c r="O281">
        <f t="shared" si="18"/>
        <v>2036.7600000000002</v>
      </c>
      <c r="P281" t="str">
        <f t="shared" si="19"/>
        <v>May</v>
      </c>
    </row>
    <row r="282" spans="1:16" x14ac:dyDescent="0.25">
      <c r="A282">
        <v>1023</v>
      </c>
      <c r="B282" s="1">
        <v>45044</v>
      </c>
      <c r="C282">
        <f t="shared" si="16"/>
        <v>9681.1260000000002</v>
      </c>
      <c r="D282">
        <v>5</v>
      </c>
      <c r="E282">
        <v>2311.25</v>
      </c>
      <c r="F282">
        <v>2482.34</v>
      </c>
      <c r="G282">
        <v>0.22</v>
      </c>
      <c r="H282" t="str">
        <f>PROPER(TRIM(sales_data!C282))</f>
        <v>Charlie</v>
      </c>
      <c r="I282" t="str">
        <f>PROPER(TRIM(sales_data!D282))</f>
        <v>North</v>
      </c>
      <c r="J282" t="str">
        <f>PROPER(TRIM(sales_data!G282))</f>
        <v>Electronics</v>
      </c>
      <c r="K282" t="str">
        <f>PROPER(TRIM(sales_data!J282))</f>
        <v>Returning</v>
      </c>
      <c r="L282" t="str">
        <f>PROPER(TRIM(sales_data!L282))</f>
        <v>Credit Card</v>
      </c>
      <c r="M282" t="str">
        <f>PROPER(TRIM(sales_data!M282))</f>
        <v>Retail</v>
      </c>
      <c r="N282">
        <f t="shared" si="17"/>
        <v>171.09000000000015</v>
      </c>
      <c r="O282">
        <f t="shared" si="18"/>
        <v>855.45000000000073</v>
      </c>
      <c r="P282" t="str">
        <f t="shared" si="19"/>
        <v>Apr</v>
      </c>
    </row>
    <row r="283" spans="1:16" x14ac:dyDescent="0.25">
      <c r="A283">
        <v>1031</v>
      </c>
      <c r="B283" s="1">
        <v>45268</v>
      </c>
      <c r="C283">
        <f t="shared" si="16"/>
        <v>77128.831999999995</v>
      </c>
      <c r="D283">
        <v>22</v>
      </c>
      <c r="E283">
        <v>4236.05</v>
      </c>
      <c r="F283">
        <v>4382.32</v>
      </c>
      <c r="G283">
        <v>0.2</v>
      </c>
      <c r="H283" t="str">
        <f>PROPER(TRIM(sales_data!C283))</f>
        <v>David</v>
      </c>
      <c r="I283" t="str">
        <f>PROPER(TRIM(sales_data!D283))</f>
        <v>North</v>
      </c>
      <c r="J283" t="str">
        <f>PROPER(TRIM(sales_data!G283))</f>
        <v>Food</v>
      </c>
      <c r="K283" t="str">
        <f>PROPER(TRIM(sales_data!J283))</f>
        <v>New</v>
      </c>
      <c r="L283" t="str">
        <f>PROPER(TRIM(sales_data!L283))</f>
        <v>Bank Transfer</v>
      </c>
      <c r="M283" t="str">
        <f>PROPER(TRIM(sales_data!M283))</f>
        <v>Online</v>
      </c>
      <c r="N283">
        <f t="shared" si="17"/>
        <v>146.26999999999953</v>
      </c>
      <c r="O283">
        <f t="shared" si="18"/>
        <v>3217.9399999999896</v>
      </c>
      <c r="P283" t="str">
        <f t="shared" si="19"/>
        <v>Dec</v>
      </c>
    </row>
    <row r="284" spans="1:16" x14ac:dyDescent="0.25">
      <c r="A284">
        <v>1094</v>
      </c>
      <c r="B284" s="1">
        <v>44989</v>
      </c>
      <c r="C284">
        <f t="shared" si="16"/>
        <v>27710.166400000006</v>
      </c>
      <c r="D284">
        <v>49</v>
      </c>
      <c r="E284">
        <v>615.47</v>
      </c>
      <c r="F284">
        <v>715.84</v>
      </c>
      <c r="G284">
        <v>0.21</v>
      </c>
      <c r="H284" t="str">
        <f>PROPER(TRIM(sales_data!C284))</f>
        <v>Bob</v>
      </c>
      <c r="I284" t="str">
        <f>PROPER(TRIM(sales_data!D284))</f>
        <v>North</v>
      </c>
      <c r="J284" t="str">
        <f>PROPER(TRIM(sales_data!G284))</f>
        <v>Food</v>
      </c>
      <c r="K284" t="str">
        <f>PROPER(TRIM(sales_data!J284))</f>
        <v>Returning</v>
      </c>
      <c r="L284" t="str">
        <f>PROPER(TRIM(sales_data!L284))</f>
        <v>Credit Card</v>
      </c>
      <c r="M284" t="str">
        <f>PROPER(TRIM(sales_data!M284))</f>
        <v>Retail</v>
      </c>
      <c r="N284">
        <f t="shared" si="17"/>
        <v>100.37</v>
      </c>
      <c r="O284">
        <f t="shared" si="18"/>
        <v>4918.13</v>
      </c>
      <c r="P284" t="str">
        <f t="shared" si="19"/>
        <v>Mar</v>
      </c>
    </row>
    <row r="285" spans="1:16" x14ac:dyDescent="0.25">
      <c r="A285">
        <v>1042</v>
      </c>
      <c r="B285" s="1">
        <v>45115</v>
      </c>
      <c r="C285">
        <f t="shared" si="16"/>
        <v>30650.099000000002</v>
      </c>
      <c r="D285">
        <v>23</v>
      </c>
      <c r="E285">
        <v>1314</v>
      </c>
      <c r="F285">
        <v>1567.78</v>
      </c>
      <c r="G285">
        <v>0.15</v>
      </c>
      <c r="H285" t="str">
        <f>PROPER(TRIM(sales_data!C285))</f>
        <v>Alice</v>
      </c>
      <c r="I285" t="str">
        <f>PROPER(TRIM(sales_data!D285))</f>
        <v>East</v>
      </c>
      <c r="J285" t="str">
        <f>PROPER(TRIM(sales_data!G285))</f>
        <v>Electronics</v>
      </c>
      <c r="K285" t="str">
        <f>PROPER(TRIM(sales_data!J285))</f>
        <v>Returning</v>
      </c>
      <c r="L285" t="str">
        <f>PROPER(TRIM(sales_data!L285))</f>
        <v>Credit Card</v>
      </c>
      <c r="M285" t="str">
        <f>PROPER(TRIM(sales_data!M285))</f>
        <v>Retail</v>
      </c>
      <c r="N285">
        <f t="shared" si="17"/>
        <v>253.77999999999997</v>
      </c>
      <c r="O285">
        <f t="shared" si="18"/>
        <v>5836.94</v>
      </c>
      <c r="P285" t="str">
        <f t="shared" si="19"/>
        <v>Jul</v>
      </c>
    </row>
    <row r="286" spans="1:16" x14ac:dyDescent="0.25">
      <c r="A286">
        <v>1099</v>
      </c>
      <c r="B286" s="1">
        <v>45286</v>
      </c>
      <c r="C286">
        <f t="shared" si="16"/>
        <v>95534.602499999994</v>
      </c>
      <c r="D286">
        <v>25</v>
      </c>
      <c r="E286">
        <v>4148.4799999999996</v>
      </c>
      <c r="F286">
        <v>4293.6899999999996</v>
      </c>
      <c r="G286">
        <v>0.11</v>
      </c>
      <c r="H286" t="str">
        <f>PROPER(TRIM(sales_data!C286))</f>
        <v>Eve</v>
      </c>
      <c r="I286" t="str">
        <f>PROPER(TRIM(sales_data!D286))</f>
        <v>West</v>
      </c>
      <c r="J286" t="str">
        <f>PROPER(TRIM(sales_data!G286))</f>
        <v>Electronics</v>
      </c>
      <c r="K286" t="str">
        <f>PROPER(TRIM(sales_data!J286))</f>
        <v>New</v>
      </c>
      <c r="L286" t="str">
        <f>PROPER(TRIM(sales_data!L286))</f>
        <v>Bank Transfer</v>
      </c>
      <c r="M286" t="str">
        <f>PROPER(TRIM(sales_data!M286))</f>
        <v>Online</v>
      </c>
      <c r="N286">
        <f t="shared" si="17"/>
        <v>145.21000000000004</v>
      </c>
      <c r="O286">
        <f t="shared" si="18"/>
        <v>3630.2500000000009</v>
      </c>
      <c r="P286" t="str">
        <f t="shared" si="19"/>
        <v>Dec</v>
      </c>
    </row>
    <row r="287" spans="1:16" x14ac:dyDescent="0.25">
      <c r="A287">
        <v>1007</v>
      </c>
      <c r="B287" s="1">
        <v>44975</v>
      </c>
      <c r="C287">
        <f t="shared" si="16"/>
        <v>72386.717399999994</v>
      </c>
      <c r="D287">
        <v>34</v>
      </c>
      <c r="E287">
        <v>1921.07</v>
      </c>
      <c r="F287">
        <v>2289.27</v>
      </c>
      <c r="G287">
        <v>7.0000000000000007E-2</v>
      </c>
      <c r="H287" t="str">
        <f>PROPER(TRIM(sales_data!C287))</f>
        <v>Alice</v>
      </c>
      <c r="I287" t="str">
        <f>PROPER(TRIM(sales_data!D287))</f>
        <v>South</v>
      </c>
      <c r="J287" t="str">
        <f>PROPER(TRIM(sales_data!G287))</f>
        <v>Clothing</v>
      </c>
      <c r="K287" t="str">
        <f>PROPER(TRIM(sales_data!J287))</f>
        <v>Returning</v>
      </c>
      <c r="L287" t="str">
        <f>PROPER(TRIM(sales_data!L287))</f>
        <v>Bank Transfer</v>
      </c>
      <c r="M287" t="str">
        <f>PROPER(TRIM(sales_data!M287))</f>
        <v>Retail</v>
      </c>
      <c r="N287">
        <f t="shared" si="17"/>
        <v>368.20000000000005</v>
      </c>
      <c r="O287">
        <f t="shared" si="18"/>
        <v>12518.800000000001</v>
      </c>
      <c r="P287" t="str">
        <f t="shared" si="19"/>
        <v>Feb</v>
      </c>
    </row>
    <row r="288" spans="1:16" x14ac:dyDescent="0.25">
      <c r="A288">
        <v>1016</v>
      </c>
      <c r="B288" s="1">
        <v>45253</v>
      </c>
      <c r="C288">
        <f t="shared" si="16"/>
        <v>96610.60500000001</v>
      </c>
      <c r="D288">
        <v>26</v>
      </c>
      <c r="E288">
        <v>4906.8500000000004</v>
      </c>
      <c r="F288">
        <v>4954.3900000000003</v>
      </c>
      <c r="G288">
        <v>0.25</v>
      </c>
      <c r="H288" t="str">
        <f>PROPER(TRIM(sales_data!C288))</f>
        <v>Eve</v>
      </c>
      <c r="I288" t="str">
        <f>PROPER(TRIM(sales_data!D288))</f>
        <v>East</v>
      </c>
      <c r="J288" t="str">
        <f>PROPER(TRIM(sales_data!G288))</f>
        <v>Clothing</v>
      </c>
      <c r="K288" t="str">
        <f>PROPER(TRIM(sales_data!J288))</f>
        <v>New</v>
      </c>
      <c r="L288" t="str">
        <f>PROPER(TRIM(sales_data!L288))</f>
        <v>Bank Transfer</v>
      </c>
      <c r="M288" t="str">
        <f>PROPER(TRIM(sales_data!M288))</f>
        <v>Online</v>
      </c>
      <c r="N288">
        <f t="shared" si="17"/>
        <v>47.539999999999964</v>
      </c>
      <c r="O288">
        <f t="shared" si="18"/>
        <v>1236.0399999999991</v>
      </c>
      <c r="P288" t="str">
        <f t="shared" si="19"/>
        <v>Nov</v>
      </c>
    </row>
    <row r="289" spans="1:16" x14ac:dyDescent="0.25">
      <c r="A289">
        <v>1090</v>
      </c>
      <c r="B289" s="1">
        <v>45183</v>
      </c>
      <c r="C289">
        <f t="shared" si="16"/>
        <v>103800.9382</v>
      </c>
      <c r="D289">
        <v>47</v>
      </c>
      <c r="E289">
        <v>2357.9499999999998</v>
      </c>
      <c r="F289">
        <v>2693.33</v>
      </c>
      <c r="G289">
        <v>0.18</v>
      </c>
      <c r="H289" t="str">
        <f>PROPER(TRIM(sales_data!C289))</f>
        <v>Charlie</v>
      </c>
      <c r="I289" t="str">
        <f>PROPER(TRIM(sales_data!D289))</f>
        <v>West</v>
      </c>
      <c r="J289" t="str">
        <f>PROPER(TRIM(sales_data!G289))</f>
        <v>Clothing</v>
      </c>
      <c r="K289" t="str">
        <f>PROPER(TRIM(sales_data!J289))</f>
        <v>New</v>
      </c>
      <c r="L289" t="str">
        <f>PROPER(TRIM(sales_data!L289))</f>
        <v>Bank Transfer</v>
      </c>
      <c r="M289" t="str">
        <f>PROPER(TRIM(sales_data!M289))</f>
        <v>Online</v>
      </c>
      <c r="N289">
        <f t="shared" si="17"/>
        <v>335.38000000000011</v>
      </c>
      <c r="O289">
        <f t="shared" si="18"/>
        <v>15762.860000000004</v>
      </c>
      <c r="P289" t="str">
        <f t="shared" si="19"/>
        <v>Sep</v>
      </c>
    </row>
    <row r="290" spans="1:16" x14ac:dyDescent="0.25">
      <c r="A290">
        <v>1060</v>
      </c>
      <c r="B290" s="1">
        <v>45150</v>
      </c>
      <c r="C290">
        <f t="shared" si="16"/>
        <v>17819.687999999998</v>
      </c>
      <c r="D290">
        <v>5</v>
      </c>
      <c r="E290">
        <v>3970.08</v>
      </c>
      <c r="F290">
        <v>4096.4799999999996</v>
      </c>
      <c r="G290">
        <v>0.13</v>
      </c>
      <c r="H290" t="str">
        <f>PROPER(TRIM(sales_data!C290))</f>
        <v>David</v>
      </c>
      <c r="I290" t="str">
        <f>PROPER(TRIM(sales_data!D290))</f>
        <v>North</v>
      </c>
      <c r="J290" t="str">
        <f>PROPER(TRIM(sales_data!G290))</f>
        <v>Furniture</v>
      </c>
      <c r="K290" t="str">
        <f>PROPER(TRIM(sales_data!J290))</f>
        <v>Returning</v>
      </c>
      <c r="L290" t="str">
        <f>PROPER(TRIM(sales_data!L290))</f>
        <v>Cash</v>
      </c>
      <c r="M290" t="str">
        <f>PROPER(TRIM(sales_data!M290))</f>
        <v>Retail</v>
      </c>
      <c r="N290">
        <f t="shared" si="17"/>
        <v>126.39999999999964</v>
      </c>
      <c r="O290">
        <f t="shared" si="18"/>
        <v>631.99999999999818</v>
      </c>
      <c r="P290" t="str">
        <f t="shared" si="19"/>
        <v>Aug</v>
      </c>
    </row>
    <row r="291" spans="1:16" x14ac:dyDescent="0.25">
      <c r="A291">
        <v>1002</v>
      </c>
      <c r="B291" s="1">
        <v>45067</v>
      </c>
      <c r="C291">
        <f t="shared" si="16"/>
        <v>42890.702399999995</v>
      </c>
      <c r="D291">
        <v>26</v>
      </c>
      <c r="E291">
        <v>2041.42</v>
      </c>
      <c r="F291">
        <v>2291.17</v>
      </c>
      <c r="G291">
        <v>0.28000000000000003</v>
      </c>
      <c r="H291" t="str">
        <f>PROPER(TRIM(sales_data!C291))</f>
        <v>Charlie</v>
      </c>
      <c r="I291" t="str">
        <f>PROPER(TRIM(sales_data!D291))</f>
        <v>West</v>
      </c>
      <c r="J291" t="str">
        <f>PROPER(TRIM(sales_data!G291))</f>
        <v>Clothing</v>
      </c>
      <c r="K291" t="str">
        <f>PROPER(TRIM(sales_data!J291))</f>
        <v>Returning</v>
      </c>
      <c r="L291" t="str">
        <f>PROPER(TRIM(sales_data!L291))</f>
        <v>Cash</v>
      </c>
      <c r="M291" t="str">
        <f>PROPER(TRIM(sales_data!M291))</f>
        <v>Online</v>
      </c>
      <c r="N291">
        <f t="shared" si="17"/>
        <v>249.75</v>
      </c>
      <c r="O291">
        <f t="shared" si="18"/>
        <v>6493.5</v>
      </c>
      <c r="P291" t="str">
        <f t="shared" si="19"/>
        <v>May</v>
      </c>
    </row>
    <row r="292" spans="1:16" x14ac:dyDescent="0.25">
      <c r="A292">
        <v>1001</v>
      </c>
      <c r="B292" s="1">
        <v>45141</v>
      </c>
      <c r="C292">
        <f t="shared" si="16"/>
        <v>45613.26</v>
      </c>
      <c r="D292">
        <v>20</v>
      </c>
      <c r="E292">
        <v>2153.52</v>
      </c>
      <c r="F292">
        <v>2303.6999999999998</v>
      </c>
      <c r="G292">
        <v>0.01</v>
      </c>
      <c r="H292" t="str">
        <f>PROPER(TRIM(sales_data!C292))</f>
        <v>Bob</v>
      </c>
      <c r="I292" t="str">
        <f>PROPER(TRIM(sales_data!D292))</f>
        <v>West</v>
      </c>
      <c r="J292" t="str">
        <f>PROPER(TRIM(sales_data!G292))</f>
        <v>Food</v>
      </c>
      <c r="K292" t="str">
        <f>PROPER(TRIM(sales_data!J292))</f>
        <v>Returning</v>
      </c>
      <c r="L292" t="str">
        <f>PROPER(TRIM(sales_data!L292))</f>
        <v>Cash</v>
      </c>
      <c r="M292" t="str">
        <f>PROPER(TRIM(sales_data!M292))</f>
        <v>Retail</v>
      </c>
      <c r="N292">
        <f t="shared" si="17"/>
        <v>150.17999999999984</v>
      </c>
      <c r="O292">
        <f t="shared" si="18"/>
        <v>3003.5999999999967</v>
      </c>
      <c r="P292" t="str">
        <f t="shared" si="19"/>
        <v>Aug</v>
      </c>
    </row>
    <row r="293" spans="1:16" x14ac:dyDescent="0.25">
      <c r="A293">
        <v>1048</v>
      </c>
      <c r="B293" s="1">
        <v>45137</v>
      </c>
      <c r="C293">
        <f t="shared" si="16"/>
        <v>10253.869199999999</v>
      </c>
      <c r="D293">
        <v>6</v>
      </c>
      <c r="E293">
        <v>1945.27</v>
      </c>
      <c r="F293">
        <v>2309.4299999999998</v>
      </c>
      <c r="G293">
        <v>0.26</v>
      </c>
      <c r="H293" t="str">
        <f>PROPER(TRIM(sales_data!C293))</f>
        <v>Alice</v>
      </c>
      <c r="I293" t="str">
        <f>PROPER(TRIM(sales_data!D293))</f>
        <v>North</v>
      </c>
      <c r="J293" t="str">
        <f>PROPER(TRIM(sales_data!G293))</f>
        <v>Furniture</v>
      </c>
      <c r="K293" t="str">
        <f>PROPER(TRIM(sales_data!J293))</f>
        <v>New</v>
      </c>
      <c r="L293" t="str">
        <f>PROPER(TRIM(sales_data!L293))</f>
        <v>Credit Card</v>
      </c>
      <c r="M293" t="str">
        <f>PROPER(TRIM(sales_data!M293))</f>
        <v>Online</v>
      </c>
      <c r="N293">
        <f t="shared" si="17"/>
        <v>364.15999999999985</v>
      </c>
      <c r="O293">
        <f t="shared" si="18"/>
        <v>2184.9599999999991</v>
      </c>
      <c r="P293" t="str">
        <f t="shared" si="19"/>
        <v>Jul</v>
      </c>
    </row>
    <row r="294" spans="1:16" x14ac:dyDescent="0.25">
      <c r="A294">
        <v>1012</v>
      </c>
      <c r="B294" s="1">
        <v>45244</v>
      </c>
      <c r="C294">
        <f t="shared" si="16"/>
        <v>17147.004000000001</v>
      </c>
      <c r="D294">
        <v>6</v>
      </c>
      <c r="E294">
        <v>3609.42</v>
      </c>
      <c r="F294">
        <v>4082.62</v>
      </c>
      <c r="G294">
        <v>0.3</v>
      </c>
      <c r="H294" t="str">
        <f>PROPER(TRIM(sales_data!C294))</f>
        <v>Eve</v>
      </c>
      <c r="I294" t="str">
        <f>PROPER(TRIM(sales_data!D294))</f>
        <v>North</v>
      </c>
      <c r="J294" t="str">
        <f>PROPER(TRIM(sales_data!G294))</f>
        <v>Clothing</v>
      </c>
      <c r="K294" t="str">
        <f>PROPER(TRIM(sales_data!J294))</f>
        <v>Returning</v>
      </c>
      <c r="L294" t="str">
        <f>PROPER(TRIM(sales_data!L294))</f>
        <v>Bank Transfer</v>
      </c>
      <c r="M294" t="str">
        <f>PROPER(TRIM(sales_data!M294))</f>
        <v>Retail</v>
      </c>
      <c r="N294">
        <f t="shared" si="17"/>
        <v>473.19999999999982</v>
      </c>
      <c r="O294">
        <f t="shared" si="18"/>
        <v>2839.1999999999989</v>
      </c>
      <c r="P294" t="str">
        <f t="shared" si="19"/>
        <v>Nov</v>
      </c>
    </row>
    <row r="295" spans="1:16" x14ac:dyDescent="0.25">
      <c r="A295">
        <v>1069</v>
      </c>
      <c r="B295" s="1">
        <v>44958</v>
      </c>
      <c r="C295">
        <f t="shared" si="16"/>
        <v>42305.281199999998</v>
      </c>
      <c r="D295">
        <v>18</v>
      </c>
      <c r="E295">
        <v>2760.21</v>
      </c>
      <c r="F295">
        <v>3219.58</v>
      </c>
      <c r="G295">
        <v>0.27</v>
      </c>
      <c r="H295" t="str">
        <f>PROPER(TRIM(sales_data!C295))</f>
        <v>Eve</v>
      </c>
      <c r="I295" t="str">
        <f>PROPER(TRIM(sales_data!D295))</f>
        <v>North</v>
      </c>
      <c r="J295" t="str">
        <f>PROPER(TRIM(sales_data!G295))</f>
        <v>Furniture</v>
      </c>
      <c r="K295" t="str">
        <f>PROPER(TRIM(sales_data!J295))</f>
        <v>New</v>
      </c>
      <c r="L295" t="str">
        <f>PROPER(TRIM(sales_data!L295))</f>
        <v>Bank Transfer</v>
      </c>
      <c r="M295" t="str">
        <f>PROPER(TRIM(sales_data!M295))</f>
        <v>Retail</v>
      </c>
      <c r="N295">
        <f t="shared" si="17"/>
        <v>459.36999999999989</v>
      </c>
      <c r="O295">
        <f t="shared" si="18"/>
        <v>8268.659999999998</v>
      </c>
      <c r="P295" t="str">
        <f t="shared" si="19"/>
        <v>Feb</v>
      </c>
    </row>
    <row r="296" spans="1:16" x14ac:dyDescent="0.25">
      <c r="A296">
        <v>1037</v>
      </c>
      <c r="B296" s="1">
        <v>45084</v>
      </c>
      <c r="C296">
        <f t="shared" si="16"/>
        <v>15253.4432</v>
      </c>
      <c r="D296">
        <v>4</v>
      </c>
      <c r="E296">
        <v>4721.7</v>
      </c>
      <c r="F296">
        <v>5017.58</v>
      </c>
      <c r="G296">
        <v>0.24</v>
      </c>
      <c r="H296" t="str">
        <f>PROPER(TRIM(sales_data!C296))</f>
        <v>Alice</v>
      </c>
      <c r="I296" t="str">
        <f>PROPER(TRIM(sales_data!D296))</f>
        <v>South</v>
      </c>
      <c r="J296" t="str">
        <f>PROPER(TRIM(sales_data!G296))</f>
        <v>Food</v>
      </c>
      <c r="K296" t="str">
        <f>PROPER(TRIM(sales_data!J296))</f>
        <v>New</v>
      </c>
      <c r="L296" t="str">
        <f>PROPER(TRIM(sales_data!L296))</f>
        <v>Cash</v>
      </c>
      <c r="M296" t="str">
        <f>PROPER(TRIM(sales_data!M296))</f>
        <v>Retail</v>
      </c>
      <c r="N296">
        <f t="shared" si="17"/>
        <v>295.88000000000011</v>
      </c>
      <c r="O296">
        <f t="shared" si="18"/>
        <v>1183.5200000000004</v>
      </c>
      <c r="P296" t="str">
        <f t="shared" si="19"/>
        <v>Jun</v>
      </c>
    </row>
    <row r="297" spans="1:16" x14ac:dyDescent="0.25">
      <c r="A297">
        <v>1032</v>
      </c>
      <c r="B297" s="1">
        <v>45211</v>
      </c>
      <c r="C297">
        <f t="shared" si="16"/>
        <v>23127.566699999999</v>
      </c>
      <c r="D297">
        <v>17</v>
      </c>
      <c r="E297">
        <v>1291.9100000000001</v>
      </c>
      <c r="F297">
        <v>1528.59</v>
      </c>
      <c r="G297">
        <v>0.11</v>
      </c>
      <c r="H297" t="str">
        <f>PROPER(TRIM(sales_data!C297))</f>
        <v>Alice</v>
      </c>
      <c r="I297" t="str">
        <f>PROPER(TRIM(sales_data!D297))</f>
        <v>North</v>
      </c>
      <c r="J297" t="str">
        <f>PROPER(TRIM(sales_data!G297))</f>
        <v>Clothing</v>
      </c>
      <c r="K297" t="str">
        <f>PROPER(TRIM(sales_data!J297))</f>
        <v>Returning</v>
      </c>
      <c r="L297" t="str">
        <f>PROPER(TRIM(sales_data!L297))</f>
        <v>Credit Card</v>
      </c>
      <c r="M297" t="str">
        <f>PROPER(TRIM(sales_data!M297))</f>
        <v>Retail</v>
      </c>
      <c r="N297">
        <f t="shared" si="17"/>
        <v>236.67999999999984</v>
      </c>
      <c r="O297">
        <f t="shared" si="18"/>
        <v>4023.5599999999972</v>
      </c>
      <c r="P297" t="str">
        <f t="shared" si="19"/>
        <v>Oct</v>
      </c>
    </row>
    <row r="298" spans="1:16" x14ac:dyDescent="0.25">
      <c r="A298">
        <v>1009</v>
      </c>
      <c r="B298" s="1">
        <v>45231</v>
      </c>
      <c r="C298">
        <f t="shared" si="16"/>
        <v>12483.055199999999</v>
      </c>
      <c r="D298">
        <v>14</v>
      </c>
      <c r="E298">
        <v>547.79</v>
      </c>
      <c r="F298">
        <v>958.76</v>
      </c>
      <c r="G298">
        <v>7.0000000000000007E-2</v>
      </c>
      <c r="H298" t="str">
        <f>PROPER(TRIM(sales_data!C298))</f>
        <v>Bob</v>
      </c>
      <c r="I298" t="str">
        <f>PROPER(TRIM(sales_data!D298))</f>
        <v>South</v>
      </c>
      <c r="J298" t="str">
        <f>PROPER(TRIM(sales_data!G298))</f>
        <v>Food</v>
      </c>
      <c r="K298" t="str">
        <f>PROPER(TRIM(sales_data!J298))</f>
        <v>Returning</v>
      </c>
      <c r="L298" t="str">
        <f>PROPER(TRIM(sales_data!L298))</f>
        <v>Credit Card</v>
      </c>
      <c r="M298" t="str">
        <f>PROPER(TRIM(sales_data!M298))</f>
        <v>Retail</v>
      </c>
      <c r="N298">
        <f t="shared" si="17"/>
        <v>410.97</v>
      </c>
      <c r="O298">
        <f t="shared" si="18"/>
        <v>5753.58</v>
      </c>
      <c r="P298" t="str">
        <f t="shared" si="19"/>
        <v>Nov</v>
      </c>
    </row>
    <row r="299" spans="1:16" x14ac:dyDescent="0.25">
      <c r="A299">
        <v>1099</v>
      </c>
      <c r="B299" s="1">
        <v>45212</v>
      </c>
      <c r="C299">
        <f t="shared" si="16"/>
        <v>25568.852399999996</v>
      </c>
      <c r="D299">
        <v>14</v>
      </c>
      <c r="E299">
        <v>1996.64</v>
      </c>
      <c r="F299">
        <v>2341.4699999999998</v>
      </c>
      <c r="G299">
        <v>0.22</v>
      </c>
      <c r="H299" t="str">
        <f>PROPER(TRIM(sales_data!C299))</f>
        <v>Charlie</v>
      </c>
      <c r="I299" t="str">
        <f>PROPER(TRIM(sales_data!D299))</f>
        <v>North</v>
      </c>
      <c r="J299" t="str">
        <f>PROPER(TRIM(sales_data!G299))</f>
        <v>Food</v>
      </c>
      <c r="K299" t="str">
        <f>PROPER(TRIM(sales_data!J299))</f>
        <v>Returning</v>
      </c>
      <c r="L299" t="str">
        <f>PROPER(TRIM(sales_data!L299))</f>
        <v>Credit Card</v>
      </c>
      <c r="M299" t="str">
        <f>PROPER(TRIM(sales_data!M299))</f>
        <v>Online</v>
      </c>
      <c r="N299">
        <f t="shared" si="17"/>
        <v>344.8299999999997</v>
      </c>
      <c r="O299">
        <f t="shared" si="18"/>
        <v>4827.6199999999953</v>
      </c>
      <c r="P299" t="str">
        <f t="shared" si="19"/>
        <v>Oct</v>
      </c>
    </row>
    <row r="300" spans="1:16" x14ac:dyDescent="0.25">
      <c r="A300">
        <v>1019</v>
      </c>
      <c r="B300" s="1">
        <v>45070</v>
      </c>
      <c r="C300">
        <f t="shared" si="16"/>
        <v>37887.704399999995</v>
      </c>
      <c r="D300">
        <v>13</v>
      </c>
      <c r="E300">
        <v>3102.73</v>
      </c>
      <c r="F300">
        <v>3202.68</v>
      </c>
      <c r="G300">
        <v>0.09</v>
      </c>
      <c r="H300" t="str">
        <f>PROPER(TRIM(sales_data!C300))</f>
        <v>Eve</v>
      </c>
      <c r="I300" t="str">
        <f>PROPER(TRIM(sales_data!D300))</f>
        <v>South</v>
      </c>
      <c r="J300" t="str">
        <f>PROPER(TRIM(sales_data!G300))</f>
        <v>Food</v>
      </c>
      <c r="K300" t="str">
        <f>PROPER(TRIM(sales_data!J300))</f>
        <v>New</v>
      </c>
      <c r="L300" t="str">
        <f>PROPER(TRIM(sales_data!L300))</f>
        <v>Cash</v>
      </c>
      <c r="M300" t="str">
        <f>PROPER(TRIM(sales_data!M300))</f>
        <v>Online</v>
      </c>
      <c r="N300">
        <f t="shared" si="17"/>
        <v>99.949999999999818</v>
      </c>
      <c r="O300">
        <f t="shared" si="18"/>
        <v>1299.3499999999976</v>
      </c>
      <c r="P300" t="str">
        <f t="shared" si="19"/>
        <v>May</v>
      </c>
    </row>
    <row r="301" spans="1:16" x14ac:dyDescent="0.25">
      <c r="A301">
        <v>1048</v>
      </c>
      <c r="B301" s="1">
        <v>44945</v>
      </c>
      <c r="C301">
        <f t="shared" si="16"/>
        <v>31409.279999999999</v>
      </c>
      <c r="D301">
        <v>7</v>
      </c>
      <c r="E301">
        <v>4310.95</v>
      </c>
      <c r="F301">
        <v>4723.2</v>
      </c>
      <c r="G301">
        <v>0.05</v>
      </c>
      <c r="H301" t="str">
        <f>PROPER(TRIM(sales_data!C301))</f>
        <v>Bob</v>
      </c>
      <c r="I301" t="str">
        <f>PROPER(TRIM(sales_data!D301))</f>
        <v>West</v>
      </c>
      <c r="J301" t="str">
        <f>PROPER(TRIM(sales_data!G301))</f>
        <v>Clothing</v>
      </c>
      <c r="K301" t="str">
        <f>PROPER(TRIM(sales_data!J301))</f>
        <v>Returning</v>
      </c>
      <c r="L301" t="str">
        <f>PROPER(TRIM(sales_data!L301))</f>
        <v>Credit Card</v>
      </c>
      <c r="M301" t="str">
        <f>PROPER(TRIM(sales_data!M301))</f>
        <v>Retail</v>
      </c>
      <c r="N301">
        <f t="shared" si="17"/>
        <v>412.25</v>
      </c>
      <c r="O301">
        <f t="shared" si="18"/>
        <v>2885.75</v>
      </c>
      <c r="P301" t="str">
        <f t="shared" si="19"/>
        <v>Jan</v>
      </c>
    </row>
    <row r="302" spans="1:16" x14ac:dyDescent="0.25">
      <c r="A302">
        <v>1080</v>
      </c>
      <c r="B302" s="1">
        <v>44944</v>
      </c>
      <c r="C302">
        <f t="shared" si="16"/>
        <v>66338.940799999997</v>
      </c>
      <c r="D302">
        <v>44</v>
      </c>
      <c r="E302">
        <v>1763.67</v>
      </c>
      <c r="F302">
        <v>1983.82</v>
      </c>
      <c r="G302">
        <v>0.24</v>
      </c>
      <c r="H302" t="str">
        <f>PROPER(TRIM(sales_data!C302))</f>
        <v>Charlie</v>
      </c>
      <c r="I302" t="str">
        <f>PROPER(TRIM(sales_data!D302))</f>
        <v>East</v>
      </c>
      <c r="J302" t="str">
        <f>PROPER(TRIM(sales_data!G302))</f>
        <v>Electronics</v>
      </c>
      <c r="K302" t="str">
        <f>PROPER(TRIM(sales_data!J302))</f>
        <v>New</v>
      </c>
      <c r="L302" t="str">
        <f>PROPER(TRIM(sales_data!L302))</f>
        <v>Credit Card</v>
      </c>
      <c r="M302" t="str">
        <f>PROPER(TRIM(sales_data!M302))</f>
        <v>Online</v>
      </c>
      <c r="N302">
        <f t="shared" si="17"/>
        <v>220.14999999999986</v>
      </c>
      <c r="O302">
        <f t="shared" si="18"/>
        <v>9686.5999999999949</v>
      </c>
      <c r="P302" t="str">
        <f t="shared" si="19"/>
        <v>Jan</v>
      </c>
    </row>
    <row r="303" spans="1:16" x14ac:dyDescent="0.25">
      <c r="A303">
        <v>1003</v>
      </c>
      <c r="B303" s="1">
        <v>45183</v>
      </c>
      <c r="C303">
        <f t="shared" si="16"/>
        <v>46257.665999999866</v>
      </c>
      <c r="D303">
        <v>15</v>
      </c>
      <c r="E303">
        <v>3286.24</v>
      </c>
      <c r="F303">
        <v>3388.8399999999901</v>
      </c>
      <c r="G303">
        <v>0.09</v>
      </c>
      <c r="H303" t="str">
        <f>PROPER(TRIM(sales_data!C303))</f>
        <v>Bob</v>
      </c>
      <c r="I303" t="str">
        <f>PROPER(TRIM(sales_data!D303))</f>
        <v>West</v>
      </c>
      <c r="J303" t="str">
        <f>PROPER(TRIM(sales_data!G303))</f>
        <v>Clothing</v>
      </c>
      <c r="K303" t="str">
        <f>PROPER(TRIM(sales_data!J303))</f>
        <v>Returning</v>
      </c>
      <c r="L303" t="str">
        <f>PROPER(TRIM(sales_data!L303))</f>
        <v>Credit Card</v>
      </c>
      <c r="M303" t="str">
        <f>PROPER(TRIM(sales_data!M303))</f>
        <v>Retail</v>
      </c>
      <c r="N303">
        <f t="shared" si="17"/>
        <v>102.59999999999036</v>
      </c>
      <c r="O303">
        <f t="shared" si="18"/>
        <v>1538.9999999998554</v>
      </c>
      <c r="P303" t="str">
        <f t="shared" si="19"/>
        <v>Sep</v>
      </c>
    </row>
    <row r="304" spans="1:16" x14ac:dyDescent="0.25">
      <c r="A304">
        <v>1020</v>
      </c>
      <c r="B304" s="1">
        <v>45004</v>
      </c>
      <c r="C304">
        <f t="shared" si="16"/>
        <v>26790.7372</v>
      </c>
      <c r="D304">
        <v>19</v>
      </c>
      <c r="E304">
        <v>1783.48</v>
      </c>
      <c r="F304">
        <v>1931.56</v>
      </c>
      <c r="G304">
        <v>0.27</v>
      </c>
      <c r="H304" t="str">
        <f>PROPER(TRIM(sales_data!C304))</f>
        <v>Eve</v>
      </c>
      <c r="I304" t="str">
        <f>PROPER(TRIM(sales_data!D304))</f>
        <v>West</v>
      </c>
      <c r="J304" t="str">
        <f>PROPER(TRIM(sales_data!G304))</f>
        <v>Food</v>
      </c>
      <c r="K304" t="str">
        <f>PROPER(TRIM(sales_data!J304))</f>
        <v>Returning</v>
      </c>
      <c r="L304" t="str">
        <f>PROPER(TRIM(sales_data!L304))</f>
        <v>Bank Transfer</v>
      </c>
      <c r="M304" t="str">
        <f>PROPER(TRIM(sales_data!M304))</f>
        <v>Retail</v>
      </c>
      <c r="N304">
        <f t="shared" si="17"/>
        <v>148.07999999999993</v>
      </c>
      <c r="O304">
        <f t="shared" si="18"/>
        <v>2813.5199999999986</v>
      </c>
      <c r="P304" t="str">
        <f t="shared" si="19"/>
        <v>Mar</v>
      </c>
    </row>
    <row r="305" spans="1:16" x14ac:dyDescent="0.25">
      <c r="A305">
        <v>1024</v>
      </c>
      <c r="B305" s="1">
        <v>45101</v>
      </c>
      <c r="C305">
        <f t="shared" si="16"/>
        <v>104694.1425</v>
      </c>
      <c r="D305">
        <v>43</v>
      </c>
      <c r="E305">
        <v>3105.24</v>
      </c>
      <c r="F305">
        <v>3246.33</v>
      </c>
      <c r="G305">
        <v>0.25</v>
      </c>
      <c r="H305" t="str">
        <f>PROPER(TRIM(sales_data!C305))</f>
        <v>Alice</v>
      </c>
      <c r="I305" t="str">
        <f>PROPER(TRIM(sales_data!D305))</f>
        <v>North</v>
      </c>
      <c r="J305" t="str">
        <f>PROPER(TRIM(sales_data!G305))</f>
        <v>Clothing</v>
      </c>
      <c r="K305" t="str">
        <f>PROPER(TRIM(sales_data!J305))</f>
        <v>New</v>
      </c>
      <c r="L305" t="str">
        <f>PROPER(TRIM(sales_data!L305))</f>
        <v>Cash</v>
      </c>
      <c r="M305" t="str">
        <f>PROPER(TRIM(sales_data!M305))</f>
        <v>Online</v>
      </c>
      <c r="N305">
        <f t="shared" si="17"/>
        <v>141.09000000000015</v>
      </c>
      <c r="O305">
        <f t="shared" si="18"/>
        <v>6066.8700000000063</v>
      </c>
      <c r="P305" t="str">
        <f t="shared" si="19"/>
        <v>Jun</v>
      </c>
    </row>
    <row r="306" spans="1:16" x14ac:dyDescent="0.25">
      <c r="A306">
        <v>1054</v>
      </c>
      <c r="B306" s="1">
        <v>45120</v>
      </c>
      <c r="C306">
        <f t="shared" si="16"/>
        <v>165470.9025</v>
      </c>
      <c r="D306">
        <v>47</v>
      </c>
      <c r="E306">
        <v>4429.8</v>
      </c>
      <c r="F306">
        <v>4694.21</v>
      </c>
      <c r="G306">
        <v>0.25</v>
      </c>
      <c r="H306" t="str">
        <f>PROPER(TRIM(sales_data!C306))</f>
        <v>Alice</v>
      </c>
      <c r="I306" t="str">
        <f>PROPER(TRIM(sales_data!D306))</f>
        <v>South</v>
      </c>
      <c r="J306" t="str">
        <f>PROPER(TRIM(sales_data!G306))</f>
        <v>Food</v>
      </c>
      <c r="K306" t="str">
        <f>PROPER(TRIM(sales_data!J306))</f>
        <v>New</v>
      </c>
      <c r="L306" t="str">
        <f>PROPER(TRIM(sales_data!L306))</f>
        <v>Bank Transfer</v>
      </c>
      <c r="M306" t="str">
        <f>PROPER(TRIM(sales_data!M306))</f>
        <v>Online</v>
      </c>
      <c r="N306">
        <f t="shared" si="17"/>
        <v>264.40999999999985</v>
      </c>
      <c r="O306">
        <f t="shared" si="18"/>
        <v>12427.269999999993</v>
      </c>
      <c r="P306" t="str">
        <f t="shared" si="19"/>
        <v>Jul</v>
      </c>
    </row>
    <row r="307" spans="1:16" x14ac:dyDescent="0.25">
      <c r="A307">
        <v>1033</v>
      </c>
      <c r="B307" s="1">
        <v>45039</v>
      </c>
      <c r="C307">
        <f t="shared" si="16"/>
        <v>44723.632799999999</v>
      </c>
      <c r="D307">
        <v>44</v>
      </c>
      <c r="E307">
        <v>1195.22</v>
      </c>
      <c r="F307">
        <v>1320.06</v>
      </c>
      <c r="G307">
        <v>0.23</v>
      </c>
      <c r="H307" t="str">
        <f>PROPER(TRIM(sales_data!C307))</f>
        <v>Charlie</v>
      </c>
      <c r="I307" t="str">
        <f>PROPER(TRIM(sales_data!D307))</f>
        <v>East</v>
      </c>
      <c r="J307" t="str">
        <f>PROPER(TRIM(sales_data!G307))</f>
        <v>Electronics</v>
      </c>
      <c r="K307" t="str">
        <f>PROPER(TRIM(sales_data!J307))</f>
        <v>Returning</v>
      </c>
      <c r="L307" t="str">
        <f>PROPER(TRIM(sales_data!L307))</f>
        <v>Bank Transfer</v>
      </c>
      <c r="M307" t="str">
        <f>PROPER(TRIM(sales_data!M307))</f>
        <v>Retail</v>
      </c>
      <c r="N307">
        <f t="shared" si="17"/>
        <v>124.83999999999992</v>
      </c>
      <c r="O307">
        <f t="shared" si="18"/>
        <v>5492.9599999999964</v>
      </c>
      <c r="P307" t="str">
        <f t="shared" si="19"/>
        <v>Apr</v>
      </c>
    </row>
    <row r="308" spans="1:16" x14ac:dyDescent="0.25">
      <c r="A308">
        <v>1024</v>
      </c>
      <c r="B308" s="1">
        <v>45040</v>
      </c>
      <c r="C308">
        <f t="shared" si="16"/>
        <v>54948.144999999997</v>
      </c>
      <c r="D308">
        <v>35</v>
      </c>
      <c r="E308">
        <v>2051</v>
      </c>
      <c r="F308">
        <v>2121.5500000000002</v>
      </c>
      <c r="G308">
        <v>0.26</v>
      </c>
      <c r="H308" t="str">
        <f>PROPER(TRIM(sales_data!C308))</f>
        <v>David</v>
      </c>
      <c r="I308" t="str">
        <f>PROPER(TRIM(sales_data!D308))</f>
        <v>North</v>
      </c>
      <c r="J308" t="str">
        <f>PROPER(TRIM(sales_data!G308))</f>
        <v>Furniture</v>
      </c>
      <c r="K308" t="str">
        <f>PROPER(TRIM(sales_data!J308))</f>
        <v>Returning</v>
      </c>
      <c r="L308" t="str">
        <f>PROPER(TRIM(sales_data!L308))</f>
        <v>Cash</v>
      </c>
      <c r="M308" t="str">
        <f>PROPER(TRIM(sales_data!M308))</f>
        <v>Retail</v>
      </c>
      <c r="N308">
        <f t="shared" si="17"/>
        <v>70.550000000000182</v>
      </c>
      <c r="O308">
        <f t="shared" si="18"/>
        <v>2469.2500000000064</v>
      </c>
      <c r="P308" t="str">
        <f t="shared" si="19"/>
        <v>Apr</v>
      </c>
    </row>
    <row r="309" spans="1:16" x14ac:dyDescent="0.25">
      <c r="A309">
        <v>1075</v>
      </c>
      <c r="B309" s="1">
        <v>45148</v>
      </c>
      <c r="C309">
        <f t="shared" si="16"/>
        <v>65081.528399999879</v>
      </c>
      <c r="D309">
        <v>17</v>
      </c>
      <c r="E309">
        <v>4966.66</v>
      </c>
      <c r="F309">
        <v>5037.2699999999904</v>
      </c>
      <c r="G309">
        <v>0.24</v>
      </c>
      <c r="H309" t="str">
        <f>PROPER(TRIM(sales_data!C309))</f>
        <v>Charlie</v>
      </c>
      <c r="I309" t="str">
        <f>PROPER(TRIM(sales_data!D309))</f>
        <v>North</v>
      </c>
      <c r="J309" t="str">
        <f>PROPER(TRIM(sales_data!G309))</f>
        <v>Electronics</v>
      </c>
      <c r="K309" t="str">
        <f>PROPER(TRIM(sales_data!J309))</f>
        <v>Returning</v>
      </c>
      <c r="L309" t="str">
        <f>PROPER(TRIM(sales_data!L309))</f>
        <v>Bank Transfer</v>
      </c>
      <c r="M309" t="str">
        <f>PROPER(TRIM(sales_data!M309))</f>
        <v>Retail</v>
      </c>
      <c r="N309">
        <f t="shared" si="17"/>
        <v>70.609999999990578</v>
      </c>
      <c r="O309">
        <f t="shared" si="18"/>
        <v>1200.3699999998398</v>
      </c>
      <c r="P309" t="str">
        <f t="shared" si="19"/>
        <v>Aug</v>
      </c>
    </row>
    <row r="310" spans="1:16" x14ac:dyDescent="0.25">
      <c r="A310">
        <v>1072</v>
      </c>
      <c r="B310" s="1">
        <v>45092</v>
      </c>
      <c r="C310">
        <f t="shared" si="16"/>
        <v>133316.37900000002</v>
      </c>
      <c r="D310">
        <v>35</v>
      </c>
      <c r="E310">
        <v>4349.3599999999997</v>
      </c>
      <c r="F310">
        <v>4645.17</v>
      </c>
      <c r="G310">
        <v>0.18</v>
      </c>
      <c r="H310" t="str">
        <f>PROPER(TRIM(sales_data!C310))</f>
        <v>David</v>
      </c>
      <c r="I310" t="str">
        <f>PROPER(TRIM(sales_data!D310))</f>
        <v>North</v>
      </c>
      <c r="J310" t="str">
        <f>PROPER(TRIM(sales_data!G310))</f>
        <v>Electronics</v>
      </c>
      <c r="K310" t="str">
        <f>PROPER(TRIM(sales_data!J310))</f>
        <v>Returning</v>
      </c>
      <c r="L310" t="str">
        <f>PROPER(TRIM(sales_data!L310))</f>
        <v>Credit Card</v>
      </c>
      <c r="M310" t="str">
        <f>PROPER(TRIM(sales_data!M310))</f>
        <v>Retail</v>
      </c>
      <c r="N310">
        <f t="shared" si="17"/>
        <v>295.8100000000004</v>
      </c>
      <c r="O310">
        <f t="shared" si="18"/>
        <v>10353.350000000013</v>
      </c>
      <c r="P310" t="str">
        <f t="shared" si="19"/>
        <v>Jun</v>
      </c>
    </row>
    <row r="311" spans="1:16" x14ac:dyDescent="0.25">
      <c r="A311">
        <v>1036</v>
      </c>
      <c r="B311" s="1">
        <v>45245</v>
      </c>
      <c r="C311">
        <f t="shared" si="16"/>
        <v>55587.35</v>
      </c>
      <c r="D311">
        <v>19</v>
      </c>
      <c r="E311">
        <v>2844.97</v>
      </c>
      <c r="F311">
        <v>3215</v>
      </c>
      <c r="G311">
        <v>0.09</v>
      </c>
      <c r="H311" t="str">
        <f>PROPER(TRIM(sales_data!C311))</f>
        <v>Bob</v>
      </c>
      <c r="I311" t="str">
        <f>PROPER(TRIM(sales_data!D311))</f>
        <v>West</v>
      </c>
      <c r="J311" t="str">
        <f>PROPER(TRIM(sales_data!G311))</f>
        <v>Furniture</v>
      </c>
      <c r="K311" t="str">
        <f>PROPER(TRIM(sales_data!J311))</f>
        <v>Returning</v>
      </c>
      <c r="L311" t="str">
        <f>PROPER(TRIM(sales_data!L311))</f>
        <v>Credit Card</v>
      </c>
      <c r="M311" t="str">
        <f>PROPER(TRIM(sales_data!M311))</f>
        <v>Retail</v>
      </c>
      <c r="N311">
        <f t="shared" si="17"/>
        <v>370.0300000000002</v>
      </c>
      <c r="O311">
        <f t="shared" si="18"/>
        <v>7030.5700000000033</v>
      </c>
      <c r="P311" t="str">
        <f t="shared" si="19"/>
        <v>Nov</v>
      </c>
    </row>
    <row r="312" spans="1:16" x14ac:dyDescent="0.25">
      <c r="A312">
        <v>1038</v>
      </c>
      <c r="B312" s="1">
        <v>45058</v>
      </c>
      <c r="C312">
        <f t="shared" si="16"/>
        <v>40512.956000000006</v>
      </c>
      <c r="D312">
        <v>20</v>
      </c>
      <c r="E312">
        <v>2607.31</v>
      </c>
      <c r="F312">
        <v>2774.86</v>
      </c>
      <c r="G312">
        <v>0.27</v>
      </c>
      <c r="H312" t="str">
        <f>PROPER(TRIM(sales_data!C312))</f>
        <v>Bob</v>
      </c>
      <c r="I312" t="str">
        <f>PROPER(TRIM(sales_data!D312))</f>
        <v>South</v>
      </c>
      <c r="J312" t="str">
        <f>PROPER(TRIM(sales_data!G312))</f>
        <v>Clothing</v>
      </c>
      <c r="K312" t="str">
        <f>PROPER(TRIM(sales_data!J312))</f>
        <v>New</v>
      </c>
      <c r="L312" t="str">
        <f>PROPER(TRIM(sales_data!L312))</f>
        <v>Credit Card</v>
      </c>
      <c r="M312" t="str">
        <f>PROPER(TRIM(sales_data!M312))</f>
        <v>Retail</v>
      </c>
      <c r="N312">
        <f t="shared" si="17"/>
        <v>167.55000000000018</v>
      </c>
      <c r="O312">
        <f t="shared" si="18"/>
        <v>3351.0000000000036</v>
      </c>
      <c r="P312" t="str">
        <f t="shared" si="19"/>
        <v>May</v>
      </c>
    </row>
    <row r="313" spans="1:16" x14ac:dyDescent="0.25">
      <c r="A313">
        <v>1084</v>
      </c>
      <c r="B313" s="1">
        <v>45190</v>
      </c>
      <c r="C313">
        <f t="shared" si="16"/>
        <v>40115.25</v>
      </c>
      <c r="D313">
        <v>36</v>
      </c>
      <c r="E313">
        <v>1458.77</v>
      </c>
      <c r="F313">
        <v>1485.75</v>
      </c>
      <c r="G313">
        <v>0.25</v>
      </c>
      <c r="H313" t="str">
        <f>PROPER(TRIM(sales_data!C313))</f>
        <v>Eve</v>
      </c>
      <c r="I313" t="str">
        <f>PROPER(TRIM(sales_data!D313))</f>
        <v>South</v>
      </c>
      <c r="J313" t="str">
        <f>PROPER(TRIM(sales_data!G313))</f>
        <v>Furniture</v>
      </c>
      <c r="K313" t="str">
        <f>PROPER(TRIM(sales_data!J313))</f>
        <v>New</v>
      </c>
      <c r="L313" t="str">
        <f>PROPER(TRIM(sales_data!L313))</f>
        <v>Credit Card</v>
      </c>
      <c r="M313" t="str">
        <f>PROPER(TRIM(sales_data!M313))</f>
        <v>Online</v>
      </c>
      <c r="N313">
        <f t="shared" si="17"/>
        <v>26.980000000000018</v>
      </c>
      <c r="O313">
        <f t="shared" si="18"/>
        <v>971.28000000000065</v>
      </c>
      <c r="P313" t="str">
        <f t="shared" si="19"/>
        <v>Sep</v>
      </c>
    </row>
    <row r="314" spans="1:16" x14ac:dyDescent="0.25">
      <c r="A314">
        <v>1099</v>
      </c>
      <c r="B314" s="1">
        <v>44981</v>
      </c>
      <c r="C314">
        <f t="shared" si="16"/>
        <v>80744.153000000006</v>
      </c>
      <c r="D314">
        <v>35</v>
      </c>
      <c r="E314">
        <v>2610.19</v>
      </c>
      <c r="F314">
        <v>2682.53</v>
      </c>
      <c r="G314">
        <v>0.14000000000000001</v>
      </c>
      <c r="H314" t="str">
        <f>PROPER(TRIM(sales_data!C314))</f>
        <v>David</v>
      </c>
      <c r="I314" t="str">
        <f>PROPER(TRIM(sales_data!D314))</f>
        <v>East</v>
      </c>
      <c r="J314" t="str">
        <f>PROPER(TRIM(sales_data!G314))</f>
        <v>Clothing</v>
      </c>
      <c r="K314" t="str">
        <f>PROPER(TRIM(sales_data!J314))</f>
        <v>New</v>
      </c>
      <c r="L314" t="str">
        <f>PROPER(TRIM(sales_data!L314))</f>
        <v>Cash</v>
      </c>
      <c r="M314" t="str">
        <f>PROPER(TRIM(sales_data!M314))</f>
        <v>Retail</v>
      </c>
      <c r="N314">
        <f t="shared" si="17"/>
        <v>72.340000000000146</v>
      </c>
      <c r="O314">
        <f t="shared" si="18"/>
        <v>2531.9000000000051</v>
      </c>
      <c r="P314" t="str">
        <f t="shared" si="19"/>
        <v>Feb</v>
      </c>
    </row>
    <row r="315" spans="1:16" x14ac:dyDescent="0.25">
      <c r="A315">
        <v>1089</v>
      </c>
      <c r="B315" s="1">
        <v>45285</v>
      </c>
      <c r="C315">
        <f t="shared" si="16"/>
        <v>149108.25599999999</v>
      </c>
      <c r="D315">
        <v>32</v>
      </c>
      <c r="E315">
        <v>4248.5</v>
      </c>
      <c r="F315">
        <v>4706.7</v>
      </c>
      <c r="G315">
        <v>0.01</v>
      </c>
      <c r="H315" t="str">
        <f>PROPER(TRIM(sales_data!C315))</f>
        <v>Eve</v>
      </c>
      <c r="I315" t="str">
        <f>PROPER(TRIM(sales_data!D315))</f>
        <v>South</v>
      </c>
      <c r="J315" t="str">
        <f>PROPER(TRIM(sales_data!G315))</f>
        <v>Clothing</v>
      </c>
      <c r="K315" t="str">
        <f>PROPER(TRIM(sales_data!J315))</f>
        <v>New</v>
      </c>
      <c r="L315" t="str">
        <f>PROPER(TRIM(sales_data!L315))</f>
        <v>Bank Transfer</v>
      </c>
      <c r="M315" t="str">
        <f>PROPER(TRIM(sales_data!M315))</f>
        <v>Retail</v>
      </c>
      <c r="N315">
        <f t="shared" si="17"/>
        <v>458.19999999999982</v>
      </c>
      <c r="O315">
        <f t="shared" si="18"/>
        <v>14662.399999999994</v>
      </c>
      <c r="P315" t="str">
        <f t="shared" si="19"/>
        <v>Dec</v>
      </c>
    </row>
    <row r="316" spans="1:16" x14ac:dyDescent="0.25">
      <c r="A316">
        <v>1099</v>
      </c>
      <c r="B316" s="1">
        <v>45057</v>
      </c>
      <c r="C316">
        <f t="shared" si="16"/>
        <v>143601.33599999998</v>
      </c>
      <c r="D316">
        <v>48</v>
      </c>
      <c r="E316">
        <v>3441.61</v>
      </c>
      <c r="F316">
        <v>3693.45</v>
      </c>
      <c r="G316">
        <v>0.19</v>
      </c>
      <c r="H316" t="str">
        <f>PROPER(TRIM(sales_data!C316))</f>
        <v>Alice</v>
      </c>
      <c r="I316" t="str">
        <f>PROPER(TRIM(sales_data!D316))</f>
        <v>South</v>
      </c>
      <c r="J316" t="str">
        <f>PROPER(TRIM(sales_data!G316))</f>
        <v>Food</v>
      </c>
      <c r="K316" t="str">
        <f>PROPER(TRIM(sales_data!J316))</f>
        <v>Returning</v>
      </c>
      <c r="L316" t="str">
        <f>PROPER(TRIM(sales_data!L316))</f>
        <v>Bank Transfer</v>
      </c>
      <c r="M316" t="str">
        <f>PROPER(TRIM(sales_data!M316))</f>
        <v>Online</v>
      </c>
      <c r="N316">
        <f t="shared" si="17"/>
        <v>251.83999999999969</v>
      </c>
      <c r="O316">
        <f t="shared" si="18"/>
        <v>12088.319999999985</v>
      </c>
      <c r="P316" t="str">
        <f t="shared" si="19"/>
        <v>May</v>
      </c>
    </row>
    <row r="317" spans="1:16" x14ac:dyDescent="0.25">
      <c r="A317">
        <v>1025</v>
      </c>
      <c r="B317" s="1">
        <v>45214</v>
      </c>
      <c r="C317">
        <f t="shared" si="16"/>
        <v>74078.866399999999</v>
      </c>
      <c r="D317">
        <v>44</v>
      </c>
      <c r="E317">
        <v>1485.72</v>
      </c>
      <c r="F317">
        <v>1717.97</v>
      </c>
      <c r="G317">
        <v>0.02</v>
      </c>
      <c r="H317" t="str">
        <f>PROPER(TRIM(sales_data!C317))</f>
        <v>David</v>
      </c>
      <c r="I317" t="str">
        <f>PROPER(TRIM(sales_data!D317))</f>
        <v>North</v>
      </c>
      <c r="J317" t="str">
        <f>PROPER(TRIM(sales_data!G317))</f>
        <v>Food</v>
      </c>
      <c r="K317" t="str">
        <f>PROPER(TRIM(sales_data!J317))</f>
        <v>New</v>
      </c>
      <c r="L317" t="str">
        <f>PROPER(TRIM(sales_data!L317))</f>
        <v>Credit Card</v>
      </c>
      <c r="M317" t="str">
        <f>PROPER(TRIM(sales_data!M317))</f>
        <v>Retail</v>
      </c>
      <c r="N317">
        <f t="shared" si="17"/>
        <v>232.25</v>
      </c>
      <c r="O317">
        <f t="shared" si="18"/>
        <v>10219</v>
      </c>
      <c r="P317" t="str">
        <f t="shared" si="19"/>
        <v>Oct</v>
      </c>
    </row>
    <row r="318" spans="1:16" x14ac:dyDescent="0.25">
      <c r="A318">
        <v>1093</v>
      </c>
      <c r="B318" s="1">
        <v>45192</v>
      </c>
      <c r="C318">
        <f t="shared" si="16"/>
        <v>30985.632000000001</v>
      </c>
      <c r="D318">
        <v>40</v>
      </c>
      <c r="E318">
        <v>1047.25</v>
      </c>
      <c r="F318">
        <v>1075.8900000000001</v>
      </c>
      <c r="G318">
        <v>0.28000000000000003</v>
      </c>
      <c r="H318" t="str">
        <f>PROPER(TRIM(sales_data!C318))</f>
        <v>Charlie</v>
      </c>
      <c r="I318" t="str">
        <f>PROPER(TRIM(sales_data!D318))</f>
        <v>North</v>
      </c>
      <c r="J318" t="str">
        <f>PROPER(TRIM(sales_data!G318))</f>
        <v>Furniture</v>
      </c>
      <c r="K318" t="str">
        <f>PROPER(TRIM(sales_data!J318))</f>
        <v>New</v>
      </c>
      <c r="L318" t="str">
        <f>PROPER(TRIM(sales_data!L318))</f>
        <v>Credit Card</v>
      </c>
      <c r="M318" t="str">
        <f>PROPER(TRIM(sales_data!M318))</f>
        <v>Retail</v>
      </c>
      <c r="N318">
        <f t="shared" si="17"/>
        <v>28.6400000000001</v>
      </c>
      <c r="O318">
        <f t="shared" si="18"/>
        <v>1145.600000000004</v>
      </c>
      <c r="P318" t="str">
        <f t="shared" si="19"/>
        <v>Sep</v>
      </c>
    </row>
    <row r="319" spans="1:16" x14ac:dyDescent="0.25">
      <c r="A319">
        <v>1018</v>
      </c>
      <c r="B319" s="1">
        <v>45292</v>
      </c>
      <c r="C319">
        <f t="shared" si="16"/>
        <v>29475.9624</v>
      </c>
      <c r="D319">
        <v>24</v>
      </c>
      <c r="E319">
        <v>1362.78</v>
      </c>
      <c r="F319">
        <v>1729.81</v>
      </c>
      <c r="G319">
        <v>0.28999999999999998</v>
      </c>
      <c r="H319" t="str">
        <f>PROPER(TRIM(sales_data!C319))</f>
        <v>Alice</v>
      </c>
      <c r="I319" t="str">
        <f>PROPER(TRIM(sales_data!D319))</f>
        <v>West</v>
      </c>
      <c r="J319" t="str">
        <f>PROPER(TRIM(sales_data!G319))</f>
        <v>Electronics</v>
      </c>
      <c r="K319" t="str">
        <f>PROPER(TRIM(sales_data!J319))</f>
        <v>New</v>
      </c>
      <c r="L319" t="str">
        <f>PROPER(TRIM(sales_data!L319))</f>
        <v>Bank Transfer</v>
      </c>
      <c r="M319" t="str">
        <f>PROPER(TRIM(sales_data!M319))</f>
        <v>Online</v>
      </c>
      <c r="N319">
        <f t="shared" si="17"/>
        <v>367.03</v>
      </c>
      <c r="O319">
        <f t="shared" si="18"/>
        <v>8808.7199999999993</v>
      </c>
      <c r="P319" t="str">
        <f t="shared" si="19"/>
        <v>Jan</v>
      </c>
    </row>
    <row r="320" spans="1:16" x14ac:dyDescent="0.25">
      <c r="A320">
        <v>1082</v>
      </c>
      <c r="B320" s="1">
        <v>45088</v>
      </c>
      <c r="C320">
        <f t="shared" si="16"/>
        <v>18521.7788</v>
      </c>
      <c r="D320">
        <v>17</v>
      </c>
      <c r="E320">
        <v>890.31</v>
      </c>
      <c r="F320">
        <v>1159.06</v>
      </c>
      <c r="G320">
        <v>0.06</v>
      </c>
      <c r="H320" t="str">
        <f>PROPER(TRIM(sales_data!C320))</f>
        <v>Alice</v>
      </c>
      <c r="I320" t="str">
        <f>PROPER(TRIM(sales_data!D320))</f>
        <v>North</v>
      </c>
      <c r="J320" t="str">
        <f>PROPER(TRIM(sales_data!G320))</f>
        <v>Furniture</v>
      </c>
      <c r="K320" t="str">
        <f>PROPER(TRIM(sales_data!J320))</f>
        <v>Returning</v>
      </c>
      <c r="L320" t="str">
        <f>PROPER(TRIM(sales_data!L320))</f>
        <v>Cash</v>
      </c>
      <c r="M320" t="str">
        <f>PROPER(TRIM(sales_data!M320))</f>
        <v>Retail</v>
      </c>
      <c r="N320">
        <f t="shared" si="17"/>
        <v>268.75</v>
      </c>
      <c r="O320">
        <f t="shared" si="18"/>
        <v>4568.75</v>
      </c>
      <c r="P320" t="str">
        <f t="shared" si="19"/>
        <v>Jun</v>
      </c>
    </row>
    <row r="321" spans="1:16" x14ac:dyDescent="0.25">
      <c r="A321">
        <v>1066</v>
      </c>
      <c r="B321" s="1">
        <v>45013</v>
      </c>
      <c r="C321">
        <f t="shared" si="16"/>
        <v>3541.6639999999952</v>
      </c>
      <c r="D321">
        <v>7</v>
      </c>
      <c r="E321">
        <v>523.41999999999996</v>
      </c>
      <c r="F321">
        <v>632.43999999999903</v>
      </c>
      <c r="G321">
        <v>0.2</v>
      </c>
      <c r="H321" t="str">
        <f>PROPER(TRIM(sales_data!C321))</f>
        <v>Charlie</v>
      </c>
      <c r="I321" t="str">
        <f>PROPER(TRIM(sales_data!D321))</f>
        <v>North</v>
      </c>
      <c r="J321" t="str">
        <f>PROPER(TRIM(sales_data!G321))</f>
        <v>Clothing</v>
      </c>
      <c r="K321" t="str">
        <f>PROPER(TRIM(sales_data!J321))</f>
        <v>New</v>
      </c>
      <c r="L321" t="str">
        <f>PROPER(TRIM(sales_data!L321))</f>
        <v>Bank Transfer</v>
      </c>
      <c r="M321" t="str">
        <f>PROPER(TRIM(sales_data!M321))</f>
        <v>Online</v>
      </c>
      <c r="N321">
        <f t="shared" si="17"/>
        <v>109.01999999999907</v>
      </c>
      <c r="O321">
        <f t="shared" si="18"/>
        <v>763.13999999999351</v>
      </c>
      <c r="P321" t="str">
        <f t="shared" si="19"/>
        <v>Mar</v>
      </c>
    </row>
    <row r="322" spans="1:16" x14ac:dyDescent="0.25">
      <c r="A322">
        <v>1054</v>
      </c>
      <c r="B322" s="1">
        <v>44981</v>
      </c>
      <c r="C322">
        <f t="shared" ref="C322:C385" si="20">(D322*F322)*(1-G322)</f>
        <v>91289.008599999986</v>
      </c>
      <c r="D322">
        <v>43</v>
      </c>
      <c r="E322">
        <v>2124.7199999999998</v>
      </c>
      <c r="F322">
        <v>2188.66</v>
      </c>
      <c r="G322">
        <v>0.03</v>
      </c>
      <c r="H322" t="str">
        <f>PROPER(TRIM(sales_data!C322))</f>
        <v>Alice</v>
      </c>
      <c r="I322" t="str">
        <f>PROPER(TRIM(sales_data!D322))</f>
        <v>North</v>
      </c>
      <c r="J322" t="str">
        <f>PROPER(TRIM(sales_data!G322))</f>
        <v>Food</v>
      </c>
      <c r="K322" t="str">
        <f>PROPER(TRIM(sales_data!J322))</f>
        <v>Returning</v>
      </c>
      <c r="L322" t="str">
        <f>PROPER(TRIM(sales_data!L322))</f>
        <v>Credit Card</v>
      </c>
      <c r="M322" t="str">
        <f>PROPER(TRIM(sales_data!M322))</f>
        <v>Retail</v>
      </c>
      <c r="N322">
        <f t="shared" ref="N322:N385" si="21">F322-E322</f>
        <v>63.940000000000055</v>
      </c>
      <c r="O322">
        <f t="shared" ref="O322:O385" si="22">N322*D322</f>
        <v>2749.4200000000023</v>
      </c>
      <c r="P322" t="str">
        <f t="shared" ref="P322:P385" si="23">TEXT(B322,"mmm")</f>
        <v>Feb</v>
      </c>
    </row>
    <row r="323" spans="1:16" x14ac:dyDescent="0.25">
      <c r="A323">
        <v>1035</v>
      </c>
      <c r="B323" s="1">
        <v>45214</v>
      </c>
      <c r="C323">
        <f t="shared" si="20"/>
        <v>630.77820000000008</v>
      </c>
      <c r="D323">
        <v>1</v>
      </c>
      <c r="E323">
        <v>610.83000000000004</v>
      </c>
      <c r="F323">
        <v>808.69</v>
      </c>
      <c r="G323">
        <v>0.22</v>
      </c>
      <c r="H323" t="str">
        <f>PROPER(TRIM(sales_data!C323))</f>
        <v>David</v>
      </c>
      <c r="I323" t="str">
        <f>PROPER(TRIM(sales_data!D323))</f>
        <v>North</v>
      </c>
      <c r="J323" t="str">
        <f>PROPER(TRIM(sales_data!G323))</f>
        <v>Furniture</v>
      </c>
      <c r="K323" t="str">
        <f>PROPER(TRIM(sales_data!J323))</f>
        <v>New</v>
      </c>
      <c r="L323" t="str">
        <f>PROPER(TRIM(sales_data!L323))</f>
        <v>Credit Card</v>
      </c>
      <c r="M323" t="str">
        <f>PROPER(TRIM(sales_data!M323))</f>
        <v>Online</v>
      </c>
      <c r="N323">
        <f t="shared" si="21"/>
        <v>197.86</v>
      </c>
      <c r="O323">
        <f t="shared" si="22"/>
        <v>197.86</v>
      </c>
      <c r="P323" t="str">
        <f t="shared" si="23"/>
        <v>Oct</v>
      </c>
    </row>
    <row r="324" spans="1:16" x14ac:dyDescent="0.25">
      <c r="A324">
        <v>1080</v>
      </c>
      <c r="B324" s="1">
        <v>45104</v>
      </c>
      <c r="C324">
        <f t="shared" si="20"/>
        <v>41617.170000000006</v>
      </c>
      <c r="D324">
        <v>35</v>
      </c>
      <c r="E324">
        <v>900.97</v>
      </c>
      <c r="F324">
        <v>1321.18</v>
      </c>
      <c r="G324">
        <v>0.1</v>
      </c>
      <c r="H324" t="str">
        <f>PROPER(TRIM(sales_data!C324))</f>
        <v>Eve</v>
      </c>
      <c r="I324" t="str">
        <f>PROPER(TRIM(sales_data!D324))</f>
        <v>West</v>
      </c>
      <c r="J324" t="str">
        <f>PROPER(TRIM(sales_data!G324))</f>
        <v>Furniture</v>
      </c>
      <c r="K324" t="str">
        <f>PROPER(TRIM(sales_data!J324))</f>
        <v>Returning</v>
      </c>
      <c r="L324" t="str">
        <f>PROPER(TRIM(sales_data!L324))</f>
        <v>Cash</v>
      </c>
      <c r="M324" t="str">
        <f>PROPER(TRIM(sales_data!M324))</f>
        <v>Online</v>
      </c>
      <c r="N324">
        <f t="shared" si="21"/>
        <v>420.21000000000004</v>
      </c>
      <c r="O324">
        <f t="shared" si="22"/>
        <v>14707.350000000002</v>
      </c>
      <c r="P324" t="str">
        <f t="shared" si="23"/>
        <v>Jun</v>
      </c>
    </row>
    <row r="325" spans="1:16" x14ac:dyDescent="0.25">
      <c r="A325">
        <v>1061</v>
      </c>
      <c r="B325" s="1">
        <v>45275</v>
      </c>
      <c r="C325">
        <f t="shared" si="20"/>
        <v>81747.200000000012</v>
      </c>
      <c r="D325">
        <v>32</v>
      </c>
      <c r="E325">
        <v>2759.26</v>
      </c>
      <c r="F325">
        <v>3193.25</v>
      </c>
      <c r="G325">
        <v>0.2</v>
      </c>
      <c r="H325" t="str">
        <f>PROPER(TRIM(sales_data!C325))</f>
        <v>Alice</v>
      </c>
      <c r="I325" t="str">
        <f>PROPER(TRIM(sales_data!D325))</f>
        <v>North</v>
      </c>
      <c r="J325" t="str">
        <f>PROPER(TRIM(sales_data!G325))</f>
        <v>Food</v>
      </c>
      <c r="K325" t="str">
        <f>PROPER(TRIM(sales_data!J325))</f>
        <v>New</v>
      </c>
      <c r="L325" t="str">
        <f>PROPER(TRIM(sales_data!L325))</f>
        <v>Bank Transfer</v>
      </c>
      <c r="M325" t="str">
        <f>PROPER(TRIM(sales_data!M325))</f>
        <v>Online</v>
      </c>
      <c r="N325">
        <f t="shared" si="21"/>
        <v>433.98999999999978</v>
      </c>
      <c r="O325">
        <f t="shared" si="22"/>
        <v>13887.679999999993</v>
      </c>
      <c r="P325" t="str">
        <f t="shared" si="23"/>
        <v>Dec</v>
      </c>
    </row>
    <row r="326" spans="1:16" x14ac:dyDescent="0.25">
      <c r="A326">
        <v>1041</v>
      </c>
      <c r="B326" s="1">
        <v>44934</v>
      </c>
      <c r="C326">
        <f t="shared" si="20"/>
        <v>37491.926399999684</v>
      </c>
      <c r="D326">
        <v>36</v>
      </c>
      <c r="E326">
        <v>864.77</v>
      </c>
      <c r="F326">
        <v>1170.1599999999901</v>
      </c>
      <c r="G326">
        <v>0.11</v>
      </c>
      <c r="H326" t="str">
        <f>PROPER(TRIM(sales_data!C326))</f>
        <v>David</v>
      </c>
      <c r="I326" t="str">
        <f>PROPER(TRIM(sales_data!D326))</f>
        <v>East</v>
      </c>
      <c r="J326" t="str">
        <f>PROPER(TRIM(sales_data!G326))</f>
        <v>Food</v>
      </c>
      <c r="K326" t="str">
        <f>PROPER(TRIM(sales_data!J326))</f>
        <v>Returning</v>
      </c>
      <c r="L326" t="str">
        <f>PROPER(TRIM(sales_data!L326))</f>
        <v>Cash</v>
      </c>
      <c r="M326" t="str">
        <f>PROPER(TRIM(sales_data!M326))</f>
        <v>Retail</v>
      </c>
      <c r="N326">
        <f t="shared" si="21"/>
        <v>305.3899999999901</v>
      </c>
      <c r="O326">
        <f t="shared" si="22"/>
        <v>10994.039999999644</v>
      </c>
      <c r="P326" t="str">
        <f t="shared" si="23"/>
        <v>Jan</v>
      </c>
    </row>
    <row r="327" spans="1:16" x14ac:dyDescent="0.25">
      <c r="A327">
        <v>1100</v>
      </c>
      <c r="B327" s="1">
        <v>45247</v>
      </c>
      <c r="C327">
        <f t="shared" si="20"/>
        <v>9143.9712</v>
      </c>
      <c r="D327">
        <v>13</v>
      </c>
      <c r="E327">
        <v>366.2</v>
      </c>
      <c r="F327">
        <v>732.69</v>
      </c>
      <c r="G327">
        <v>0.04</v>
      </c>
      <c r="H327" t="str">
        <f>PROPER(TRIM(sales_data!C327))</f>
        <v>Bob</v>
      </c>
      <c r="I327" t="str">
        <f>PROPER(TRIM(sales_data!D327))</f>
        <v>East</v>
      </c>
      <c r="J327" t="str">
        <f>PROPER(TRIM(sales_data!G327))</f>
        <v>Food</v>
      </c>
      <c r="K327" t="str">
        <f>PROPER(TRIM(sales_data!J327))</f>
        <v>New</v>
      </c>
      <c r="L327" t="str">
        <f>PROPER(TRIM(sales_data!L327))</f>
        <v>Cash</v>
      </c>
      <c r="M327" t="str">
        <f>PROPER(TRIM(sales_data!M327))</f>
        <v>Retail</v>
      </c>
      <c r="N327">
        <f t="shared" si="21"/>
        <v>366.49000000000007</v>
      </c>
      <c r="O327">
        <f t="shared" si="22"/>
        <v>4764.3700000000008</v>
      </c>
      <c r="P327" t="str">
        <f t="shared" si="23"/>
        <v>Nov</v>
      </c>
    </row>
    <row r="328" spans="1:16" x14ac:dyDescent="0.25">
      <c r="A328">
        <v>1033</v>
      </c>
      <c r="B328" s="1">
        <v>45239</v>
      </c>
      <c r="C328">
        <f t="shared" si="20"/>
        <v>8910</v>
      </c>
      <c r="D328">
        <v>6</v>
      </c>
      <c r="E328">
        <v>1621.07</v>
      </c>
      <c r="F328">
        <v>1687.5</v>
      </c>
      <c r="G328">
        <v>0.12</v>
      </c>
      <c r="H328" t="str">
        <f>PROPER(TRIM(sales_data!C328))</f>
        <v>David</v>
      </c>
      <c r="I328" t="str">
        <f>PROPER(TRIM(sales_data!D328))</f>
        <v>East</v>
      </c>
      <c r="J328" t="str">
        <f>PROPER(TRIM(sales_data!G328))</f>
        <v>Clothing</v>
      </c>
      <c r="K328" t="str">
        <f>PROPER(TRIM(sales_data!J328))</f>
        <v>Returning</v>
      </c>
      <c r="L328" t="str">
        <f>PROPER(TRIM(sales_data!L328))</f>
        <v>Credit Card</v>
      </c>
      <c r="M328" t="str">
        <f>PROPER(TRIM(sales_data!M328))</f>
        <v>Online</v>
      </c>
      <c r="N328">
        <f t="shared" si="21"/>
        <v>66.430000000000064</v>
      </c>
      <c r="O328">
        <f t="shared" si="22"/>
        <v>398.58000000000038</v>
      </c>
      <c r="P328" t="str">
        <f t="shared" si="23"/>
        <v>Nov</v>
      </c>
    </row>
    <row r="329" spans="1:16" x14ac:dyDescent="0.25">
      <c r="A329">
        <v>1068</v>
      </c>
      <c r="B329" s="1">
        <v>45173</v>
      </c>
      <c r="C329">
        <f t="shared" si="20"/>
        <v>19538.360799999999</v>
      </c>
      <c r="D329">
        <v>14</v>
      </c>
      <c r="E329">
        <v>1140.58</v>
      </c>
      <c r="F329">
        <v>1438.76</v>
      </c>
      <c r="G329">
        <v>0.03</v>
      </c>
      <c r="H329" t="str">
        <f>PROPER(TRIM(sales_data!C329))</f>
        <v>Eve</v>
      </c>
      <c r="I329" t="str">
        <f>PROPER(TRIM(sales_data!D329))</f>
        <v>East</v>
      </c>
      <c r="J329" t="str">
        <f>PROPER(TRIM(sales_data!G329))</f>
        <v>Food</v>
      </c>
      <c r="K329" t="str">
        <f>PROPER(TRIM(sales_data!J329))</f>
        <v>Returning</v>
      </c>
      <c r="L329" t="str">
        <f>PROPER(TRIM(sales_data!L329))</f>
        <v>Bank Transfer</v>
      </c>
      <c r="M329" t="str">
        <f>PROPER(TRIM(sales_data!M329))</f>
        <v>Online</v>
      </c>
      <c r="N329">
        <f t="shared" si="21"/>
        <v>298.18000000000006</v>
      </c>
      <c r="O329">
        <f t="shared" si="22"/>
        <v>4174.5200000000004</v>
      </c>
      <c r="P329" t="str">
        <f t="shared" si="23"/>
        <v>Sep</v>
      </c>
    </row>
    <row r="330" spans="1:16" x14ac:dyDescent="0.25">
      <c r="A330">
        <v>1033</v>
      </c>
      <c r="B330" s="1">
        <v>45249</v>
      </c>
      <c r="C330">
        <f t="shared" si="20"/>
        <v>90212.774700000009</v>
      </c>
      <c r="D330">
        <v>37</v>
      </c>
      <c r="E330">
        <v>2600.7600000000002</v>
      </c>
      <c r="F330">
        <v>2937.57</v>
      </c>
      <c r="G330">
        <v>0.17</v>
      </c>
      <c r="H330" t="str">
        <f>PROPER(TRIM(sales_data!C330))</f>
        <v>David</v>
      </c>
      <c r="I330" t="str">
        <f>PROPER(TRIM(sales_data!D330))</f>
        <v>North</v>
      </c>
      <c r="J330" t="str">
        <f>PROPER(TRIM(sales_data!G330))</f>
        <v>Electronics</v>
      </c>
      <c r="K330" t="str">
        <f>PROPER(TRIM(sales_data!J330))</f>
        <v>New</v>
      </c>
      <c r="L330" t="str">
        <f>PROPER(TRIM(sales_data!L330))</f>
        <v>Credit Card</v>
      </c>
      <c r="M330" t="str">
        <f>PROPER(TRIM(sales_data!M330))</f>
        <v>Retail</v>
      </c>
      <c r="N330">
        <f t="shared" si="21"/>
        <v>336.80999999999995</v>
      </c>
      <c r="O330">
        <f t="shared" si="22"/>
        <v>12461.969999999998</v>
      </c>
      <c r="P330" t="str">
        <f t="shared" si="23"/>
        <v>Nov</v>
      </c>
    </row>
    <row r="331" spans="1:16" x14ac:dyDescent="0.25">
      <c r="A331">
        <v>1014</v>
      </c>
      <c r="B331" s="1">
        <v>45181</v>
      </c>
      <c r="C331">
        <f t="shared" si="20"/>
        <v>31604.126400000001</v>
      </c>
      <c r="D331">
        <v>48</v>
      </c>
      <c r="E331">
        <v>556.72</v>
      </c>
      <c r="F331">
        <v>665.07</v>
      </c>
      <c r="G331">
        <v>0.01</v>
      </c>
      <c r="H331" t="str">
        <f>PROPER(TRIM(sales_data!C331))</f>
        <v>Charlie</v>
      </c>
      <c r="I331" t="str">
        <f>PROPER(TRIM(sales_data!D331))</f>
        <v>East</v>
      </c>
      <c r="J331" t="str">
        <f>PROPER(TRIM(sales_data!G331))</f>
        <v>Furniture</v>
      </c>
      <c r="K331" t="str">
        <f>PROPER(TRIM(sales_data!J331))</f>
        <v>Returning</v>
      </c>
      <c r="L331" t="str">
        <f>PROPER(TRIM(sales_data!L331))</f>
        <v>Bank Transfer</v>
      </c>
      <c r="M331" t="str">
        <f>PROPER(TRIM(sales_data!M331))</f>
        <v>Retail</v>
      </c>
      <c r="N331">
        <f t="shared" si="21"/>
        <v>108.35000000000002</v>
      </c>
      <c r="O331">
        <f t="shared" si="22"/>
        <v>5200.8000000000011</v>
      </c>
      <c r="P331" t="str">
        <f t="shared" si="23"/>
        <v>Sep</v>
      </c>
    </row>
    <row r="332" spans="1:16" x14ac:dyDescent="0.25">
      <c r="A332">
        <v>1021</v>
      </c>
      <c r="B332" s="1">
        <v>45254</v>
      </c>
      <c r="C332">
        <f t="shared" si="20"/>
        <v>53078.13</v>
      </c>
      <c r="D332">
        <v>15</v>
      </c>
      <c r="E332">
        <v>3771.27</v>
      </c>
      <c r="F332">
        <v>4212.55</v>
      </c>
      <c r="G332">
        <v>0.16</v>
      </c>
      <c r="H332" t="str">
        <f>PROPER(TRIM(sales_data!C332))</f>
        <v>Eve</v>
      </c>
      <c r="I332" t="str">
        <f>PROPER(TRIM(sales_data!D332))</f>
        <v>North</v>
      </c>
      <c r="J332" t="str">
        <f>PROPER(TRIM(sales_data!G332))</f>
        <v>Food</v>
      </c>
      <c r="K332" t="str">
        <f>PROPER(TRIM(sales_data!J332))</f>
        <v>Returning</v>
      </c>
      <c r="L332" t="str">
        <f>PROPER(TRIM(sales_data!L332))</f>
        <v>Credit Card</v>
      </c>
      <c r="M332" t="str">
        <f>PROPER(TRIM(sales_data!M332))</f>
        <v>Retail</v>
      </c>
      <c r="N332">
        <f t="shared" si="21"/>
        <v>441.2800000000002</v>
      </c>
      <c r="O332">
        <f t="shared" si="22"/>
        <v>6619.2000000000025</v>
      </c>
      <c r="P332" t="str">
        <f t="shared" si="23"/>
        <v>Nov</v>
      </c>
    </row>
    <row r="333" spans="1:16" x14ac:dyDescent="0.25">
      <c r="A333">
        <v>1048</v>
      </c>
      <c r="B333" s="1">
        <v>44980</v>
      </c>
      <c r="C333">
        <f t="shared" si="20"/>
        <v>159246.77709999998</v>
      </c>
      <c r="D333">
        <v>47</v>
      </c>
      <c r="E333">
        <v>4535.8599999999997</v>
      </c>
      <c r="F333">
        <v>4641.41</v>
      </c>
      <c r="G333">
        <v>0.27</v>
      </c>
      <c r="H333" t="str">
        <f>PROPER(TRIM(sales_data!C333))</f>
        <v>Bob</v>
      </c>
      <c r="I333" t="str">
        <f>PROPER(TRIM(sales_data!D333))</f>
        <v>West</v>
      </c>
      <c r="J333" t="str">
        <f>PROPER(TRIM(sales_data!G333))</f>
        <v>Food</v>
      </c>
      <c r="K333" t="str">
        <f>PROPER(TRIM(sales_data!J333))</f>
        <v>New</v>
      </c>
      <c r="L333" t="str">
        <f>PROPER(TRIM(sales_data!L333))</f>
        <v>Credit Card</v>
      </c>
      <c r="M333" t="str">
        <f>PROPER(TRIM(sales_data!M333))</f>
        <v>Retail</v>
      </c>
      <c r="N333">
        <f t="shared" si="21"/>
        <v>105.55000000000018</v>
      </c>
      <c r="O333">
        <f t="shared" si="22"/>
        <v>4960.8500000000085</v>
      </c>
      <c r="P333" t="str">
        <f t="shared" si="23"/>
        <v>Feb</v>
      </c>
    </row>
    <row r="334" spans="1:16" x14ac:dyDescent="0.25">
      <c r="A334">
        <v>1020</v>
      </c>
      <c r="B334" s="1">
        <v>45175</v>
      </c>
      <c r="C334">
        <f t="shared" si="20"/>
        <v>11680.8</v>
      </c>
      <c r="D334">
        <v>4</v>
      </c>
      <c r="E334">
        <v>3730</v>
      </c>
      <c r="F334">
        <v>3893.6</v>
      </c>
      <c r="G334">
        <v>0.25</v>
      </c>
      <c r="H334" t="str">
        <f>PROPER(TRIM(sales_data!C334))</f>
        <v>Charlie</v>
      </c>
      <c r="I334" t="str">
        <f>PROPER(TRIM(sales_data!D334))</f>
        <v>East</v>
      </c>
      <c r="J334" t="str">
        <f>PROPER(TRIM(sales_data!G334))</f>
        <v>Clothing</v>
      </c>
      <c r="K334" t="str">
        <f>PROPER(TRIM(sales_data!J334))</f>
        <v>New</v>
      </c>
      <c r="L334" t="str">
        <f>PROPER(TRIM(sales_data!L334))</f>
        <v>Bank Transfer</v>
      </c>
      <c r="M334" t="str">
        <f>PROPER(TRIM(sales_data!M334))</f>
        <v>Retail</v>
      </c>
      <c r="N334">
        <f t="shared" si="21"/>
        <v>163.59999999999991</v>
      </c>
      <c r="O334">
        <f t="shared" si="22"/>
        <v>654.39999999999964</v>
      </c>
      <c r="P334" t="str">
        <f t="shared" si="23"/>
        <v>Sep</v>
      </c>
    </row>
    <row r="335" spans="1:16" x14ac:dyDescent="0.25">
      <c r="A335">
        <v>1008</v>
      </c>
      <c r="B335" s="1">
        <v>45165</v>
      </c>
      <c r="C335">
        <f t="shared" si="20"/>
        <v>88846.175999999992</v>
      </c>
      <c r="D335">
        <v>40</v>
      </c>
      <c r="E335">
        <v>2687.49</v>
      </c>
      <c r="F335">
        <v>3001.56</v>
      </c>
      <c r="G335">
        <v>0.26</v>
      </c>
      <c r="H335" t="str">
        <f>PROPER(TRIM(sales_data!C335))</f>
        <v>David</v>
      </c>
      <c r="I335" t="str">
        <f>PROPER(TRIM(sales_data!D335))</f>
        <v>South</v>
      </c>
      <c r="J335" t="str">
        <f>PROPER(TRIM(sales_data!G335))</f>
        <v>Clothing</v>
      </c>
      <c r="K335" t="str">
        <f>PROPER(TRIM(sales_data!J335))</f>
        <v>Returning</v>
      </c>
      <c r="L335" t="str">
        <f>PROPER(TRIM(sales_data!L335))</f>
        <v>Bank Transfer</v>
      </c>
      <c r="M335" t="str">
        <f>PROPER(TRIM(sales_data!M335))</f>
        <v>Online</v>
      </c>
      <c r="N335">
        <f t="shared" si="21"/>
        <v>314.07000000000016</v>
      </c>
      <c r="O335">
        <f t="shared" si="22"/>
        <v>12562.800000000007</v>
      </c>
      <c r="P335" t="str">
        <f t="shared" si="23"/>
        <v>Aug</v>
      </c>
    </row>
    <row r="336" spans="1:16" x14ac:dyDescent="0.25">
      <c r="A336">
        <v>1007</v>
      </c>
      <c r="B336" s="1">
        <v>45155</v>
      </c>
      <c r="C336">
        <f t="shared" si="20"/>
        <v>53373.312000000005</v>
      </c>
      <c r="D336">
        <v>16</v>
      </c>
      <c r="E336">
        <v>4310.3100000000004</v>
      </c>
      <c r="F336">
        <v>4633.1000000000004</v>
      </c>
      <c r="G336">
        <v>0.28000000000000003</v>
      </c>
      <c r="H336" t="str">
        <f>PROPER(TRIM(sales_data!C336))</f>
        <v>Eve</v>
      </c>
      <c r="I336" t="str">
        <f>PROPER(TRIM(sales_data!D336))</f>
        <v>East</v>
      </c>
      <c r="J336" t="str">
        <f>PROPER(TRIM(sales_data!G336))</f>
        <v>Furniture</v>
      </c>
      <c r="K336" t="str">
        <f>PROPER(TRIM(sales_data!J336))</f>
        <v>New</v>
      </c>
      <c r="L336" t="str">
        <f>PROPER(TRIM(sales_data!L336))</f>
        <v>Credit Card</v>
      </c>
      <c r="M336" t="str">
        <f>PROPER(TRIM(sales_data!M336))</f>
        <v>Retail</v>
      </c>
      <c r="N336">
        <f t="shared" si="21"/>
        <v>322.78999999999996</v>
      </c>
      <c r="O336">
        <f t="shared" si="22"/>
        <v>5164.6399999999994</v>
      </c>
      <c r="P336" t="str">
        <f t="shared" si="23"/>
        <v>Aug</v>
      </c>
    </row>
    <row r="337" spans="1:16" x14ac:dyDescent="0.25">
      <c r="A337">
        <v>1067</v>
      </c>
      <c r="B337" s="1">
        <v>44993</v>
      </c>
      <c r="C337">
        <f t="shared" si="20"/>
        <v>104363.65799999973</v>
      </c>
      <c r="D337">
        <v>28</v>
      </c>
      <c r="E337">
        <v>3489.85</v>
      </c>
      <c r="F337">
        <v>3842.5499999999902</v>
      </c>
      <c r="G337">
        <v>0.03</v>
      </c>
      <c r="H337" t="str">
        <f>PROPER(TRIM(sales_data!C337))</f>
        <v>Bob</v>
      </c>
      <c r="I337" t="str">
        <f>PROPER(TRIM(sales_data!D337))</f>
        <v>East</v>
      </c>
      <c r="J337" t="str">
        <f>PROPER(TRIM(sales_data!G337))</f>
        <v>Electronics</v>
      </c>
      <c r="K337" t="str">
        <f>PROPER(TRIM(sales_data!J337))</f>
        <v>New</v>
      </c>
      <c r="L337" t="str">
        <f>PROPER(TRIM(sales_data!L337))</f>
        <v>Bank Transfer</v>
      </c>
      <c r="M337" t="str">
        <f>PROPER(TRIM(sales_data!M337))</f>
        <v>Online</v>
      </c>
      <c r="N337">
        <f t="shared" si="21"/>
        <v>352.69999999999027</v>
      </c>
      <c r="O337">
        <f t="shared" si="22"/>
        <v>9875.5999999997275</v>
      </c>
      <c r="P337" t="str">
        <f t="shared" si="23"/>
        <v>Mar</v>
      </c>
    </row>
    <row r="338" spans="1:16" x14ac:dyDescent="0.25">
      <c r="A338">
        <v>1017</v>
      </c>
      <c r="B338" s="1">
        <v>44977</v>
      </c>
      <c r="C338">
        <f t="shared" si="20"/>
        <v>2566.9632000000001</v>
      </c>
      <c r="D338">
        <v>16</v>
      </c>
      <c r="E338">
        <v>102.23</v>
      </c>
      <c r="F338">
        <v>167.12</v>
      </c>
      <c r="G338">
        <v>0.04</v>
      </c>
      <c r="H338" t="str">
        <f>PROPER(TRIM(sales_data!C338))</f>
        <v>Charlie</v>
      </c>
      <c r="I338" t="str">
        <f>PROPER(TRIM(sales_data!D338))</f>
        <v>North</v>
      </c>
      <c r="J338" t="str">
        <f>PROPER(TRIM(sales_data!G338))</f>
        <v>Furniture</v>
      </c>
      <c r="K338" t="str">
        <f>PROPER(TRIM(sales_data!J338))</f>
        <v>New</v>
      </c>
      <c r="L338" t="str">
        <f>PROPER(TRIM(sales_data!L338))</f>
        <v>Credit Card</v>
      </c>
      <c r="M338" t="str">
        <f>PROPER(TRIM(sales_data!M338))</f>
        <v>Retail</v>
      </c>
      <c r="N338">
        <f t="shared" si="21"/>
        <v>64.89</v>
      </c>
      <c r="O338">
        <f t="shared" si="22"/>
        <v>1038.24</v>
      </c>
      <c r="P338" t="str">
        <f t="shared" si="23"/>
        <v>Feb</v>
      </c>
    </row>
    <row r="339" spans="1:16" x14ac:dyDescent="0.25">
      <c r="A339">
        <v>1033</v>
      </c>
      <c r="B339" s="1">
        <v>45023</v>
      </c>
      <c r="C339">
        <f t="shared" si="20"/>
        <v>8057.6067999999987</v>
      </c>
      <c r="D339">
        <v>4</v>
      </c>
      <c r="E339">
        <v>2000.75</v>
      </c>
      <c r="F339">
        <v>2426.9899999999998</v>
      </c>
      <c r="G339">
        <v>0.17</v>
      </c>
      <c r="H339" t="str">
        <f>PROPER(TRIM(sales_data!C339))</f>
        <v>Bob</v>
      </c>
      <c r="I339" t="str">
        <f>PROPER(TRIM(sales_data!D339))</f>
        <v>East</v>
      </c>
      <c r="J339" t="str">
        <f>PROPER(TRIM(sales_data!G339))</f>
        <v>Food</v>
      </c>
      <c r="K339" t="str">
        <f>PROPER(TRIM(sales_data!J339))</f>
        <v>Returning</v>
      </c>
      <c r="L339" t="str">
        <f>PROPER(TRIM(sales_data!L339))</f>
        <v>Bank Transfer</v>
      </c>
      <c r="M339" t="str">
        <f>PROPER(TRIM(sales_data!M339))</f>
        <v>Online</v>
      </c>
      <c r="N339">
        <f t="shared" si="21"/>
        <v>426.23999999999978</v>
      </c>
      <c r="O339">
        <f t="shared" si="22"/>
        <v>1704.9599999999991</v>
      </c>
      <c r="P339" t="str">
        <f t="shared" si="23"/>
        <v>Apr</v>
      </c>
    </row>
    <row r="340" spans="1:16" x14ac:dyDescent="0.25">
      <c r="A340">
        <v>1048</v>
      </c>
      <c r="B340" s="1">
        <v>45018</v>
      </c>
      <c r="C340">
        <f t="shared" si="20"/>
        <v>148919.2335</v>
      </c>
      <c r="D340">
        <v>45</v>
      </c>
      <c r="E340">
        <v>4262.21</v>
      </c>
      <c r="F340">
        <v>4533.3100000000004</v>
      </c>
      <c r="G340">
        <v>0.27</v>
      </c>
      <c r="H340" t="str">
        <f>PROPER(TRIM(sales_data!C340))</f>
        <v>David</v>
      </c>
      <c r="I340" t="str">
        <f>PROPER(TRIM(sales_data!D340))</f>
        <v>South</v>
      </c>
      <c r="J340" t="str">
        <f>PROPER(TRIM(sales_data!G340))</f>
        <v>Electronics</v>
      </c>
      <c r="K340" t="str">
        <f>PROPER(TRIM(sales_data!J340))</f>
        <v>Returning</v>
      </c>
      <c r="L340" t="str">
        <f>PROPER(TRIM(sales_data!L340))</f>
        <v>Credit Card</v>
      </c>
      <c r="M340" t="str">
        <f>PROPER(TRIM(sales_data!M340))</f>
        <v>Online</v>
      </c>
      <c r="N340">
        <f t="shared" si="21"/>
        <v>271.10000000000036</v>
      </c>
      <c r="O340">
        <f t="shared" si="22"/>
        <v>12199.500000000016</v>
      </c>
      <c r="P340" t="str">
        <f t="shared" si="23"/>
        <v>Apr</v>
      </c>
    </row>
    <row r="341" spans="1:16" x14ac:dyDescent="0.25">
      <c r="A341">
        <v>1076</v>
      </c>
      <c r="B341" s="1">
        <v>45190</v>
      </c>
      <c r="C341">
        <f t="shared" si="20"/>
        <v>36974.457000000002</v>
      </c>
      <c r="D341">
        <v>26</v>
      </c>
      <c r="E341">
        <v>1762</v>
      </c>
      <c r="F341">
        <v>2002.95</v>
      </c>
      <c r="G341">
        <v>0.28999999999999998</v>
      </c>
      <c r="H341" t="str">
        <f>PROPER(TRIM(sales_data!C341))</f>
        <v>Bob</v>
      </c>
      <c r="I341" t="str">
        <f>PROPER(TRIM(sales_data!D341))</f>
        <v>North</v>
      </c>
      <c r="J341" t="str">
        <f>PROPER(TRIM(sales_data!G341))</f>
        <v>Electronics</v>
      </c>
      <c r="K341" t="str">
        <f>PROPER(TRIM(sales_data!J341))</f>
        <v>Returning</v>
      </c>
      <c r="L341" t="str">
        <f>PROPER(TRIM(sales_data!L341))</f>
        <v>Credit Card</v>
      </c>
      <c r="M341" t="str">
        <f>PROPER(TRIM(sales_data!M341))</f>
        <v>Retail</v>
      </c>
      <c r="N341">
        <f t="shared" si="21"/>
        <v>240.95000000000005</v>
      </c>
      <c r="O341">
        <f t="shared" si="22"/>
        <v>6264.7000000000007</v>
      </c>
      <c r="P341" t="str">
        <f t="shared" si="23"/>
        <v>Sep</v>
      </c>
    </row>
    <row r="342" spans="1:16" x14ac:dyDescent="0.25">
      <c r="A342">
        <v>1059</v>
      </c>
      <c r="B342" s="1">
        <v>45217</v>
      </c>
      <c r="C342">
        <f t="shared" si="20"/>
        <v>19821.463199999998</v>
      </c>
      <c r="D342">
        <v>28</v>
      </c>
      <c r="E342">
        <v>224.32</v>
      </c>
      <c r="F342">
        <v>715.06</v>
      </c>
      <c r="G342">
        <v>0.01</v>
      </c>
      <c r="H342" t="str">
        <f>PROPER(TRIM(sales_data!C342))</f>
        <v>Alice</v>
      </c>
      <c r="I342" t="str">
        <f>PROPER(TRIM(sales_data!D342))</f>
        <v>North</v>
      </c>
      <c r="J342" t="str">
        <f>PROPER(TRIM(sales_data!G342))</f>
        <v>Electronics</v>
      </c>
      <c r="K342" t="str">
        <f>PROPER(TRIM(sales_data!J342))</f>
        <v>Returning</v>
      </c>
      <c r="L342" t="str">
        <f>PROPER(TRIM(sales_data!L342))</f>
        <v>Credit Card</v>
      </c>
      <c r="M342" t="str">
        <f>PROPER(TRIM(sales_data!M342))</f>
        <v>Online</v>
      </c>
      <c r="N342">
        <f t="shared" si="21"/>
        <v>490.73999999999995</v>
      </c>
      <c r="O342">
        <f t="shared" si="22"/>
        <v>13740.72</v>
      </c>
      <c r="P342" t="str">
        <f t="shared" si="23"/>
        <v>Oct</v>
      </c>
    </row>
    <row r="343" spans="1:16" x14ac:dyDescent="0.25">
      <c r="A343">
        <v>1086</v>
      </c>
      <c r="B343" s="1">
        <v>45022</v>
      </c>
      <c r="C343">
        <f t="shared" si="20"/>
        <v>117234.50240000001</v>
      </c>
      <c r="D343">
        <v>32</v>
      </c>
      <c r="E343">
        <v>3743.59</v>
      </c>
      <c r="F343">
        <v>4116.38</v>
      </c>
      <c r="G343">
        <v>0.11</v>
      </c>
      <c r="H343" t="str">
        <f>PROPER(TRIM(sales_data!C343))</f>
        <v>Charlie</v>
      </c>
      <c r="I343" t="str">
        <f>PROPER(TRIM(sales_data!D343))</f>
        <v>West</v>
      </c>
      <c r="J343" t="str">
        <f>PROPER(TRIM(sales_data!G343))</f>
        <v>Electronics</v>
      </c>
      <c r="K343" t="str">
        <f>PROPER(TRIM(sales_data!J343))</f>
        <v>Returning</v>
      </c>
      <c r="L343" t="str">
        <f>PROPER(TRIM(sales_data!L343))</f>
        <v>Cash</v>
      </c>
      <c r="M343" t="str">
        <f>PROPER(TRIM(sales_data!M343))</f>
        <v>Online</v>
      </c>
      <c r="N343">
        <f t="shared" si="21"/>
        <v>372.78999999999996</v>
      </c>
      <c r="O343">
        <f t="shared" si="22"/>
        <v>11929.279999999999</v>
      </c>
      <c r="P343" t="str">
        <f t="shared" si="23"/>
        <v>Apr</v>
      </c>
    </row>
    <row r="344" spans="1:16" x14ac:dyDescent="0.25">
      <c r="A344">
        <v>1022</v>
      </c>
      <c r="B344" s="1">
        <v>45014</v>
      </c>
      <c r="C344">
        <f t="shared" si="20"/>
        <v>172918.59299999996</v>
      </c>
      <c r="D344">
        <v>45</v>
      </c>
      <c r="E344">
        <v>4020.09</v>
      </c>
      <c r="F344">
        <v>4087.91</v>
      </c>
      <c r="G344">
        <v>0.06</v>
      </c>
      <c r="H344" t="str">
        <f>PROPER(TRIM(sales_data!C344))</f>
        <v>Bob</v>
      </c>
      <c r="I344" t="str">
        <f>PROPER(TRIM(sales_data!D344))</f>
        <v>West</v>
      </c>
      <c r="J344" t="str">
        <f>PROPER(TRIM(sales_data!G344))</f>
        <v>Furniture</v>
      </c>
      <c r="K344" t="str">
        <f>PROPER(TRIM(sales_data!J344))</f>
        <v>Returning</v>
      </c>
      <c r="L344" t="str">
        <f>PROPER(TRIM(sales_data!L344))</f>
        <v>Bank Transfer</v>
      </c>
      <c r="M344" t="str">
        <f>PROPER(TRIM(sales_data!M344))</f>
        <v>Online</v>
      </c>
      <c r="N344">
        <f t="shared" si="21"/>
        <v>67.819999999999709</v>
      </c>
      <c r="O344">
        <f t="shared" si="22"/>
        <v>3051.8999999999869</v>
      </c>
      <c r="P344" t="str">
        <f t="shared" si="23"/>
        <v>Mar</v>
      </c>
    </row>
    <row r="345" spans="1:16" x14ac:dyDescent="0.25">
      <c r="A345">
        <v>1030</v>
      </c>
      <c r="B345" s="1">
        <v>45004</v>
      </c>
      <c r="C345">
        <f t="shared" si="20"/>
        <v>1887.4856000000002</v>
      </c>
      <c r="D345">
        <v>2</v>
      </c>
      <c r="E345">
        <v>844.94</v>
      </c>
      <c r="F345">
        <v>1225.6400000000001</v>
      </c>
      <c r="G345">
        <v>0.23</v>
      </c>
      <c r="H345" t="str">
        <f>PROPER(TRIM(sales_data!C345))</f>
        <v>David</v>
      </c>
      <c r="I345" t="str">
        <f>PROPER(TRIM(sales_data!D345))</f>
        <v>East</v>
      </c>
      <c r="J345" t="str">
        <f>PROPER(TRIM(sales_data!G345))</f>
        <v>Clothing</v>
      </c>
      <c r="K345" t="str">
        <f>PROPER(TRIM(sales_data!J345))</f>
        <v>Returning</v>
      </c>
      <c r="L345" t="str">
        <f>PROPER(TRIM(sales_data!L345))</f>
        <v>Credit Card</v>
      </c>
      <c r="M345" t="str">
        <f>PROPER(TRIM(sales_data!M345))</f>
        <v>Online</v>
      </c>
      <c r="N345">
        <f t="shared" si="21"/>
        <v>380.70000000000005</v>
      </c>
      <c r="O345">
        <f t="shared" si="22"/>
        <v>761.40000000000009</v>
      </c>
      <c r="P345" t="str">
        <f t="shared" si="23"/>
        <v>Mar</v>
      </c>
    </row>
    <row r="346" spans="1:16" x14ac:dyDescent="0.25">
      <c r="A346">
        <v>1038</v>
      </c>
      <c r="B346" s="1">
        <v>45214</v>
      </c>
      <c r="C346">
        <f t="shared" si="20"/>
        <v>69467.066100000011</v>
      </c>
      <c r="D346">
        <v>31</v>
      </c>
      <c r="E346">
        <v>2709.84</v>
      </c>
      <c r="F346">
        <v>2766.51</v>
      </c>
      <c r="G346">
        <v>0.19</v>
      </c>
      <c r="H346" t="str">
        <f>PROPER(TRIM(sales_data!C346))</f>
        <v>David</v>
      </c>
      <c r="I346" t="str">
        <f>PROPER(TRIM(sales_data!D346))</f>
        <v>West</v>
      </c>
      <c r="J346" t="str">
        <f>PROPER(TRIM(sales_data!G346))</f>
        <v>Clothing</v>
      </c>
      <c r="K346" t="str">
        <f>PROPER(TRIM(sales_data!J346))</f>
        <v>New</v>
      </c>
      <c r="L346" t="str">
        <f>PROPER(TRIM(sales_data!L346))</f>
        <v>Cash</v>
      </c>
      <c r="M346" t="str">
        <f>PROPER(TRIM(sales_data!M346))</f>
        <v>Retail</v>
      </c>
      <c r="N346">
        <f t="shared" si="21"/>
        <v>56.670000000000073</v>
      </c>
      <c r="O346">
        <f t="shared" si="22"/>
        <v>1756.7700000000023</v>
      </c>
      <c r="P346" t="str">
        <f t="shared" si="23"/>
        <v>Oct</v>
      </c>
    </row>
    <row r="347" spans="1:16" x14ac:dyDescent="0.25">
      <c r="A347">
        <v>1051</v>
      </c>
      <c r="B347" s="1">
        <v>45046</v>
      </c>
      <c r="C347">
        <f t="shared" si="20"/>
        <v>2948.0832</v>
      </c>
      <c r="D347">
        <v>3</v>
      </c>
      <c r="E347">
        <v>1000.18</v>
      </c>
      <c r="F347">
        <v>1023.64</v>
      </c>
      <c r="G347">
        <v>0.04</v>
      </c>
      <c r="H347" t="str">
        <f>PROPER(TRIM(sales_data!C347))</f>
        <v>Bob</v>
      </c>
      <c r="I347" t="str">
        <f>PROPER(TRIM(sales_data!D347))</f>
        <v>West</v>
      </c>
      <c r="J347" t="str">
        <f>PROPER(TRIM(sales_data!G347))</f>
        <v>Food</v>
      </c>
      <c r="K347" t="str">
        <f>PROPER(TRIM(sales_data!J347))</f>
        <v>Returning</v>
      </c>
      <c r="L347" t="str">
        <f>PROPER(TRIM(sales_data!L347))</f>
        <v>Credit Card</v>
      </c>
      <c r="M347" t="str">
        <f>PROPER(TRIM(sales_data!M347))</f>
        <v>Online</v>
      </c>
      <c r="N347">
        <f t="shared" si="21"/>
        <v>23.460000000000036</v>
      </c>
      <c r="O347">
        <f t="shared" si="22"/>
        <v>70.380000000000109</v>
      </c>
      <c r="P347" t="str">
        <f t="shared" si="23"/>
        <v>Apr</v>
      </c>
    </row>
    <row r="348" spans="1:16" x14ac:dyDescent="0.25">
      <c r="A348">
        <v>1054</v>
      </c>
      <c r="B348" s="1">
        <v>45228</v>
      </c>
      <c r="C348">
        <f t="shared" si="20"/>
        <v>25962.331999999999</v>
      </c>
      <c r="D348">
        <v>8</v>
      </c>
      <c r="E348">
        <v>3610.21</v>
      </c>
      <c r="F348">
        <v>3817.99</v>
      </c>
      <c r="G348">
        <v>0.15</v>
      </c>
      <c r="H348" t="str">
        <f>PROPER(TRIM(sales_data!C348))</f>
        <v>David</v>
      </c>
      <c r="I348" t="str">
        <f>PROPER(TRIM(sales_data!D348))</f>
        <v>West</v>
      </c>
      <c r="J348" t="str">
        <f>PROPER(TRIM(sales_data!G348))</f>
        <v>Clothing</v>
      </c>
      <c r="K348" t="str">
        <f>PROPER(TRIM(sales_data!J348))</f>
        <v>Returning</v>
      </c>
      <c r="L348" t="str">
        <f>PROPER(TRIM(sales_data!L348))</f>
        <v>Cash</v>
      </c>
      <c r="M348" t="str">
        <f>PROPER(TRIM(sales_data!M348))</f>
        <v>Retail</v>
      </c>
      <c r="N348">
        <f t="shared" si="21"/>
        <v>207.77999999999975</v>
      </c>
      <c r="O348">
        <f t="shared" si="22"/>
        <v>1662.239999999998</v>
      </c>
      <c r="P348" t="str">
        <f t="shared" si="23"/>
        <v>Oct</v>
      </c>
    </row>
    <row r="349" spans="1:16" x14ac:dyDescent="0.25">
      <c r="A349">
        <v>1008</v>
      </c>
      <c r="B349" s="1">
        <v>45091</v>
      </c>
      <c r="C349">
        <f t="shared" si="20"/>
        <v>35853.739199999996</v>
      </c>
      <c r="D349">
        <v>24</v>
      </c>
      <c r="E349">
        <v>1394.17</v>
      </c>
      <c r="F349">
        <v>1891.02</v>
      </c>
      <c r="G349">
        <v>0.21</v>
      </c>
      <c r="H349" t="str">
        <f>PROPER(TRIM(sales_data!C349))</f>
        <v>Eve</v>
      </c>
      <c r="I349" t="str">
        <f>PROPER(TRIM(sales_data!D349))</f>
        <v>North</v>
      </c>
      <c r="J349" t="str">
        <f>PROPER(TRIM(sales_data!G349))</f>
        <v>Clothing</v>
      </c>
      <c r="K349" t="str">
        <f>PROPER(TRIM(sales_data!J349))</f>
        <v>New</v>
      </c>
      <c r="L349" t="str">
        <f>PROPER(TRIM(sales_data!L349))</f>
        <v>Credit Card</v>
      </c>
      <c r="M349" t="str">
        <f>PROPER(TRIM(sales_data!M349))</f>
        <v>Online</v>
      </c>
      <c r="N349">
        <f t="shared" si="21"/>
        <v>496.84999999999991</v>
      </c>
      <c r="O349">
        <f t="shared" si="22"/>
        <v>11924.399999999998</v>
      </c>
      <c r="P349" t="str">
        <f t="shared" si="23"/>
        <v>Jun</v>
      </c>
    </row>
    <row r="350" spans="1:16" x14ac:dyDescent="0.25">
      <c r="A350">
        <v>1027</v>
      </c>
      <c r="B350" s="1">
        <v>45108</v>
      </c>
      <c r="C350">
        <f t="shared" si="20"/>
        <v>19761.4725</v>
      </c>
      <c r="D350">
        <v>15</v>
      </c>
      <c r="E350">
        <v>1615.26</v>
      </c>
      <c r="F350">
        <v>1710.95</v>
      </c>
      <c r="G350">
        <v>0.23</v>
      </c>
      <c r="H350" t="str">
        <f>PROPER(TRIM(sales_data!C350))</f>
        <v>Eve</v>
      </c>
      <c r="I350" t="str">
        <f>PROPER(TRIM(sales_data!D350))</f>
        <v>North</v>
      </c>
      <c r="J350" t="str">
        <f>PROPER(TRIM(sales_data!G350))</f>
        <v>Clothing</v>
      </c>
      <c r="K350" t="str">
        <f>PROPER(TRIM(sales_data!J350))</f>
        <v>New</v>
      </c>
      <c r="L350" t="str">
        <f>PROPER(TRIM(sales_data!L350))</f>
        <v>Credit Card</v>
      </c>
      <c r="M350" t="str">
        <f>PROPER(TRIM(sales_data!M350))</f>
        <v>Retail</v>
      </c>
      <c r="N350">
        <f t="shared" si="21"/>
        <v>95.690000000000055</v>
      </c>
      <c r="O350">
        <f t="shared" si="22"/>
        <v>1435.3500000000008</v>
      </c>
      <c r="P350" t="str">
        <f t="shared" si="23"/>
        <v>Jul</v>
      </c>
    </row>
    <row r="351" spans="1:16" x14ac:dyDescent="0.25">
      <c r="A351">
        <v>1027</v>
      </c>
      <c r="B351" s="1">
        <v>45149</v>
      </c>
      <c r="C351">
        <f t="shared" si="20"/>
        <v>194638.9797</v>
      </c>
      <c r="D351">
        <v>43</v>
      </c>
      <c r="E351">
        <v>4232.6099999999997</v>
      </c>
      <c r="F351">
        <v>4572.21</v>
      </c>
      <c r="G351">
        <v>0.01</v>
      </c>
      <c r="H351" t="str">
        <f>PROPER(TRIM(sales_data!C351))</f>
        <v>Eve</v>
      </c>
      <c r="I351" t="str">
        <f>PROPER(TRIM(sales_data!D351))</f>
        <v>North</v>
      </c>
      <c r="J351" t="str">
        <f>PROPER(TRIM(sales_data!G351))</f>
        <v>Clothing</v>
      </c>
      <c r="K351" t="str">
        <f>PROPER(TRIM(sales_data!J351))</f>
        <v>New</v>
      </c>
      <c r="L351" t="str">
        <f>PROPER(TRIM(sales_data!L351))</f>
        <v>Cash</v>
      </c>
      <c r="M351" t="str">
        <f>PROPER(TRIM(sales_data!M351))</f>
        <v>Retail</v>
      </c>
      <c r="N351">
        <f t="shared" si="21"/>
        <v>339.60000000000036</v>
      </c>
      <c r="O351">
        <f t="shared" si="22"/>
        <v>14602.800000000016</v>
      </c>
      <c r="P351" t="str">
        <f t="shared" si="23"/>
        <v>Aug</v>
      </c>
    </row>
    <row r="352" spans="1:16" x14ac:dyDescent="0.25">
      <c r="A352">
        <v>1098</v>
      </c>
      <c r="B352" s="1">
        <v>45237</v>
      </c>
      <c r="C352">
        <f t="shared" si="20"/>
        <v>56637.458800000008</v>
      </c>
      <c r="D352">
        <v>31</v>
      </c>
      <c r="E352">
        <v>2407.8000000000002</v>
      </c>
      <c r="F352">
        <v>2502.7600000000002</v>
      </c>
      <c r="G352">
        <v>0.27</v>
      </c>
      <c r="H352" t="str">
        <f>PROPER(TRIM(sales_data!C352))</f>
        <v>Alice</v>
      </c>
      <c r="I352" t="str">
        <f>PROPER(TRIM(sales_data!D352))</f>
        <v>West</v>
      </c>
      <c r="J352" t="str">
        <f>PROPER(TRIM(sales_data!G352))</f>
        <v>Food</v>
      </c>
      <c r="K352" t="str">
        <f>PROPER(TRIM(sales_data!J352))</f>
        <v>Returning</v>
      </c>
      <c r="L352" t="str">
        <f>PROPER(TRIM(sales_data!L352))</f>
        <v>Cash</v>
      </c>
      <c r="M352" t="str">
        <f>PROPER(TRIM(sales_data!M352))</f>
        <v>Retail</v>
      </c>
      <c r="N352">
        <f t="shared" si="21"/>
        <v>94.960000000000036</v>
      </c>
      <c r="O352">
        <f t="shared" si="22"/>
        <v>2943.7600000000011</v>
      </c>
      <c r="P352" t="str">
        <f t="shared" si="23"/>
        <v>Nov</v>
      </c>
    </row>
    <row r="353" spans="1:16" x14ac:dyDescent="0.25">
      <c r="A353">
        <v>1021</v>
      </c>
      <c r="B353" s="1">
        <v>44933</v>
      </c>
      <c r="C353">
        <f t="shared" si="20"/>
        <v>27866.312099999996</v>
      </c>
      <c r="D353">
        <v>9</v>
      </c>
      <c r="E353">
        <v>3365.28</v>
      </c>
      <c r="F353">
        <v>3730.43</v>
      </c>
      <c r="G353">
        <v>0.17</v>
      </c>
      <c r="H353" t="str">
        <f>PROPER(TRIM(sales_data!C353))</f>
        <v>Bob</v>
      </c>
      <c r="I353" t="str">
        <f>PROPER(TRIM(sales_data!D353))</f>
        <v>North</v>
      </c>
      <c r="J353" t="str">
        <f>PROPER(TRIM(sales_data!G353))</f>
        <v>Furniture</v>
      </c>
      <c r="K353" t="str">
        <f>PROPER(TRIM(sales_data!J353))</f>
        <v>New</v>
      </c>
      <c r="L353" t="str">
        <f>PROPER(TRIM(sales_data!L353))</f>
        <v>Bank Transfer</v>
      </c>
      <c r="M353" t="str">
        <f>PROPER(TRIM(sales_data!M353))</f>
        <v>Online</v>
      </c>
      <c r="N353">
        <f t="shared" si="21"/>
        <v>365.14999999999964</v>
      </c>
      <c r="O353">
        <f t="shared" si="22"/>
        <v>3286.3499999999967</v>
      </c>
      <c r="P353" t="str">
        <f t="shared" si="23"/>
        <v>Jan</v>
      </c>
    </row>
    <row r="354" spans="1:16" x14ac:dyDescent="0.25">
      <c r="A354">
        <v>1030</v>
      </c>
      <c r="B354" s="1">
        <v>45256</v>
      </c>
      <c r="C354">
        <f t="shared" si="20"/>
        <v>68153.326799999995</v>
      </c>
      <c r="D354">
        <v>39</v>
      </c>
      <c r="E354">
        <v>2041.75</v>
      </c>
      <c r="F354">
        <v>2299.37</v>
      </c>
      <c r="G354">
        <v>0.24</v>
      </c>
      <c r="H354" t="str">
        <f>PROPER(TRIM(sales_data!C354))</f>
        <v>Alice</v>
      </c>
      <c r="I354" t="str">
        <f>PROPER(TRIM(sales_data!D354))</f>
        <v>West</v>
      </c>
      <c r="J354" t="str">
        <f>PROPER(TRIM(sales_data!G354))</f>
        <v>Electronics</v>
      </c>
      <c r="K354" t="str">
        <f>PROPER(TRIM(sales_data!J354))</f>
        <v>Returning</v>
      </c>
      <c r="L354" t="str">
        <f>PROPER(TRIM(sales_data!L354))</f>
        <v>Bank Transfer</v>
      </c>
      <c r="M354" t="str">
        <f>PROPER(TRIM(sales_data!M354))</f>
        <v>Retail</v>
      </c>
      <c r="N354">
        <f t="shared" si="21"/>
        <v>257.61999999999989</v>
      </c>
      <c r="O354">
        <f t="shared" si="22"/>
        <v>10047.179999999997</v>
      </c>
      <c r="P354" t="str">
        <f t="shared" si="23"/>
        <v>Nov</v>
      </c>
    </row>
    <row r="355" spans="1:16" x14ac:dyDescent="0.25">
      <c r="A355">
        <v>1097</v>
      </c>
      <c r="B355" s="1">
        <v>45189</v>
      </c>
      <c r="C355">
        <f t="shared" si="20"/>
        <v>63896.543999999994</v>
      </c>
      <c r="D355">
        <v>45</v>
      </c>
      <c r="E355">
        <v>1525.13</v>
      </c>
      <c r="F355">
        <v>1868.32</v>
      </c>
      <c r="G355">
        <v>0.24</v>
      </c>
      <c r="H355" t="str">
        <f>PROPER(TRIM(sales_data!C355))</f>
        <v>David</v>
      </c>
      <c r="I355" t="str">
        <f>PROPER(TRIM(sales_data!D355))</f>
        <v>North</v>
      </c>
      <c r="J355" t="str">
        <f>PROPER(TRIM(sales_data!G355))</f>
        <v>Clothing</v>
      </c>
      <c r="K355" t="str">
        <f>PROPER(TRIM(sales_data!J355))</f>
        <v>Returning</v>
      </c>
      <c r="L355" t="str">
        <f>PROPER(TRIM(sales_data!L355))</f>
        <v>Cash</v>
      </c>
      <c r="M355" t="str">
        <f>PROPER(TRIM(sales_data!M355))</f>
        <v>Retail</v>
      </c>
      <c r="N355">
        <f t="shared" si="21"/>
        <v>343.18999999999983</v>
      </c>
      <c r="O355">
        <f t="shared" si="22"/>
        <v>15443.549999999992</v>
      </c>
      <c r="P355" t="str">
        <f t="shared" si="23"/>
        <v>Sep</v>
      </c>
    </row>
    <row r="356" spans="1:16" x14ac:dyDescent="0.25">
      <c r="A356">
        <v>1028</v>
      </c>
      <c r="B356" s="1">
        <v>45087</v>
      </c>
      <c r="C356">
        <f t="shared" si="20"/>
        <v>6120.3963999999814</v>
      </c>
      <c r="D356">
        <v>2</v>
      </c>
      <c r="E356">
        <v>3146.12</v>
      </c>
      <c r="F356">
        <v>3255.5299999999902</v>
      </c>
      <c r="G356">
        <v>0.06</v>
      </c>
      <c r="H356" t="str">
        <f>PROPER(TRIM(sales_data!C356))</f>
        <v>Alice</v>
      </c>
      <c r="I356" t="str">
        <f>PROPER(TRIM(sales_data!D356))</f>
        <v>North</v>
      </c>
      <c r="J356" t="str">
        <f>PROPER(TRIM(sales_data!G356))</f>
        <v>Furniture</v>
      </c>
      <c r="K356" t="str">
        <f>PROPER(TRIM(sales_data!J356))</f>
        <v>Returning</v>
      </c>
      <c r="L356" t="str">
        <f>PROPER(TRIM(sales_data!L356))</f>
        <v>Bank Transfer</v>
      </c>
      <c r="M356" t="str">
        <f>PROPER(TRIM(sales_data!M356))</f>
        <v>Online</v>
      </c>
      <c r="N356">
        <f t="shared" si="21"/>
        <v>109.4099999999903</v>
      </c>
      <c r="O356">
        <f t="shared" si="22"/>
        <v>218.81999999998061</v>
      </c>
      <c r="P356" t="str">
        <f t="shared" si="23"/>
        <v>Jun</v>
      </c>
    </row>
    <row r="357" spans="1:16" x14ac:dyDescent="0.25">
      <c r="A357">
        <v>1064</v>
      </c>
      <c r="B357" s="1">
        <v>45077</v>
      </c>
      <c r="C357">
        <f t="shared" si="20"/>
        <v>9249.1440000000002</v>
      </c>
      <c r="D357">
        <v>8</v>
      </c>
      <c r="E357">
        <v>816.54</v>
      </c>
      <c r="F357">
        <v>1191.9000000000001</v>
      </c>
      <c r="G357">
        <v>0.03</v>
      </c>
      <c r="H357" t="str">
        <f>PROPER(TRIM(sales_data!C357))</f>
        <v>David</v>
      </c>
      <c r="I357" t="str">
        <f>PROPER(TRIM(sales_data!D357))</f>
        <v>South</v>
      </c>
      <c r="J357" t="str">
        <f>PROPER(TRIM(sales_data!G357))</f>
        <v>Clothing</v>
      </c>
      <c r="K357" t="str">
        <f>PROPER(TRIM(sales_data!J357))</f>
        <v>New</v>
      </c>
      <c r="L357" t="str">
        <f>PROPER(TRIM(sales_data!L357))</f>
        <v>Cash</v>
      </c>
      <c r="M357" t="str">
        <f>PROPER(TRIM(sales_data!M357))</f>
        <v>Retail</v>
      </c>
      <c r="N357">
        <f t="shared" si="21"/>
        <v>375.36000000000013</v>
      </c>
      <c r="O357">
        <f t="shared" si="22"/>
        <v>3002.880000000001</v>
      </c>
      <c r="P357" t="str">
        <f t="shared" si="23"/>
        <v>May</v>
      </c>
    </row>
    <row r="358" spans="1:16" x14ac:dyDescent="0.25">
      <c r="A358">
        <v>1097</v>
      </c>
      <c r="B358" s="1">
        <v>45011</v>
      </c>
      <c r="C358">
        <f t="shared" si="20"/>
        <v>13072.331999999999</v>
      </c>
      <c r="D358">
        <v>7</v>
      </c>
      <c r="E358">
        <v>1896.35</v>
      </c>
      <c r="F358">
        <v>2394.1999999999998</v>
      </c>
      <c r="G358">
        <v>0.22</v>
      </c>
      <c r="H358" t="str">
        <f>PROPER(TRIM(sales_data!C358))</f>
        <v>David</v>
      </c>
      <c r="I358" t="str">
        <f>PROPER(TRIM(sales_data!D358))</f>
        <v>East</v>
      </c>
      <c r="J358" t="str">
        <f>PROPER(TRIM(sales_data!G358))</f>
        <v>Clothing</v>
      </c>
      <c r="K358" t="str">
        <f>PROPER(TRIM(sales_data!J358))</f>
        <v>New</v>
      </c>
      <c r="L358" t="str">
        <f>PROPER(TRIM(sales_data!L358))</f>
        <v>Bank Transfer</v>
      </c>
      <c r="M358" t="str">
        <f>PROPER(TRIM(sales_data!M358))</f>
        <v>Online</v>
      </c>
      <c r="N358">
        <f t="shared" si="21"/>
        <v>497.84999999999991</v>
      </c>
      <c r="O358">
        <f t="shared" si="22"/>
        <v>3484.9499999999994</v>
      </c>
      <c r="P358" t="str">
        <f t="shared" si="23"/>
        <v>Mar</v>
      </c>
    </row>
    <row r="359" spans="1:16" x14ac:dyDescent="0.25">
      <c r="A359">
        <v>1069</v>
      </c>
      <c r="B359" s="1">
        <v>45073</v>
      </c>
      <c r="C359">
        <f t="shared" si="20"/>
        <v>59393.62</v>
      </c>
      <c r="D359">
        <v>44</v>
      </c>
      <c r="E359">
        <v>1084.73</v>
      </c>
      <c r="F359">
        <v>1420.9</v>
      </c>
      <c r="G359">
        <v>0.05</v>
      </c>
      <c r="H359" t="str">
        <f>PROPER(TRIM(sales_data!C359))</f>
        <v>Charlie</v>
      </c>
      <c r="I359" t="str">
        <f>PROPER(TRIM(sales_data!D359))</f>
        <v>West</v>
      </c>
      <c r="J359" t="str">
        <f>PROPER(TRIM(sales_data!G359))</f>
        <v>Electronics</v>
      </c>
      <c r="K359" t="str">
        <f>PROPER(TRIM(sales_data!J359))</f>
        <v>Returning</v>
      </c>
      <c r="L359" t="str">
        <f>PROPER(TRIM(sales_data!L359))</f>
        <v>Credit Card</v>
      </c>
      <c r="M359" t="str">
        <f>PROPER(TRIM(sales_data!M359))</f>
        <v>Online</v>
      </c>
      <c r="N359">
        <f t="shared" si="21"/>
        <v>336.17000000000007</v>
      </c>
      <c r="O359">
        <f t="shared" si="22"/>
        <v>14791.480000000003</v>
      </c>
      <c r="P359" t="str">
        <f t="shared" si="23"/>
        <v>May</v>
      </c>
    </row>
    <row r="360" spans="1:16" x14ac:dyDescent="0.25">
      <c r="A360">
        <v>1061</v>
      </c>
      <c r="B360" s="1">
        <v>45038</v>
      </c>
      <c r="C360">
        <f t="shared" si="20"/>
        <v>109570.5</v>
      </c>
      <c r="D360">
        <v>39</v>
      </c>
      <c r="E360">
        <v>3494.19</v>
      </c>
      <c r="F360">
        <v>3746</v>
      </c>
      <c r="G360">
        <v>0.25</v>
      </c>
      <c r="H360" t="str">
        <f>PROPER(TRIM(sales_data!C360))</f>
        <v>Eve</v>
      </c>
      <c r="I360" t="str">
        <f>PROPER(TRIM(sales_data!D360))</f>
        <v>South</v>
      </c>
      <c r="J360" t="str">
        <f>PROPER(TRIM(sales_data!G360))</f>
        <v>Electronics</v>
      </c>
      <c r="K360" t="str">
        <f>PROPER(TRIM(sales_data!J360))</f>
        <v>Returning</v>
      </c>
      <c r="L360" t="str">
        <f>PROPER(TRIM(sales_data!L360))</f>
        <v>Bank Transfer</v>
      </c>
      <c r="M360" t="str">
        <f>PROPER(TRIM(sales_data!M360))</f>
        <v>Retail</v>
      </c>
      <c r="N360">
        <f t="shared" si="21"/>
        <v>251.80999999999995</v>
      </c>
      <c r="O360">
        <f t="shared" si="22"/>
        <v>9820.5899999999983</v>
      </c>
      <c r="P360" t="str">
        <f t="shared" si="23"/>
        <v>Apr</v>
      </c>
    </row>
    <row r="361" spans="1:16" x14ac:dyDescent="0.25">
      <c r="A361">
        <v>1048</v>
      </c>
      <c r="B361" s="1">
        <v>44962</v>
      </c>
      <c r="C361">
        <f t="shared" si="20"/>
        <v>169899.58439999999</v>
      </c>
      <c r="D361">
        <v>42</v>
      </c>
      <c r="E361">
        <v>4723.83</v>
      </c>
      <c r="F361">
        <v>5186.1899999999996</v>
      </c>
      <c r="G361">
        <v>0.22</v>
      </c>
      <c r="H361" t="str">
        <f>PROPER(TRIM(sales_data!C361))</f>
        <v>David</v>
      </c>
      <c r="I361" t="str">
        <f>PROPER(TRIM(sales_data!D361))</f>
        <v>North</v>
      </c>
      <c r="J361" t="str">
        <f>PROPER(TRIM(sales_data!G361))</f>
        <v>Electronics</v>
      </c>
      <c r="K361" t="str">
        <f>PROPER(TRIM(sales_data!J361))</f>
        <v>Returning</v>
      </c>
      <c r="L361" t="str">
        <f>PROPER(TRIM(sales_data!L361))</f>
        <v>Credit Card</v>
      </c>
      <c r="M361" t="str">
        <f>PROPER(TRIM(sales_data!M361))</f>
        <v>Online</v>
      </c>
      <c r="N361">
        <f t="shared" si="21"/>
        <v>462.35999999999967</v>
      </c>
      <c r="O361">
        <f t="shared" si="22"/>
        <v>19419.119999999988</v>
      </c>
      <c r="P361" t="str">
        <f t="shared" si="23"/>
        <v>Feb</v>
      </c>
    </row>
    <row r="362" spans="1:16" x14ac:dyDescent="0.25">
      <c r="A362">
        <v>1019</v>
      </c>
      <c r="B362" s="1">
        <v>45211</v>
      </c>
      <c r="C362">
        <f t="shared" si="20"/>
        <v>59946.600000000006</v>
      </c>
      <c r="D362">
        <v>16</v>
      </c>
      <c r="E362">
        <v>4977.78</v>
      </c>
      <c r="F362">
        <v>4995.55</v>
      </c>
      <c r="G362">
        <v>0.25</v>
      </c>
      <c r="H362" t="str">
        <f>PROPER(TRIM(sales_data!C362))</f>
        <v>Charlie</v>
      </c>
      <c r="I362" t="str">
        <f>PROPER(TRIM(sales_data!D362))</f>
        <v>West</v>
      </c>
      <c r="J362" t="str">
        <f>PROPER(TRIM(sales_data!G362))</f>
        <v>Clothing</v>
      </c>
      <c r="K362" t="str">
        <f>PROPER(TRIM(sales_data!J362))</f>
        <v>New</v>
      </c>
      <c r="L362" t="str">
        <f>PROPER(TRIM(sales_data!L362))</f>
        <v>Credit Card</v>
      </c>
      <c r="M362" t="str">
        <f>PROPER(TRIM(sales_data!M362))</f>
        <v>Online</v>
      </c>
      <c r="N362">
        <f t="shared" si="21"/>
        <v>17.770000000000437</v>
      </c>
      <c r="O362">
        <f t="shared" si="22"/>
        <v>284.32000000000698</v>
      </c>
      <c r="P362" t="str">
        <f t="shared" si="23"/>
        <v>Oct</v>
      </c>
    </row>
    <row r="363" spans="1:16" x14ac:dyDescent="0.25">
      <c r="A363">
        <v>1004</v>
      </c>
      <c r="B363" s="1">
        <v>45114</v>
      </c>
      <c r="C363">
        <f t="shared" si="20"/>
        <v>84291.980499999685</v>
      </c>
      <c r="D363">
        <v>35</v>
      </c>
      <c r="E363">
        <v>2278.87</v>
      </c>
      <c r="F363">
        <v>2646.5299999999902</v>
      </c>
      <c r="G363">
        <v>0.09</v>
      </c>
      <c r="H363" t="str">
        <f>PROPER(TRIM(sales_data!C363))</f>
        <v>Eve</v>
      </c>
      <c r="I363" t="str">
        <f>PROPER(TRIM(sales_data!D363))</f>
        <v>North</v>
      </c>
      <c r="J363" t="str">
        <f>PROPER(TRIM(sales_data!G363))</f>
        <v>Clothing</v>
      </c>
      <c r="K363" t="str">
        <f>PROPER(TRIM(sales_data!J363))</f>
        <v>Returning</v>
      </c>
      <c r="L363" t="str">
        <f>PROPER(TRIM(sales_data!L363))</f>
        <v>Bank Transfer</v>
      </c>
      <c r="M363" t="str">
        <f>PROPER(TRIM(sales_data!M363))</f>
        <v>Online</v>
      </c>
      <c r="N363">
        <f t="shared" si="21"/>
        <v>367.6599999999903</v>
      </c>
      <c r="O363">
        <f t="shared" si="22"/>
        <v>12868.09999999966</v>
      </c>
      <c r="P363" t="str">
        <f t="shared" si="23"/>
        <v>Jul</v>
      </c>
    </row>
    <row r="364" spans="1:16" x14ac:dyDescent="0.25">
      <c r="A364">
        <v>1035</v>
      </c>
      <c r="B364" s="1">
        <v>45008</v>
      </c>
      <c r="C364">
        <f t="shared" si="20"/>
        <v>47652.696000000004</v>
      </c>
      <c r="D364">
        <v>30</v>
      </c>
      <c r="E364">
        <v>1300.03</v>
      </c>
      <c r="F364">
        <v>1745.52</v>
      </c>
      <c r="G364">
        <v>0.09</v>
      </c>
      <c r="H364" t="str">
        <f>PROPER(TRIM(sales_data!C364))</f>
        <v>David</v>
      </c>
      <c r="I364" t="str">
        <f>PROPER(TRIM(sales_data!D364))</f>
        <v>East</v>
      </c>
      <c r="J364" t="str">
        <f>PROPER(TRIM(sales_data!G364))</f>
        <v>Clothing</v>
      </c>
      <c r="K364" t="str">
        <f>PROPER(TRIM(sales_data!J364))</f>
        <v>New</v>
      </c>
      <c r="L364" t="str">
        <f>PROPER(TRIM(sales_data!L364))</f>
        <v>Cash</v>
      </c>
      <c r="M364" t="str">
        <f>PROPER(TRIM(sales_data!M364))</f>
        <v>Retail</v>
      </c>
      <c r="N364">
        <f t="shared" si="21"/>
        <v>445.49</v>
      </c>
      <c r="O364">
        <f t="shared" si="22"/>
        <v>13364.7</v>
      </c>
      <c r="P364" t="str">
        <f t="shared" si="23"/>
        <v>Mar</v>
      </c>
    </row>
    <row r="365" spans="1:16" x14ac:dyDescent="0.25">
      <c r="A365">
        <v>1064</v>
      </c>
      <c r="B365" s="1">
        <v>44928</v>
      </c>
      <c r="C365">
        <f t="shared" si="20"/>
        <v>18257.84</v>
      </c>
      <c r="D365">
        <v>10</v>
      </c>
      <c r="E365">
        <v>2242.0100000000002</v>
      </c>
      <c r="F365">
        <v>2282.23</v>
      </c>
      <c r="G365">
        <v>0.2</v>
      </c>
      <c r="H365" t="str">
        <f>PROPER(TRIM(sales_data!C365))</f>
        <v>David</v>
      </c>
      <c r="I365" t="str">
        <f>PROPER(TRIM(sales_data!D365))</f>
        <v>South</v>
      </c>
      <c r="J365" t="str">
        <f>PROPER(TRIM(sales_data!G365))</f>
        <v>Electronics</v>
      </c>
      <c r="K365" t="str">
        <f>PROPER(TRIM(sales_data!J365))</f>
        <v>Returning</v>
      </c>
      <c r="L365" t="str">
        <f>PROPER(TRIM(sales_data!L365))</f>
        <v>Credit Card</v>
      </c>
      <c r="M365" t="str">
        <f>PROPER(TRIM(sales_data!M365))</f>
        <v>Online</v>
      </c>
      <c r="N365">
        <f t="shared" si="21"/>
        <v>40.2199999999998</v>
      </c>
      <c r="O365">
        <f t="shared" si="22"/>
        <v>402.199999999998</v>
      </c>
      <c r="P365" t="str">
        <f t="shared" si="23"/>
        <v>Jan</v>
      </c>
    </row>
    <row r="366" spans="1:16" x14ac:dyDescent="0.25">
      <c r="A366">
        <v>1049</v>
      </c>
      <c r="B366" s="1">
        <v>45229</v>
      </c>
      <c r="C366">
        <f t="shared" si="20"/>
        <v>168331.06619999962</v>
      </c>
      <c r="D366">
        <v>38</v>
      </c>
      <c r="E366">
        <v>4243.9799999999996</v>
      </c>
      <c r="F366">
        <v>4474.5099999999902</v>
      </c>
      <c r="G366">
        <v>0.01</v>
      </c>
      <c r="H366" t="str">
        <f>PROPER(TRIM(sales_data!C366))</f>
        <v>Alice</v>
      </c>
      <c r="I366" t="str">
        <f>PROPER(TRIM(sales_data!D366))</f>
        <v>East</v>
      </c>
      <c r="J366" t="str">
        <f>PROPER(TRIM(sales_data!G366))</f>
        <v>Food</v>
      </c>
      <c r="K366" t="str">
        <f>PROPER(TRIM(sales_data!J366))</f>
        <v>New</v>
      </c>
      <c r="L366" t="str">
        <f>PROPER(TRIM(sales_data!L366))</f>
        <v>Credit Card</v>
      </c>
      <c r="M366" t="str">
        <f>PROPER(TRIM(sales_data!M366))</f>
        <v>Online</v>
      </c>
      <c r="N366">
        <f t="shared" si="21"/>
        <v>230.52999999999065</v>
      </c>
      <c r="O366">
        <f t="shared" si="22"/>
        <v>8760.1399999996447</v>
      </c>
      <c r="P366" t="str">
        <f t="shared" si="23"/>
        <v>Oct</v>
      </c>
    </row>
    <row r="367" spans="1:16" x14ac:dyDescent="0.25">
      <c r="A367">
        <v>1017</v>
      </c>
      <c r="B367" s="1">
        <v>45123</v>
      </c>
      <c r="C367">
        <f t="shared" si="20"/>
        <v>16567.761600000002</v>
      </c>
      <c r="D367">
        <v>18</v>
      </c>
      <c r="E367">
        <v>1069.73</v>
      </c>
      <c r="F367">
        <v>1180.04</v>
      </c>
      <c r="G367">
        <v>0.22</v>
      </c>
      <c r="H367" t="str">
        <f>PROPER(TRIM(sales_data!C367))</f>
        <v>Alice</v>
      </c>
      <c r="I367" t="str">
        <f>PROPER(TRIM(sales_data!D367))</f>
        <v>South</v>
      </c>
      <c r="J367" t="str">
        <f>PROPER(TRIM(sales_data!G367))</f>
        <v>Furniture</v>
      </c>
      <c r="K367" t="str">
        <f>PROPER(TRIM(sales_data!J367))</f>
        <v>Returning</v>
      </c>
      <c r="L367" t="str">
        <f>PROPER(TRIM(sales_data!L367))</f>
        <v>Bank Transfer</v>
      </c>
      <c r="M367" t="str">
        <f>PROPER(TRIM(sales_data!M367))</f>
        <v>Online</v>
      </c>
      <c r="N367">
        <f t="shared" si="21"/>
        <v>110.30999999999995</v>
      </c>
      <c r="O367">
        <f t="shared" si="22"/>
        <v>1985.579999999999</v>
      </c>
      <c r="P367" t="str">
        <f t="shared" si="23"/>
        <v>Jul</v>
      </c>
    </row>
    <row r="368" spans="1:16" x14ac:dyDescent="0.25">
      <c r="A368">
        <v>1044</v>
      </c>
      <c r="B368" s="1">
        <v>44937</v>
      </c>
      <c r="C368">
        <f t="shared" si="20"/>
        <v>18939.224999999999</v>
      </c>
      <c r="D368">
        <v>5</v>
      </c>
      <c r="E368">
        <v>4762.87</v>
      </c>
      <c r="F368">
        <v>5050.46</v>
      </c>
      <c r="G368">
        <v>0.25</v>
      </c>
      <c r="H368" t="str">
        <f>PROPER(TRIM(sales_data!C368))</f>
        <v>Eve</v>
      </c>
      <c r="I368" t="str">
        <f>PROPER(TRIM(sales_data!D368))</f>
        <v>North</v>
      </c>
      <c r="J368" t="str">
        <f>PROPER(TRIM(sales_data!G368))</f>
        <v>Food</v>
      </c>
      <c r="K368" t="str">
        <f>PROPER(TRIM(sales_data!J368))</f>
        <v>New</v>
      </c>
      <c r="L368" t="str">
        <f>PROPER(TRIM(sales_data!L368))</f>
        <v>Cash</v>
      </c>
      <c r="M368" t="str">
        <f>PROPER(TRIM(sales_data!M368))</f>
        <v>Retail</v>
      </c>
      <c r="N368">
        <f t="shared" si="21"/>
        <v>287.59000000000015</v>
      </c>
      <c r="O368">
        <f t="shared" si="22"/>
        <v>1437.9500000000007</v>
      </c>
      <c r="P368" t="str">
        <f t="shared" si="23"/>
        <v>Jan</v>
      </c>
    </row>
    <row r="369" spans="1:16" x14ac:dyDescent="0.25">
      <c r="A369">
        <v>1092</v>
      </c>
      <c r="B369" s="1">
        <v>45160</v>
      </c>
      <c r="C369">
        <f t="shared" si="20"/>
        <v>52839.670400000003</v>
      </c>
      <c r="D369">
        <v>29</v>
      </c>
      <c r="E369">
        <v>1742.24</v>
      </c>
      <c r="F369">
        <v>2070.52</v>
      </c>
      <c r="G369">
        <v>0.12</v>
      </c>
      <c r="H369" t="str">
        <f>PROPER(TRIM(sales_data!C369))</f>
        <v>David</v>
      </c>
      <c r="I369" t="str">
        <f>PROPER(TRIM(sales_data!D369))</f>
        <v>East</v>
      </c>
      <c r="J369" t="str">
        <f>PROPER(TRIM(sales_data!G369))</f>
        <v>Clothing</v>
      </c>
      <c r="K369" t="str">
        <f>PROPER(TRIM(sales_data!J369))</f>
        <v>New</v>
      </c>
      <c r="L369" t="str">
        <f>PROPER(TRIM(sales_data!L369))</f>
        <v>Cash</v>
      </c>
      <c r="M369" t="str">
        <f>PROPER(TRIM(sales_data!M369))</f>
        <v>Online</v>
      </c>
      <c r="N369">
        <f t="shared" si="21"/>
        <v>328.28</v>
      </c>
      <c r="O369">
        <f t="shared" si="22"/>
        <v>9520.119999999999</v>
      </c>
      <c r="P369" t="str">
        <f t="shared" si="23"/>
        <v>Aug</v>
      </c>
    </row>
    <row r="370" spans="1:16" x14ac:dyDescent="0.25">
      <c r="A370">
        <v>1030</v>
      </c>
      <c r="B370" s="1">
        <v>45121</v>
      </c>
      <c r="C370">
        <f t="shared" si="20"/>
        <v>152793.2405999997</v>
      </c>
      <c r="D370">
        <v>39</v>
      </c>
      <c r="E370">
        <v>4929.7299999999996</v>
      </c>
      <c r="F370">
        <v>5088.0199999999904</v>
      </c>
      <c r="G370">
        <v>0.23</v>
      </c>
      <c r="H370" t="str">
        <f>PROPER(TRIM(sales_data!C370))</f>
        <v>Bob</v>
      </c>
      <c r="I370" t="str">
        <f>PROPER(TRIM(sales_data!D370))</f>
        <v>East</v>
      </c>
      <c r="J370" t="str">
        <f>PROPER(TRIM(sales_data!G370))</f>
        <v>Clothing</v>
      </c>
      <c r="K370" t="str">
        <f>PROPER(TRIM(sales_data!J370))</f>
        <v>New</v>
      </c>
      <c r="L370" t="str">
        <f>PROPER(TRIM(sales_data!L370))</f>
        <v>Bank Transfer</v>
      </c>
      <c r="M370" t="str">
        <f>PROPER(TRIM(sales_data!M370))</f>
        <v>Retail</v>
      </c>
      <c r="N370">
        <f t="shared" si="21"/>
        <v>158.28999999999087</v>
      </c>
      <c r="O370">
        <f t="shared" si="22"/>
        <v>6173.3099999996439</v>
      </c>
      <c r="P370" t="str">
        <f t="shared" si="23"/>
        <v>Jul</v>
      </c>
    </row>
    <row r="371" spans="1:16" x14ac:dyDescent="0.25">
      <c r="A371">
        <v>1093</v>
      </c>
      <c r="B371" s="1">
        <v>45045</v>
      </c>
      <c r="C371">
        <f t="shared" si="20"/>
        <v>143298.94999999998</v>
      </c>
      <c r="D371">
        <v>34</v>
      </c>
      <c r="E371">
        <v>4201.1099999999997</v>
      </c>
      <c r="F371">
        <v>4436.5</v>
      </c>
      <c r="G371">
        <v>0.05</v>
      </c>
      <c r="H371" t="str">
        <f>PROPER(TRIM(sales_data!C371))</f>
        <v>Alice</v>
      </c>
      <c r="I371" t="str">
        <f>PROPER(TRIM(sales_data!D371))</f>
        <v>North</v>
      </c>
      <c r="J371" t="str">
        <f>PROPER(TRIM(sales_data!G371))</f>
        <v>Food</v>
      </c>
      <c r="K371" t="str">
        <f>PROPER(TRIM(sales_data!J371))</f>
        <v>New</v>
      </c>
      <c r="L371" t="str">
        <f>PROPER(TRIM(sales_data!L371))</f>
        <v>Cash</v>
      </c>
      <c r="M371" t="str">
        <f>PROPER(TRIM(sales_data!M371))</f>
        <v>Online</v>
      </c>
      <c r="N371">
        <f t="shared" si="21"/>
        <v>235.39000000000033</v>
      </c>
      <c r="O371">
        <f t="shared" si="22"/>
        <v>8003.2600000000111</v>
      </c>
      <c r="P371" t="str">
        <f t="shared" si="23"/>
        <v>Apr</v>
      </c>
    </row>
    <row r="372" spans="1:16" x14ac:dyDescent="0.25">
      <c r="A372">
        <v>1046</v>
      </c>
      <c r="B372" s="1">
        <v>44946</v>
      </c>
      <c r="C372">
        <f t="shared" si="20"/>
        <v>162512.91</v>
      </c>
      <c r="D372">
        <v>43</v>
      </c>
      <c r="E372">
        <v>4052.42</v>
      </c>
      <c r="F372">
        <v>4199.3</v>
      </c>
      <c r="G372">
        <v>0.1</v>
      </c>
      <c r="H372" t="str">
        <f>PROPER(TRIM(sales_data!C372))</f>
        <v>Eve</v>
      </c>
      <c r="I372" t="str">
        <f>PROPER(TRIM(sales_data!D372))</f>
        <v>East</v>
      </c>
      <c r="J372" t="str">
        <f>PROPER(TRIM(sales_data!G372))</f>
        <v>Clothing</v>
      </c>
      <c r="K372" t="str">
        <f>PROPER(TRIM(sales_data!J372))</f>
        <v>New</v>
      </c>
      <c r="L372" t="str">
        <f>PROPER(TRIM(sales_data!L372))</f>
        <v>Bank Transfer</v>
      </c>
      <c r="M372" t="str">
        <f>PROPER(TRIM(sales_data!M372))</f>
        <v>Retail</v>
      </c>
      <c r="N372">
        <f t="shared" si="21"/>
        <v>146.88000000000011</v>
      </c>
      <c r="O372">
        <f t="shared" si="22"/>
        <v>6315.8400000000047</v>
      </c>
      <c r="P372" t="str">
        <f t="shared" si="23"/>
        <v>Jan</v>
      </c>
    </row>
    <row r="373" spans="1:16" x14ac:dyDescent="0.25">
      <c r="A373">
        <v>1006</v>
      </c>
      <c r="B373" s="1">
        <v>45187</v>
      </c>
      <c r="C373">
        <f t="shared" si="20"/>
        <v>57977.428500000002</v>
      </c>
      <c r="D373">
        <v>45</v>
      </c>
      <c r="E373">
        <v>1623.63</v>
      </c>
      <c r="F373">
        <v>1814.63</v>
      </c>
      <c r="G373">
        <v>0.28999999999999998</v>
      </c>
      <c r="H373" t="str">
        <f>PROPER(TRIM(sales_data!C373))</f>
        <v>David</v>
      </c>
      <c r="I373" t="str">
        <f>PROPER(TRIM(sales_data!D373))</f>
        <v>West</v>
      </c>
      <c r="J373" t="str">
        <f>PROPER(TRIM(sales_data!G373))</f>
        <v>Furniture</v>
      </c>
      <c r="K373" t="str">
        <f>PROPER(TRIM(sales_data!J373))</f>
        <v>New</v>
      </c>
      <c r="L373" t="str">
        <f>PROPER(TRIM(sales_data!L373))</f>
        <v>Bank Transfer</v>
      </c>
      <c r="M373" t="str">
        <f>PROPER(TRIM(sales_data!M373))</f>
        <v>Retail</v>
      </c>
      <c r="N373">
        <f t="shared" si="21"/>
        <v>191</v>
      </c>
      <c r="O373">
        <f t="shared" si="22"/>
        <v>8595</v>
      </c>
      <c r="P373" t="str">
        <f t="shared" si="23"/>
        <v>Sep</v>
      </c>
    </row>
    <row r="374" spans="1:16" x14ac:dyDescent="0.25">
      <c r="A374">
        <v>1099</v>
      </c>
      <c r="B374" s="1">
        <v>45219</v>
      </c>
      <c r="C374">
        <f t="shared" si="20"/>
        <v>2924.0819999999999</v>
      </c>
      <c r="D374">
        <v>23</v>
      </c>
      <c r="E374">
        <v>93.45</v>
      </c>
      <c r="F374">
        <v>181.62</v>
      </c>
      <c r="G374">
        <v>0.3</v>
      </c>
      <c r="H374" t="str">
        <f>PROPER(TRIM(sales_data!C374))</f>
        <v>David</v>
      </c>
      <c r="I374" t="str">
        <f>PROPER(TRIM(sales_data!D374))</f>
        <v>South</v>
      </c>
      <c r="J374" t="str">
        <f>PROPER(TRIM(sales_data!G374))</f>
        <v>Clothing</v>
      </c>
      <c r="K374" t="str">
        <f>PROPER(TRIM(sales_data!J374))</f>
        <v>Returning</v>
      </c>
      <c r="L374" t="str">
        <f>PROPER(TRIM(sales_data!L374))</f>
        <v>Bank Transfer</v>
      </c>
      <c r="M374" t="str">
        <f>PROPER(TRIM(sales_data!M374))</f>
        <v>Retail</v>
      </c>
      <c r="N374">
        <f t="shared" si="21"/>
        <v>88.17</v>
      </c>
      <c r="O374">
        <f t="shared" si="22"/>
        <v>2027.91</v>
      </c>
      <c r="P374" t="str">
        <f t="shared" si="23"/>
        <v>Oct</v>
      </c>
    </row>
    <row r="375" spans="1:16" x14ac:dyDescent="0.25">
      <c r="A375">
        <v>1037</v>
      </c>
      <c r="B375" s="1">
        <v>45182</v>
      </c>
      <c r="C375">
        <f t="shared" si="20"/>
        <v>10138.289999999999</v>
      </c>
      <c r="D375">
        <v>5</v>
      </c>
      <c r="E375">
        <v>1941.56</v>
      </c>
      <c r="F375">
        <v>2385.48</v>
      </c>
      <c r="G375">
        <v>0.15</v>
      </c>
      <c r="H375" t="str">
        <f>PROPER(TRIM(sales_data!C375))</f>
        <v>Bob</v>
      </c>
      <c r="I375" t="str">
        <f>PROPER(TRIM(sales_data!D375))</f>
        <v>South</v>
      </c>
      <c r="J375" t="str">
        <f>PROPER(TRIM(sales_data!G375))</f>
        <v>Furniture</v>
      </c>
      <c r="K375" t="str">
        <f>PROPER(TRIM(sales_data!J375))</f>
        <v>Returning</v>
      </c>
      <c r="L375" t="str">
        <f>PROPER(TRIM(sales_data!L375))</f>
        <v>Credit Card</v>
      </c>
      <c r="M375" t="str">
        <f>PROPER(TRIM(sales_data!M375))</f>
        <v>Online</v>
      </c>
      <c r="N375">
        <f t="shared" si="21"/>
        <v>443.92000000000007</v>
      </c>
      <c r="O375">
        <f t="shared" si="22"/>
        <v>2219.6000000000004</v>
      </c>
      <c r="P375" t="str">
        <f t="shared" si="23"/>
        <v>Sep</v>
      </c>
    </row>
    <row r="376" spans="1:16" x14ac:dyDescent="0.25">
      <c r="A376">
        <v>1024</v>
      </c>
      <c r="B376" s="1">
        <v>45148</v>
      </c>
      <c r="C376">
        <f t="shared" si="20"/>
        <v>33671.591999999997</v>
      </c>
      <c r="D376">
        <v>30</v>
      </c>
      <c r="E376">
        <v>1543.96</v>
      </c>
      <c r="F376">
        <v>1558.87</v>
      </c>
      <c r="G376">
        <v>0.28000000000000003</v>
      </c>
      <c r="H376" t="str">
        <f>PROPER(TRIM(sales_data!C376))</f>
        <v>Eve</v>
      </c>
      <c r="I376" t="str">
        <f>PROPER(TRIM(sales_data!D376))</f>
        <v>South</v>
      </c>
      <c r="J376" t="str">
        <f>PROPER(TRIM(sales_data!G376))</f>
        <v>Food</v>
      </c>
      <c r="K376" t="str">
        <f>PROPER(TRIM(sales_data!J376))</f>
        <v>Returning</v>
      </c>
      <c r="L376" t="str">
        <f>PROPER(TRIM(sales_data!L376))</f>
        <v>Credit Card</v>
      </c>
      <c r="M376" t="str">
        <f>PROPER(TRIM(sales_data!M376))</f>
        <v>Online</v>
      </c>
      <c r="N376">
        <f t="shared" si="21"/>
        <v>14.909999999999854</v>
      </c>
      <c r="O376">
        <f t="shared" si="22"/>
        <v>447.29999999999563</v>
      </c>
      <c r="P376" t="str">
        <f t="shared" si="23"/>
        <v>Aug</v>
      </c>
    </row>
    <row r="377" spans="1:16" x14ac:dyDescent="0.25">
      <c r="A377">
        <v>1093</v>
      </c>
      <c r="B377" s="1">
        <v>45152</v>
      </c>
      <c r="C377">
        <f t="shared" si="20"/>
        <v>3414.6</v>
      </c>
      <c r="D377">
        <v>6</v>
      </c>
      <c r="E377">
        <v>235.12</v>
      </c>
      <c r="F377">
        <v>677.5</v>
      </c>
      <c r="G377">
        <v>0.16</v>
      </c>
      <c r="H377" t="str">
        <f>PROPER(TRIM(sales_data!C377))</f>
        <v>David</v>
      </c>
      <c r="I377" t="str">
        <f>PROPER(TRIM(sales_data!D377))</f>
        <v>West</v>
      </c>
      <c r="J377" t="str">
        <f>PROPER(TRIM(sales_data!G377))</f>
        <v>Food</v>
      </c>
      <c r="K377" t="str">
        <f>PROPER(TRIM(sales_data!J377))</f>
        <v>Returning</v>
      </c>
      <c r="L377" t="str">
        <f>PROPER(TRIM(sales_data!L377))</f>
        <v>Credit Card</v>
      </c>
      <c r="M377" t="str">
        <f>PROPER(TRIM(sales_data!M377))</f>
        <v>Online</v>
      </c>
      <c r="N377">
        <f t="shared" si="21"/>
        <v>442.38</v>
      </c>
      <c r="O377">
        <f t="shared" si="22"/>
        <v>2654.2799999999997</v>
      </c>
      <c r="P377" t="str">
        <f t="shared" si="23"/>
        <v>Aug</v>
      </c>
    </row>
    <row r="378" spans="1:16" x14ac:dyDescent="0.25">
      <c r="A378">
        <v>1046</v>
      </c>
      <c r="B378" s="1">
        <v>44979</v>
      </c>
      <c r="C378">
        <f t="shared" si="20"/>
        <v>118952.7248</v>
      </c>
      <c r="D378">
        <v>46</v>
      </c>
      <c r="E378">
        <v>2551.56</v>
      </c>
      <c r="F378">
        <v>2841.68</v>
      </c>
      <c r="G378">
        <v>0.09</v>
      </c>
      <c r="H378" t="str">
        <f>PROPER(TRIM(sales_data!C378))</f>
        <v>Alice</v>
      </c>
      <c r="I378" t="str">
        <f>PROPER(TRIM(sales_data!D378))</f>
        <v>South</v>
      </c>
      <c r="J378" t="str">
        <f>PROPER(TRIM(sales_data!G378))</f>
        <v>Clothing</v>
      </c>
      <c r="K378" t="str">
        <f>PROPER(TRIM(sales_data!J378))</f>
        <v>New</v>
      </c>
      <c r="L378" t="str">
        <f>PROPER(TRIM(sales_data!L378))</f>
        <v>Bank Transfer</v>
      </c>
      <c r="M378" t="str">
        <f>PROPER(TRIM(sales_data!M378))</f>
        <v>Retail</v>
      </c>
      <c r="N378">
        <f t="shared" si="21"/>
        <v>290.11999999999989</v>
      </c>
      <c r="O378">
        <f t="shared" si="22"/>
        <v>13345.519999999995</v>
      </c>
      <c r="P378" t="str">
        <f t="shared" si="23"/>
        <v>Feb</v>
      </c>
    </row>
    <row r="379" spans="1:16" x14ac:dyDescent="0.25">
      <c r="A379">
        <v>1053</v>
      </c>
      <c r="B379" s="1">
        <v>45281</v>
      </c>
      <c r="C379">
        <f t="shared" si="20"/>
        <v>89764.804800000013</v>
      </c>
      <c r="D379">
        <v>44</v>
      </c>
      <c r="E379">
        <v>2045</v>
      </c>
      <c r="F379">
        <v>2217.5100000000002</v>
      </c>
      <c r="G379">
        <v>0.08</v>
      </c>
      <c r="H379" t="str">
        <f>PROPER(TRIM(sales_data!C379))</f>
        <v>Bob</v>
      </c>
      <c r="I379" t="str">
        <f>PROPER(TRIM(sales_data!D379))</f>
        <v>North</v>
      </c>
      <c r="J379" t="str">
        <f>PROPER(TRIM(sales_data!G379))</f>
        <v>Furniture</v>
      </c>
      <c r="K379" t="str">
        <f>PROPER(TRIM(sales_data!J379))</f>
        <v>Returning</v>
      </c>
      <c r="L379" t="str">
        <f>PROPER(TRIM(sales_data!L379))</f>
        <v>Credit Card</v>
      </c>
      <c r="M379" t="str">
        <f>PROPER(TRIM(sales_data!M379))</f>
        <v>Online</v>
      </c>
      <c r="N379">
        <f t="shared" si="21"/>
        <v>172.51000000000022</v>
      </c>
      <c r="O379">
        <f t="shared" si="22"/>
        <v>7590.4400000000096</v>
      </c>
      <c r="P379" t="str">
        <f t="shared" si="23"/>
        <v>Dec</v>
      </c>
    </row>
    <row r="380" spans="1:16" x14ac:dyDescent="0.25">
      <c r="A380">
        <v>1095</v>
      </c>
      <c r="B380" s="1">
        <v>45268</v>
      </c>
      <c r="C380">
        <f t="shared" si="20"/>
        <v>10239.407999999999</v>
      </c>
      <c r="D380">
        <v>4</v>
      </c>
      <c r="E380">
        <v>3191.05</v>
      </c>
      <c r="F380">
        <v>3555.35</v>
      </c>
      <c r="G380">
        <v>0.28000000000000003</v>
      </c>
      <c r="H380" t="str">
        <f>PROPER(TRIM(sales_data!C380))</f>
        <v>Eve</v>
      </c>
      <c r="I380" t="str">
        <f>PROPER(TRIM(sales_data!D380))</f>
        <v>East</v>
      </c>
      <c r="J380" t="str">
        <f>PROPER(TRIM(sales_data!G380))</f>
        <v>Clothing</v>
      </c>
      <c r="K380" t="str">
        <f>PROPER(TRIM(sales_data!J380))</f>
        <v>New</v>
      </c>
      <c r="L380" t="str">
        <f>PROPER(TRIM(sales_data!L380))</f>
        <v>Credit Card</v>
      </c>
      <c r="M380" t="str">
        <f>PROPER(TRIM(sales_data!M380))</f>
        <v>Online</v>
      </c>
      <c r="N380">
        <f t="shared" si="21"/>
        <v>364.29999999999973</v>
      </c>
      <c r="O380">
        <f t="shared" si="22"/>
        <v>1457.1999999999989</v>
      </c>
      <c r="P380" t="str">
        <f t="shared" si="23"/>
        <v>Dec</v>
      </c>
    </row>
    <row r="381" spans="1:16" x14ac:dyDescent="0.25">
      <c r="A381">
        <v>1099</v>
      </c>
      <c r="B381" s="1">
        <v>45290</v>
      </c>
      <c r="C381">
        <f t="shared" si="20"/>
        <v>93220.108500000002</v>
      </c>
      <c r="D381">
        <v>29</v>
      </c>
      <c r="E381">
        <v>3124.87</v>
      </c>
      <c r="F381">
        <v>3383.67</v>
      </c>
      <c r="G381">
        <v>0.05</v>
      </c>
      <c r="H381" t="str">
        <f>PROPER(TRIM(sales_data!C381))</f>
        <v>Bob</v>
      </c>
      <c r="I381" t="str">
        <f>PROPER(TRIM(sales_data!D381))</f>
        <v>West</v>
      </c>
      <c r="J381" t="str">
        <f>PROPER(TRIM(sales_data!G381))</f>
        <v>Electronics</v>
      </c>
      <c r="K381" t="str">
        <f>PROPER(TRIM(sales_data!J381))</f>
        <v>New</v>
      </c>
      <c r="L381" t="str">
        <f>PROPER(TRIM(sales_data!L381))</f>
        <v>Credit Card</v>
      </c>
      <c r="M381" t="str">
        <f>PROPER(TRIM(sales_data!M381))</f>
        <v>Retail</v>
      </c>
      <c r="N381">
        <f t="shared" si="21"/>
        <v>258.80000000000018</v>
      </c>
      <c r="O381">
        <f t="shared" si="22"/>
        <v>7505.2000000000053</v>
      </c>
      <c r="P381" t="str">
        <f t="shared" si="23"/>
        <v>Dec</v>
      </c>
    </row>
    <row r="382" spans="1:16" x14ac:dyDescent="0.25">
      <c r="A382">
        <v>1060</v>
      </c>
      <c r="B382" s="1">
        <v>45206</v>
      </c>
      <c r="C382">
        <f t="shared" si="20"/>
        <v>17224.143399999997</v>
      </c>
      <c r="D382">
        <v>23</v>
      </c>
      <c r="E382">
        <v>647.70000000000005</v>
      </c>
      <c r="F382">
        <v>902.26</v>
      </c>
      <c r="G382">
        <v>0.17</v>
      </c>
      <c r="H382" t="str">
        <f>PROPER(TRIM(sales_data!C382))</f>
        <v>Alice</v>
      </c>
      <c r="I382" t="str">
        <f>PROPER(TRIM(sales_data!D382))</f>
        <v>South</v>
      </c>
      <c r="J382" t="str">
        <f>PROPER(TRIM(sales_data!G382))</f>
        <v>Electronics</v>
      </c>
      <c r="K382" t="str">
        <f>PROPER(TRIM(sales_data!J382))</f>
        <v>New</v>
      </c>
      <c r="L382" t="str">
        <f>PROPER(TRIM(sales_data!L382))</f>
        <v>Bank Transfer</v>
      </c>
      <c r="M382" t="str">
        <f>PROPER(TRIM(sales_data!M382))</f>
        <v>Online</v>
      </c>
      <c r="N382">
        <f t="shared" si="21"/>
        <v>254.55999999999995</v>
      </c>
      <c r="O382">
        <f t="shared" si="22"/>
        <v>5854.8799999999992</v>
      </c>
      <c r="P382" t="str">
        <f t="shared" si="23"/>
        <v>Oct</v>
      </c>
    </row>
    <row r="383" spans="1:16" x14ac:dyDescent="0.25">
      <c r="A383">
        <v>1097</v>
      </c>
      <c r="B383" s="1">
        <v>45007</v>
      </c>
      <c r="C383">
        <f t="shared" si="20"/>
        <v>24650.750999999997</v>
      </c>
      <c r="D383">
        <v>6</v>
      </c>
      <c r="E383">
        <v>4885.9799999999996</v>
      </c>
      <c r="F383">
        <v>4949.95</v>
      </c>
      <c r="G383">
        <v>0.17</v>
      </c>
      <c r="H383" t="str">
        <f>PROPER(TRIM(sales_data!C383))</f>
        <v>Eve</v>
      </c>
      <c r="I383" t="str">
        <f>PROPER(TRIM(sales_data!D383))</f>
        <v>North</v>
      </c>
      <c r="J383" t="str">
        <f>PROPER(TRIM(sales_data!G383))</f>
        <v>Electronics</v>
      </c>
      <c r="K383" t="str">
        <f>PROPER(TRIM(sales_data!J383))</f>
        <v>Returning</v>
      </c>
      <c r="L383" t="str">
        <f>PROPER(TRIM(sales_data!L383))</f>
        <v>Bank Transfer</v>
      </c>
      <c r="M383" t="str">
        <f>PROPER(TRIM(sales_data!M383))</f>
        <v>Online</v>
      </c>
      <c r="N383">
        <f t="shared" si="21"/>
        <v>63.970000000000255</v>
      </c>
      <c r="O383">
        <f t="shared" si="22"/>
        <v>383.82000000000153</v>
      </c>
      <c r="P383" t="str">
        <f t="shared" si="23"/>
        <v>Mar</v>
      </c>
    </row>
    <row r="384" spans="1:16" x14ac:dyDescent="0.25">
      <c r="A384">
        <v>1063</v>
      </c>
      <c r="B384" s="1">
        <v>45128</v>
      </c>
      <c r="C384">
        <f t="shared" si="20"/>
        <v>29357.203200000004</v>
      </c>
      <c r="D384">
        <v>32</v>
      </c>
      <c r="E384">
        <v>975.31</v>
      </c>
      <c r="F384">
        <v>1176.17</v>
      </c>
      <c r="G384">
        <v>0.22</v>
      </c>
      <c r="H384" t="str">
        <f>PROPER(TRIM(sales_data!C384))</f>
        <v>Bob</v>
      </c>
      <c r="I384" t="str">
        <f>PROPER(TRIM(sales_data!D384))</f>
        <v>East</v>
      </c>
      <c r="J384" t="str">
        <f>PROPER(TRIM(sales_data!G384))</f>
        <v>Electronics</v>
      </c>
      <c r="K384" t="str">
        <f>PROPER(TRIM(sales_data!J384))</f>
        <v>New</v>
      </c>
      <c r="L384" t="str">
        <f>PROPER(TRIM(sales_data!L384))</f>
        <v>Bank Transfer</v>
      </c>
      <c r="M384" t="str">
        <f>PROPER(TRIM(sales_data!M384))</f>
        <v>Retail</v>
      </c>
      <c r="N384">
        <f t="shared" si="21"/>
        <v>200.86000000000013</v>
      </c>
      <c r="O384">
        <f t="shared" si="22"/>
        <v>6427.5200000000041</v>
      </c>
      <c r="P384" t="str">
        <f t="shared" si="23"/>
        <v>Jul</v>
      </c>
    </row>
    <row r="385" spans="1:16" x14ac:dyDescent="0.25">
      <c r="A385">
        <v>1085</v>
      </c>
      <c r="B385" s="1">
        <v>45084</v>
      </c>
      <c r="C385">
        <f t="shared" si="20"/>
        <v>85045.611000000004</v>
      </c>
      <c r="D385">
        <v>42</v>
      </c>
      <c r="E385">
        <v>2254.11</v>
      </c>
      <c r="F385">
        <v>2382.23</v>
      </c>
      <c r="G385">
        <v>0.15</v>
      </c>
      <c r="H385" t="str">
        <f>PROPER(TRIM(sales_data!C385))</f>
        <v>Charlie</v>
      </c>
      <c r="I385" t="str">
        <f>PROPER(TRIM(sales_data!D385))</f>
        <v>East</v>
      </c>
      <c r="J385" t="str">
        <f>PROPER(TRIM(sales_data!G385))</f>
        <v>Clothing</v>
      </c>
      <c r="K385" t="str">
        <f>PROPER(TRIM(sales_data!J385))</f>
        <v>Returning</v>
      </c>
      <c r="L385" t="str">
        <f>PROPER(TRIM(sales_data!L385))</f>
        <v>Credit Card</v>
      </c>
      <c r="M385" t="str">
        <f>PROPER(TRIM(sales_data!M385))</f>
        <v>Retail</v>
      </c>
      <c r="N385">
        <f t="shared" si="21"/>
        <v>128.11999999999989</v>
      </c>
      <c r="O385">
        <f t="shared" si="22"/>
        <v>5381.0399999999954</v>
      </c>
      <c r="P385" t="str">
        <f t="shared" si="23"/>
        <v>Jun</v>
      </c>
    </row>
    <row r="386" spans="1:16" x14ac:dyDescent="0.25">
      <c r="A386">
        <v>1032</v>
      </c>
      <c r="B386" s="1">
        <v>45046</v>
      </c>
      <c r="C386">
        <f t="shared" ref="C386:C449" si="24">(D386*F386)*(1-G386)</f>
        <v>41132.887199999997</v>
      </c>
      <c r="D386">
        <v>18</v>
      </c>
      <c r="E386">
        <v>2466.1799999999998</v>
      </c>
      <c r="F386">
        <v>2483.87</v>
      </c>
      <c r="G386">
        <v>0.08</v>
      </c>
      <c r="H386" t="str">
        <f>PROPER(TRIM(sales_data!C386))</f>
        <v>Alice</v>
      </c>
      <c r="I386" t="str">
        <f>PROPER(TRIM(sales_data!D386))</f>
        <v>West</v>
      </c>
      <c r="J386" t="str">
        <f>PROPER(TRIM(sales_data!G386))</f>
        <v>Electronics</v>
      </c>
      <c r="K386" t="str">
        <f>PROPER(TRIM(sales_data!J386))</f>
        <v>Returning</v>
      </c>
      <c r="L386" t="str">
        <f>PROPER(TRIM(sales_data!L386))</f>
        <v>Cash</v>
      </c>
      <c r="M386" t="str">
        <f>PROPER(TRIM(sales_data!M386))</f>
        <v>Online</v>
      </c>
      <c r="N386">
        <f t="shared" ref="N386:N449" si="25">F386-E386</f>
        <v>17.690000000000055</v>
      </c>
      <c r="O386">
        <f t="shared" ref="O386:O449" si="26">N386*D386</f>
        <v>318.42000000000098</v>
      </c>
      <c r="P386" t="str">
        <f t="shared" ref="P386:P449" si="27">TEXT(B386,"mmm")</f>
        <v>Apr</v>
      </c>
    </row>
    <row r="387" spans="1:16" x14ac:dyDescent="0.25">
      <c r="A387">
        <v>1087</v>
      </c>
      <c r="B387" s="1">
        <v>44985</v>
      </c>
      <c r="C387">
        <f t="shared" si="24"/>
        <v>60720.81749999999</v>
      </c>
      <c r="D387">
        <v>15</v>
      </c>
      <c r="E387">
        <v>4074.66</v>
      </c>
      <c r="F387">
        <v>4261.1099999999997</v>
      </c>
      <c r="G387">
        <v>0.05</v>
      </c>
      <c r="H387" t="str">
        <f>PROPER(TRIM(sales_data!C387))</f>
        <v>Alice</v>
      </c>
      <c r="I387" t="str">
        <f>PROPER(TRIM(sales_data!D387))</f>
        <v>West</v>
      </c>
      <c r="J387" t="str">
        <f>PROPER(TRIM(sales_data!G387))</f>
        <v>Furniture</v>
      </c>
      <c r="K387" t="str">
        <f>PROPER(TRIM(sales_data!J387))</f>
        <v>Returning</v>
      </c>
      <c r="L387" t="str">
        <f>PROPER(TRIM(sales_data!L387))</f>
        <v>Credit Card</v>
      </c>
      <c r="M387" t="str">
        <f>PROPER(TRIM(sales_data!M387))</f>
        <v>Retail</v>
      </c>
      <c r="N387">
        <f t="shared" si="25"/>
        <v>186.44999999999982</v>
      </c>
      <c r="O387">
        <f t="shared" si="26"/>
        <v>2796.7499999999973</v>
      </c>
      <c r="P387" t="str">
        <f t="shared" si="27"/>
        <v>Feb</v>
      </c>
    </row>
    <row r="388" spans="1:16" x14ac:dyDescent="0.25">
      <c r="A388">
        <v>1033</v>
      </c>
      <c r="B388" s="1">
        <v>45141</v>
      </c>
      <c r="C388">
        <f t="shared" si="24"/>
        <v>19284.48</v>
      </c>
      <c r="D388">
        <v>40</v>
      </c>
      <c r="E388">
        <v>541.19000000000005</v>
      </c>
      <c r="F388">
        <v>595.20000000000005</v>
      </c>
      <c r="G388">
        <v>0.19</v>
      </c>
      <c r="H388" t="str">
        <f>PROPER(TRIM(sales_data!C388))</f>
        <v>Alice</v>
      </c>
      <c r="I388" t="str">
        <f>PROPER(TRIM(sales_data!D388))</f>
        <v>West</v>
      </c>
      <c r="J388" t="str">
        <f>PROPER(TRIM(sales_data!G388))</f>
        <v>Food</v>
      </c>
      <c r="K388" t="str">
        <f>PROPER(TRIM(sales_data!J388))</f>
        <v>Returning</v>
      </c>
      <c r="L388" t="str">
        <f>PROPER(TRIM(sales_data!L388))</f>
        <v>Credit Card</v>
      </c>
      <c r="M388" t="str">
        <f>PROPER(TRIM(sales_data!M388))</f>
        <v>Online</v>
      </c>
      <c r="N388">
        <f t="shared" si="25"/>
        <v>54.009999999999991</v>
      </c>
      <c r="O388">
        <f t="shared" si="26"/>
        <v>2160.3999999999996</v>
      </c>
      <c r="P388" t="str">
        <f t="shared" si="27"/>
        <v>Aug</v>
      </c>
    </row>
    <row r="389" spans="1:16" x14ac:dyDescent="0.25">
      <c r="A389">
        <v>1067</v>
      </c>
      <c r="B389" s="1">
        <v>45054</v>
      </c>
      <c r="C389">
        <f t="shared" si="24"/>
        <v>57598.6944</v>
      </c>
      <c r="D389">
        <v>32</v>
      </c>
      <c r="E389">
        <v>2171.79</v>
      </c>
      <c r="F389">
        <v>2307.64</v>
      </c>
      <c r="G389">
        <v>0.22</v>
      </c>
      <c r="H389" t="str">
        <f>PROPER(TRIM(sales_data!C389))</f>
        <v>Charlie</v>
      </c>
      <c r="I389" t="str">
        <f>PROPER(TRIM(sales_data!D389))</f>
        <v>North</v>
      </c>
      <c r="J389" t="str">
        <f>PROPER(TRIM(sales_data!G389))</f>
        <v>Food</v>
      </c>
      <c r="K389" t="str">
        <f>PROPER(TRIM(sales_data!J389))</f>
        <v>Returning</v>
      </c>
      <c r="L389" t="str">
        <f>PROPER(TRIM(sales_data!L389))</f>
        <v>Bank Transfer</v>
      </c>
      <c r="M389" t="str">
        <f>PROPER(TRIM(sales_data!M389))</f>
        <v>Online</v>
      </c>
      <c r="N389">
        <f t="shared" si="25"/>
        <v>135.84999999999991</v>
      </c>
      <c r="O389">
        <f t="shared" si="26"/>
        <v>4347.1999999999971</v>
      </c>
      <c r="P389" t="str">
        <f t="shared" si="27"/>
        <v>May</v>
      </c>
    </row>
    <row r="390" spans="1:16" x14ac:dyDescent="0.25">
      <c r="A390">
        <v>1018</v>
      </c>
      <c r="B390" s="1">
        <v>45150</v>
      </c>
      <c r="C390">
        <f t="shared" si="24"/>
        <v>24026.657399999996</v>
      </c>
      <c r="D390">
        <v>9</v>
      </c>
      <c r="E390">
        <v>3161.09</v>
      </c>
      <c r="F390">
        <v>3216.42</v>
      </c>
      <c r="G390">
        <v>0.17</v>
      </c>
      <c r="H390" t="str">
        <f>PROPER(TRIM(sales_data!C390))</f>
        <v>Charlie</v>
      </c>
      <c r="I390" t="str">
        <f>PROPER(TRIM(sales_data!D390))</f>
        <v>North</v>
      </c>
      <c r="J390" t="str">
        <f>PROPER(TRIM(sales_data!G390))</f>
        <v>Electronics</v>
      </c>
      <c r="K390" t="str">
        <f>PROPER(TRIM(sales_data!J390))</f>
        <v>New</v>
      </c>
      <c r="L390" t="str">
        <f>PROPER(TRIM(sales_data!L390))</f>
        <v>Bank Transfer</v>
      </c>
      <c r="M390" t="str">
        <f>PROPER(TRIM(sales_data!M390))</f>
        <v>Online</v>
      </c>
      <c r="N390">
        <f t="shared" si="25"/>
        <v>55.329999999999927</v>
      </c>
      <c r="O390">
        <f t="shared" si="26"/>
        <v>497.96999999999935</v>
      </c>
      <c r="P390" t="str">
        <f t="shared" si="27"/>
        <v>Aug</v>
      </c>
    </row>
    <row r="391" spans="1:16" x14ac:dyDescent="0.25">
      <c r="A391">
        <v>1025</v>
      </c>
      <c r="B391" s="1">
        <v>45135</v>
      </c>
      <c r="C391">
        <f t="shared" si="24"/>
        <v>33895.4928</v>
      </c>
      <c r="D391">
        <v>37</v>
      </c>
      <c r="E391">
        <v>1115.02</v>
      </c>
      <c r="F391">
        <v>1174.48</v>
      </c>
      <c r="G391">
        <v>0.22</v>
      </c>
      <c r="H391" t="str">
        <f>PROPER(TRIM(sales_data!C391))</f>
        <v>David</v>
      </c>
      <c r="I391" t="str">
        <f>PROPER(TRIM(sales_data!D391))</f>
        <v>West</v>
      </c>
      <c r="J391" t="str">
        <f>PROPER(TRIM(sales_data!G391))</f>
        <v>Electronics</v>
      </c>
      <c r="K391" t="str">
        <f>PROPER(TRIM(sales_data!J391))</f>
        <v>New</v>
      </c>
      <c r="L391" t="str">
        <f>PROPER(TRIM(sales_data!L391))</f>
        <v>Credit Card</v>
      </c>
      <c r="M391" t="str">
        <f>PROPER(TRIM(sales_data!M391))</f>
        <v>Online</v>
      </c>
      <c r="N391">
        <f t="shared" si="25"/>
        <v>59.460000000000036</v>
      </c>
      <c r="O391">
        <f t="shared" si="26"/>
        <v>2200.0200000000013</v>
      </c>
      <c r="P391" t="str">
        <f t="shared" si="27"/>
        <v>Jul</v>
      </c>
    </row>
    <row r="392" spans="1:16" x14ac:dyDescent="0.25">
      <c r="A392">
        <v>1095</v>
      </c>
      <c r="B392" s="1">
        <v>45041</v>
      </c>
      <c r="C392">
        <f t="shared" si="24"/>
        <v>31329.503999999997</v>
      </c>
      <c r="D392">
        <v>10</v>
      </c>
      <c r="E392">
        <v>3155.97</v>
      </c>
      <c r="F392">
        <v>3263.49</v>
      </c>
      <c r="G392">
        <v>0.04</v>
      </c>
      <c r="H392" t="str">
        <f>PROPER(TRIM(sales_data!C392))</f>
        <v>Bob</v>
      </c>
      <c r="I392" t="str">
        <f>PROPER(TRIM(sales_data!D392))</f>
        <v>South</v>
      </c>
      <c r="J392" t="str">
        <f>PROPER(TRIM(sales_data!G392))</f>
        <v>Electronics</v>
      </c>
      <c r="K392" t="str">
        <f>PROPER(TRIM(sales_data!J392))</f>
        <v>Returning</v>
      </c>
      <c r="L392" t="str">
        <f>PROPER(TRIM(sales_data!L392))</f>
        <v>Credit Card</v>
      </c>
      <c r="M392" t="str">
        <f>PROPER(TRIM(sales_data!M392))</f>
        <v>Online</v>
      </c>
      <c r="N392">
        <f t="shared" si="25"/>
        <v>107.51999999999998</v>
      </c>
      <c r="O392">
        <f t="shared" si="26"/>
        <v>1075.1999999999998</v>
      </c>
      <c r="P392" t="str">
        <f t="shared" si="27"/>
        <v>Apr</v>
      </c>
    </row>
    <row r="393" spans="1:16" x14ac:dyDescent="0.25">
      <c r="A393">
        <v>1054</v>
      </c>
      <c r="B393" s="1">
        <v>45135</v>
      </c>
      <c r="C393">
        <f t="shared" si="24"/>
        <v>75806.635999999999</v>
      </c>
      <c r="D393">
        <v>20</v>
      </c>
      <c r="E393">
        <v>4622.1400000000003</v>
      </c>
      <c r="F393">
        <v>5122.07</v>
      </c>
      <c r="G393">
        <v>0.26</v>
      </c>
      <c r="H393" t="str">
        <f>PROPER(TRIM(sales_data!C393))</f>
        <v>David</v>
      </c>
      <c r="I393" t="str">
        <f>PROPER(TRIM(sales_data!D393))</f>
        <v>East</v>
      </c>
      <c r="J393" t="str">
        <f>PROPER(TRIM(sales_data!G393))</f>
        <v>Clothing</v>
      </c>
      <c r="K393" t="str">
        <f>PROPER(TRIM(sales_data!J393))</f>
        <v>New</v>
      </c>
      <c r="L393" t="str">
        <f>PROPER(TRIM(sales_data!L393))</f>
        <v>Cash</v>
      </c>
      <c r="M393" t="str">
        <f>PROPER(TRIM(sales_data!M393))</f>
        <v>Retail</v>
      </c>
      <c r="N393">
        <f t="shared" si="25"/>
        <v>499.92999999999938</v>
      </c>
      <c r="O393">
        <f t="shared" si="26"/>
        <v>9998.5999999999876</v>
      </c>
      <c r="P393" t="str">
        <f t="shared" si="27"/>
        <v>Jul</v>
      </c>
    </row>
    <row r="394" spans="1:16" x14ac:dyDescent="0.25">
      <c r="A394">
        <v>1058</v>
      </c>
      <c r="B394" s="1">
        <v>44940</v>
      </c>
      <c r="C394">
        <f t="shared" si="24"/>
        <v>24893.9244</v>
      </c>
      <c r="D394">
        <v>6</v>
      </c>
      <c r="E394">
        <v>4987.71</v>
      </c>
      <c r="F394">
        <v>4998.78</v>
      </c>
      <c r="G394">
        <v>0.17</v>
      </c>
      <c r="H394" t="str">
        <f>PROPER(TRIM(sales_data!C394))</f>
        <v>Bob</v>
      </c>
      <c r="I394" t="str">
        <f>PROPER(TRIM(sales_data!D394))</f>
        <v>East</v>
      </c>
      <c r="J394" t="str">
        <f>PROPER(TRIM(sales_data!G394))</f>
        <v>Food</v>
      </c>
      <c r="K394" t="str">
        <f>PROPER(TRIM(sales_data!J394))</f>
        <v>Returning</v>
      </c>
      <c r="L394" t="str">
        <f>PROPER(TRIM(sales_data!L394))</f>
        <v>Cash</v>
      </c>
      <c r="M394" t="str">
        <f>PROPER(TRIM(sales_data!M394))</f>
        <v>Retail</v>
      </c>
      <c r="N394">
        <f t="shared" si="25"/>
        <v>11.069999999999709</v>
      </c>
      <c r="O394">
        <f t="shared" si="26"/>
        <v>66.419999999998254</v>
      </c>
      <c r="P394" t="str">
        <f t="shared" si="27"/>
        <v>Jan</v>
      </c>
    </row>
    <row r="395" spans="1:16" x14ac:dyDescent="0.25">
      <c r="A395">
        <v>1067</v>
      </c>
      <c r="B395" s="1">
        <v>44935</v>
      </c>
      <c r="C395">
        <f t="shared" si="24"/>
        <v>24587.366399999955</v>
      </c>
      <c r="D395">
        <v>48</v>
      </c>
      <c r="E395">
        <v>210.63</v>
      </c>
      <c r="F395">
        <v>533.57999999999902</v>
      </c>
      <c r="G395">
        <v>0.04</v>
      </c>
      <c r="H395" t="str">
        <f>PROPER(TRIM(sales_data!C395))</f>
        <v>Charlie</v>
      </c>
      <c r="I395" t="str">
        <f>PROPER(TRIM(sales_data!D395))</f>
        <v>North</v>
      </c>
      <c r="J395" t="str">
        <f>PROPER(TRIM(sales_data!G395))</f>
        <v>Electronics</v>
      </c>
      <c r="K395" t="str">
        <f>PROPER(TRIM(sales_data!J395))</f>
        <v>New</v>
      </c>
      <c r="L395" t="str">
        <f>PROPER(TRIM(sales_data!L395))</f>
        <v>Bank Transfer</v>
      </c>
      <c r="M395" t="str">
        <f>PROPER(TRIM(sales_data!M395))</f>
        <v>Online</v>
      </c>
      <c r="N395">
        <f t="shared" si="25"/>
        <v>322.94999999999902</v>
      </c>
      <c r="O395">
        <f t="shared" si="26"/>
        <v>15501.599999999953</v>
      </c>
      <c r="P395" t="str">
        <f t="shared" si="27"/>
        <v>Jan</v>
      </c>
    </row>
    <row r="396" spans="1:16" x14ac:dyDescent="0.25">
      <c r="A396">
        <v>1046</v>
      </c>
      <c r="B396" s="1">
        <v>44966</v>
      </c>
      <c r="C396">
        <f t="shared" si="24"/>
        <v>3342.0545999999995</v>
      </c>
      <c r="D396">
        <v>3</v>
      </c>
      <c r="E396">
        <v>1216.1600000000001</v>
      </c>
      <c r="F396">
        <v>1295.3699999999999</v>
      </c>
      <c r="G396">
        <v>0.14000000000000001</v>
      </c>
      <c r="H396" t="str">
        <f>PROPER(TRIM(sales_data!C396))</f>
        <v>Charlie</v>
      </c>
      <c r="I396" t="str">
        <f>PROPER(TRIM(sales_data!D396))</f>
        <v>East</v>
      </c>
      <c r="J396" t="str">
        <f>PROPER(TRIM(sales_data!G396))</f>
        <v>Furniture</v>
      </c>
      <c r="K396" t="str">
        <f>PROPER(TRIM(sales_data!J396))</f>
        <v>New</v>
      </c>
      <c r="L396" t="str">
        <f>PROPER(TRIM(sales_data!L396))</f>
        <v>Cash</v>
      </c>
      <c r="M396" t="str">
        <f>PROPER(TRIM(sales_data!M396))</f>
        <v>Retail</v>
      </c>
      <c r="N396">
        <f t="shared" si="25"/>
        <v>79.209999999999809</v>
      </c>
      <c r="O396">
        <f t="shared" si="26"/>
        <v>237.62999999999943</v>
      </c>
      <c r="P396" t="str">
        <f t="shared" si="27"/>
        <v>Feb</v>
      </c>
    </row>
    <row r="397" spans="1:16" x14ac:dyDescent="0.25">
      <c r="A397">
        <v>1024</v>
      </c>
      <c r="B397" s="1">
        <v>45163</v>
      </c>
      <c r="C397">
        <f t="shared" si="24"/>
        <v>64484.595000000001</v>
      </c>
      <c r="D397">
        <v>42</v>
      </c>
      <c r="E397">
        <v>1586.02</v>
      </c>
      <c r="F397">
        <v>2047.13</v>
      </c>
      <c r="G397">
        <v>0.25</v>
      </c>
      <c r="H397" t="str">
        <f>PROPER(TRIM(sales_data!C397))</f>
        <v>David</v>
      </c>
      <c r="I397" t="str">
        <f>PROPER(TRIM(sales_data!D397))</f>
        <v>South</v>
      </c>
      <c r="J397" t="str">
        <f>PROPER(TRIM(sales_data!G397))</f>
        <v>Electronics</v>
      </c>
      <c r="K397" t="str">
        <f>PROPER(TRIM(sales_data!J397))</f>
        <v>New</v>
      </c>
      <c r="L397" t="str">
        <f>PROPER(TRIM(sales_data!L397))</f>
        <v>Cash</v>
      </c>
      <c r="M397" t="str">
        <f>PROPER(TRIM(sales_data!M397))</f>
        <v>Retail</v>
      </c>
      <c r="N397">
        <f t="shared" si="25"/>
        <v>461.11000000000013</v>
      </c>
      <c r="O397">
        <f t="shared" si="26"/>
        <v>19366.620000000006</v>
      </c>
      <c r="P397" t="str">
        <f t="shared" si="27"/>
        <v>Aug</v>
      </c>
    </row>
    <row r="398" spans="1:16" x14ac:dyDescent="0.25">
      <c r="A398">
        <v>1032</v>
      </c>
      <c r="B398" s="1">
        <v>45207</v>
      </c>
      <c r="C398">
        <f t="shared" si="24"/>
        <v>16714.846500000003</v>
      </c>
      <c r="D398">
        <v>11</v>
      </c>
      <c r="E398">
        <v>2025.67</v>
      </c>
      <c r="F398">
        <v>2081.5500000000002</v>
      </c>
      <c r="G398">
        <v>0.27</v>
      </c>
      <c r="H398" t="str">
        <f>PROPER(TRIM(sales_data!C398))</f>
        <v>Eve</v>
      </c>
      <c r="I398" t="str">
        <f>PROPER(TRIM(sales_data!D398))</f>
        <v>East</v>
      </c>
      <c r="J398" t="str">
        <f>PROPER(TRIM(sales_data!G398))</f>
        <v>Food</v>
      </c>
      <c r="K398" t="str">
        <f>PROPER(TRIM(sales_data!J398))</f>
        <v>New</v>
      </c>
      <c r="L398" t="str">
        <f>PROPER(TRIM(sales_data!L398))</f>
        <v>Bank Transfer</v>
      </c>
      <c r="M398" t="str">
        <f>PROPER(TRIM(sales_data!M398))</f>
        <v>Online</v>
      </c>
      <c r="N398">
        <f t="shared" si="25"/>
        <v>55.880000000000109</v>
      </c>
      <c r="O398">
        <f t="shared" si="26"/>
        <v>614.6800000000012</v>
      </c>
      <c r="P398" t="str">
        <f t="shared" si="27"/>
        <v>Oct</v>
      </c>
    </row>
    <row r="399" spans="1:16" x14ac:dyDescent="0.25">
      <c r="A399">
        <v>1047</v>
      </c>
      <c r="B399" s="1">
        <v>45285</v>
      </c>
      <c r="C399">
        <f t="shared" si="24"/>
        <v>68326.054000000004</v>
      </c>
      <c r="D399">
        <v>43</v>
      </c>
      <c r="E399">
        <v>1249.17</v>
      </c>
      <c r="F399">
        <v>1727.15</v>
      </c>
      <c r="G399">
        <v>0.08</v>
      </c>
      <c r="H399" t="str">
        <f>PROPER(TRIM(sales_data!C399))</f>
        <v>David</v>
      </c>
      <c r="I399" t="str">
        <f>PROPER(TRIM(sales_data!D399))</f>
        <v>North</v>
      </c>
      <c r="J399" t="str">
        <f>PROPER(TRIM(sales_data!G399))</f>
        <v>Electronics</v>
      </c>
      <c r="K399" t="str">
        <f>PROPER(TRIM(sales_data!J399))</f>
        <v>New</v>
      </c>
      <c r="L399" t="str">
        <f>PROPER(TRIM(sales_data!L399))</f>
        <v>Cash</v>
      </c>
      <c r="M399" t="str">
        <f>PROPER(TRIM(sales_data!M399))</f>
        <v>Retail</v>
      </c>
      <c r="N399">
        <f t="shared" si="25"/>
        <v>477.98</v>
      </c>
      <c r="O399">
        <f t="shared" si="26"/>
        <v>20553.14</v>
      </c>
      <c r="P399" t="str">
        <f t="shared" si="27"/>
        <v>Dec</v>
      </c>
    </row>
    <row r="400" spans="1:16" x14ac:dyDescent="0.25">
      <c r="A400">
        <v>1086</v>
      </c>
      <c r="B400" s="1">
        <v>45127</v>
      </c>
      <c r="C400">
        <f t="shared" si="24"/>
        <v>18353.706599999998</v>
      </c>
      <c r="D400">
        <v>17</v>
      </c>
      <c r="E400">
        <v>1057.27</v>
      </c>
      <c r="F400">
        <v>1366.62</v>
      </c>
      <c r="G400">
        <v>0.21</v>
      </c>
      <c r="H400" t="str">
        <f>PROPER(TRIM(sales_data!C400))</f>
        <v>Bob</v>
      </c>
      <c r="I400" t="str">
        <f>PROPER(TRIM(sales_data!D400))</f>
        <v>North</v>
      </c>
      <c r="J400" t="str">
        <f>PROPER(TRIM(sales_data!G400))</f>
        <v>Food</v>
      </c>
      <c r="K400" t="str">
        <f>PROPER(TRIM(sales_data!J400))</f>
        <v>New</v>
      </c>
      <c r="L400" t="str">
        <f>PROPER(TRIM(sales_data!L400))</f>
        <v>Credit Card</v>
      </c>
      <c r="M400" t="str">
        <f>PROPER(TRIM(sales_data!M400))</f>
        <v>Retail</v>
      </c>
      <c r="N400">
        <f t="shared" si="25"/>
        <v>309.34999999999991</v>
      </c>
      <c r="O400">
        <f t="shared" si="26"/>
        <v>5258.9499999999989</v>
      </c>
      <c r="P400" t="str">
        <f t="shared" si="27"/>
        <v>Jul</v>
      </c>
    </row>
    <row r="401" spans="1:16" x14ac:dyDescent="0.25">
      <c r="A401">
        <v>1023</v>
      </c>
      <c r="B401" s="1">
        <v>45172</v>
      </c>
      <c r="C401">
        <f t="shared" si="24"/>
        <v>148546.88639999999</v>
      </c>
      <c r="D401">
        <v>32</v>
      </c>
      <c r="E401">
        <v>4775.04</v>
      </c>
      <c r="F401">
        <v>4785.66</v>
      </c>
      <c r="G401">
        <v>0.03</v>
      </c>
      <c r="H401" t="str">
        <f>PROPER(TRIM(sales_data!C401))</f>
        <v>David</v>
      </c>
      <c r="I401" t="str">
        <f>PROPER(TRIM(sales_data!D401))</f>
        <v>South</v>
      </c>
      <c r="J401" t="str">
        <f>PROPER(TRIM(sales_data!G401))</f>
        <v>Electronics</v>
      </c>
      <c r="K401" t="str">
        <f>PROPER(TRIM(sales_data!J401))</f>
        <v>New</v>
      </c>
      <c r="L401" t="str">
        <f>PROPER(TRIM(sales_data!L401))</f>
        <v>Cash</v>
      </c>
      <c r="M401" t="str">
        <f>PROPER(TRIM(sales_data!M401))</f>
        <v>Online</v>
      </c>
      <c r="N401">
        <f t="shared" si="25"/>
        <v>10.619999999999891</v>
      </c>
      <c r="O401">
        <f t="shared" si="26"/>
        <v>339.83999999999651</v>
      </c>
      <c r="P401" t="str">
        <f t="shared" si="27"/>
        <v>Sep</v>
      </c>
    </row>
    <row r="402" spans="1:16" x14ac:dyDescent="0.25">
      <c r="A402">
        <v>1066</v>
      </c>
      <c r="B402" s="1">
        <v>45204</v>
      </c>
      <c r="C402">
        <f t="shared" si="24"/>
        <v>19977.170399999999</v>
      </c>
      <c r="D402">
        <v>4</v>
      </c>
      <c r="E402">
        <v>4596.68</v>
      </c>
      <c r="F402">
        <v>5044.74</v>
      </c>
      <c r="G402">
        <v>0.01</v>
      </c>
      <c r="H402" t="str">
        <f>PROPER(TRIM(sales_data!C402))</f>
        <v>Alice</v>
      </c>
      <c r="I402" t="str">
        <f>PROPER(TRIM(sales_data!D402))</f>
        <v>South</v>
      </c>
      <c r="J402" t="str">
        <f>PROPER(TRIM(sales_data!G402))</f>
        <v>Furniture</v>
      </c>
      <c r="K402" t="str">
        <f>PROPER(TRIM(sales_data!J402))</f>
        <v>New</v>
      </c>
      <c r="L402" t="str">
        <f>PROPER(TRIM(sales_data!L402))</f>
        <v>Bank Transfer</v>
      </c>
      <c r="M402" t="str">
        <f>PROPER(TRIM(sales_data!M402))</f>
        <v>Online</v>
      </c>
      <c r="N402">
        <f t="shared" si="25"/>
        <v>448.05999999999949</v>
      </c>
      <c r="O402">
        <f t="shared" si="26"/>
        <v>1792.239999999998</v>
      </c>
      <c r="P402" t="str">
        <f t="shared" si="27"/>
        <v>Oct</v>
      </c>
    </row>
    <row r="403" spans="1:16" x14ac:dyDescent="0.25">
      <c r="A403">
        <v>1027</v>
      </c>
      <c r="B403" s="1">
        <v>45161</v>
      </c>
      <c r="C403">
        <f t="shared" si="24"/>
        <v>1820.1899999999998</v>
      </c>
      <c r="D403">
        <v>4</v>
      </c>
      <c r="E403">
        <v>282.61</v>
      </c>
      <c r="F403">
        <v>548.25</v>
      </c>
      <c r="G403">
        <v>0.17</v>
      </c>
      <c r="H403" t="str">
        <f>PROPER(TRIM(sales_data!C403))</f>
        <v>Bob</v>
      </c>
      <c r="I403" t="str">
        <f>PROPER(TRIM(sales_data!D403))</f>
        <v>East</v>
      </c>
      <c r="J403" t="str">
        <f>PROPER(TRIM(sales_data!G403))</f>
        <v>Electronics</v>
      </c>
      <c r="K403" t="str">
        <f>PROPER(TRIM(sales_data!J403))</f>
        <v>New</v>
      </c>
      <c r="L403" t="str">
        <f>PROPER(TRIM(sales_data!L403))</f>
        <v>Credit Card</v>
      </c>
      <c r="M403" t="str">
        <f>PROPER(TRIM(sales_data!M403))</f>
        <v>Online</v>
      </c>
      <c r="N403">
        <f t="shared" si="25"/>
        <v>265.64</v>
      </c>
      <c r="O403">
        <f t="shared" si="26"/>
        <v>1062.56</v>
      </c>
      <c r="P403" t="str">
        <f t="shared" si="27"/>
        <v>Aug</v>
      </c>
    </row>
    <row r="404" spans="1:16" x14ac:dyDescent="0.25">
      <c r="A404">
        <v>1002</v>
      </c>
      <c r="B404" s="1">
        <v>44930</v>
      </c>
      <c r="C404">
        <f t="shared" si="24"/>
        <v>25058.0969</v>
      </c>
      <c r="D404">
        <v>17</v>
      </c>
      <c r="E404">
        <v>1727.12</v>
      </c>
      <c r="F404">
        <v>1865.83</v>
      </c>
      <c r="G404">
        <v>0.21</v>
      </c>
      <c r="H404" t="str">
        <f>PROPER(TRIM(sales_data!C404))</f>
        <v>Bob</v>
      </c>
      <c r="I404" t="str">
        <f>PROPER(TRIM(sales_data!D404))</f>
        <v>East</v>
      </c>
      <c r="J404" t="str">
        <f>PROPER(TRIM(sales_data!G404))</f>
        <v>Furniture</v>
      </c>
      <c r="K404" t="str">
        <f>PROPER(TRIM(sales_data!J404))</f>
        <v>New</v>
      </c>
      <c r="L404" t="str">
        <f>PROPER(TRIM(sales_data!L404))</f>
        <v>Cash</v>
      </c>
      <c r="M404" t="str">
        <f>PROPER(TRIM(sales_data!M404))</f>
        <v>Online</v>
      </c>
      <c r="N404">
        <f t="shared" si="25"/>
        <v>138.71000000000004</v>
      </c>
      <c r="O404">
        <f t="shared" si="26"/>
        <v>2358.0700000000006</v>
      </c>
      <c r="P404" t="str">
        <f t="shared" si="27"/>
        <v>Jan</v>
      </c>
    </row>
    <row r="405" spans="1:16" x14ac:dyDescent="0.25">
      <c r="A405">
        <v>1090</v>
      </c>
      <c r="B405" s="1">
        <v>45080</v>
      </c>
      <c r="C405">
        <f t="shared" si="24"/>
        <v>76075.893599999996</v>
      </c>
      <c r="D405">
        <v>41</v>
      </c>
      <c r="E405">
        <v>2055.4899999999998</v>
      </c>
      <c r="F405">
        <v>2441.46</v>
      </c>
      <c r="G405">
        <v>0.24</v>
      </c>
      <c r="H405" t="str">
        <f>PROPER(TRIM(sales_data!C405))</f>
        <v>Eve</v>
      </c>
      <c r="I405" t="str">
        <f>PROPER(TRIM(sales_data!D405))</f>
        <v>North</v>
      </c>
      <c r="J405" t="str">
        <f>PROPER(TRIM(sales_data!G405))</f>
        <v>Furniture</v>
      </c>
      <c r="K405" t="str">
        <f>PROPER(TRIM(sales_data!J405))</f>
        <v>New</v>
      </c>
      <c r="L405" t="str">
        <f>PROPER(TRIM(sales_data!L405))</f>
        <v>Credit Card</v>
      </c>
      <c r="M405" t="str">
        <f>PROPER(TRIM(sales_data!M405))</f>
        <v>Online</v>
      </c>
      <c r="N405">
        <f t="shared" si="25"/>
        <v>385.97000000000025</v>
      </c>
      <c r="O405">
        <f t="shared" si="26"/>
        <v>15824.770000000011</v>
      </c>
      <c r="P405" t="str">
        <f t="shared" si="27"/>
        <v>Jun</v>
      </c>
    </row>
    <row r="406" spans="1:16" x14ac:dyDescent="0.25">
      <c r="A406">
        <v>1017</v>
      </c>
      <c r="B406" s="1">
        <v>44955</v>
      </c>
      <c r="C406">
        <f t="shared" si="24"/>
        <v>29021.94899999983</v>
      </c>
      <c r="D406">
        <v>19</v>
      </c>
      <c r="E406">
        <v>1233.1199999999999</v>
      </c>
      <c r="F406">
        <v>1697.1899999999901</v>
      </c>
      <c r="G406">
        <v>0.1</v>
      </c>
      <c r="H406" t="str">
        <f>PROPER(TRIM(sales_data!C406))</f>
        <v>Charlie</v>
      </c>
      <c r="I406" t="str">
        <f>PROPER(TRIM(sales_data!D406))</f>
        <v>South</v>
      </c>
      <c r="J406" t="str">
        <f>PROPER(TRIM(sales_data!G406))</f>
        <v>Electronics</v>
      </c>
      <c r="K406" t="str">
        <f>PROPER(TRIM(sales_data!J406))</f>
        <v>New</v>
      </c>
      <c r="L406" t="str">
        <f>PROPER(TRIM(sales_data!L406))</f>
        <v>Credit Card</v>
      </c>
      <c r="M406" t="str">
        <f>PROPER(TRIM(sales_data!M406))</f>
        <v>Online</v>
      </c>
      <c r="N406">
        <f t="shared" si="25"/>
        <v>464.06999999999016</v>
      </c>
      <c r="O406">
        <f t="shared" si="26"/>
        <v>8817.3299999998126</v>
      </c>
      <c r="P406" t="str">
        <f t="shared" si="27"/>
        <v>Jan</v>
      </c>
    </row>
    <row r="407" spans="1:16" x14ac:dyDescent="0.25">
      <c r="A407">
        <v>1033</v>
      </c>
      <c r="B407" s="1">
        <v>45035</v>
      </c>
      <c r="C407">
        <f t="shared" si="24"/>
        <v>17049.649999999998</v>
      </c>
      <c r="D407">
        <v>5</v>
      </c>
      <c r="E407">
        <v>3162.92</v>
      </c>
      <c r="F407">
        <v>3409.93</v>
      </c>
      <c r="G407">
        <v>0</v>
      </c>
      <c r="H407" t="str">
        <f>PROPER(TRIM(sales_data!C407))</f>
        <v>Bob</v>
      </c>
      <c r="I407" t="str">
        <f>PROPER(TRIM(sales_data!D407))</f>
        <v>South</v>
      </c>
      <c r="J407" t="str">
        <f>PROPER(TRIM(sales_data!G407))</f>
        <v>Furniture</v>
      </c>
      <c r="K407" t="str">
        <f>PROPER(TRIM(sales_data!J407))</f>
        <v>New</v>
      </c>
      <c r="L407" t="str">
        <f>PROPER(TRIM(sales_data!L407))</f>
        <v>Cash</v>
      </c>
      <c r="M407" t="str">
        <f>PROPER(TRIM(sales_data!M407))</f>
        <v>Online</v>
      </c>
      <c r="N407">
        <f t="shared" si="25"/>
        <v>247.00999999999976</v>
      </c>
      <c r="O407">
        <f t="shared" si="26"/>
        <v>1235.0499999999988</v>
      </c>
      <c r="P407" t="str">
        <f t="shared" si="27"/>
        <v>Apr</v>
      </c>
    </row>
    <row r="408" spans="1:16" x14ac:dyDescent="0.25">
      <c r="A408">
        <v>1009</v>
      </c>
      <c r="B408" s="1">
        <v>45024</v>
      </c>
      <c r="C408">
        <f t="shared" si="24"/>
        <v>93141.440000000002</v>
      </c>
      <c r="D408">
        <v>32</v>
      </c>
      <c r="E408">
        <v>3219.88</v>
      </c>
      <c r="F408">
        <v>3384.5</v>
      </c>
      <c r="G408">
        <v>0.14000000000000001</v>
      </c>
      <c r="H408" t="str">
        <f>PROPER(TRIM(sales_data!C408))</f>
        <v>Charlie</v>
      </c>
      <c r="I408" t="str">
        <f>PROPER(TRIM(sales_data!D408))</f>
        <v>South</v>
      </c>
      <c r="J408" t="str">
        <f>PROPER(TRIM(sales_data!G408))</f>
        <v>Clothing</v>
      </c>
      <c r="K408" t="str">
        <f>PROPER(TRIM(sales_data!J408))</f>
        <v>Returning</v>
      </c>
      <c r="L408" t="str">
        <f>PROPER(TRIM(sales_data!L408))</f>
        <v>Cash</v>
      </c>
      <c r="M408" t="str">
        <f>PROPER(TRIM(sales_data!M408))</f>
        <v>Retail</v>
      </c>
      <c r="N408">
        <f t="shared" si="25"/>
        <v>164.61999999999989</v>
      </c>
      <c r="O408">
        <f t="shared" si="26"/>
        <v>5267.8399999999965</v>
      </c>
      <c r="P408" t="str">
        <f t="shared" si="27"/>
        <v>Apr</v>
      </c>
    </row>
    <row r="409" spans="1:16" x14ac:dyDescent="0.25">
      <c r="A409">
        <v>1043</v>
      </c>
      <c r="B409" s="1">
        <v>45141</v>
      </c>
      <c r="C409">
        <f t="shared" si="24"/>
        <v>102444.76</v>
      </c>
      <c r="D409">
        <v>22</v>
      </c>
      <c r="E409">
        <v>4260</v>
      </c>
      <c r="F409">
        <v>4656.58</v>
      </c>
      <c r="G409">
        <v>0</v>
      </c>
      <c r="H409" t="str">
        <f>PROPER(TRIM(sales_data!C409))</f>
        <v>David</v>
      </c>
      <c r="I409" t="str">
        <f>PROPER(TRIM(sales_data!D409))</f>
        <v>East</v>
      </c>
      <c r="J409" t="str">
        <f>PROPER(TRIM(sales_data!G409))</f>
        <v>Electronics</v>
      </c>
      <c r="K409" t="str">
        <f>PROPER(TRIM(sales_data!J409))</f>
        <v>New</v>
      </c>
      <c r="L409" t="str">
        <f>PROPER(TRIM(sales_data!L409))</f>
        <v>Bank Transfer</v>
      </c>
      <c r="M409" t="str">
        <f>PROPER(TRIM(sales_data!M409))</f>
        <v>Online</v>
      </c>
      <c r="N409">
        <f t="shared" si="25"/>
        <v>396.57999999999993</v>
      </c>
      <c r="O409">
        <f t="shared" si="26"/>
        <v>8724.7599999999984</v>
      </c>
      <c r="P409" t="str">
        <f t="shared" si="27"/>
        <v>Aug</v>
      </c>
    </row>
    <row r="410" spans="1:16" x14ac:dyDescent="0.25">
      <c r="A410">
        <v>1048</v>
      </c>
      <c r="B410" s="1">
        <v>45219</v>
      </c>
      <c r="C410">
        <f t="shared" si="24"/>
        <v>23637.1734</v>
      </c>
      <c r="D410">
        <v>6</v>
      </c>
      <c r="E410">
        <v>3717.3</v>
      </c>
      <c r="F410">
        <v>4061.37</v>
      </c>
      <c r="G410">
        <v>0.03</v>
      </c>
      <c r="H410" t="str">
        <f>PROPER(TRIM(sales_data!C410))</f>
        <v>Alice</v>
      </c>
      <c r="I410" t="str">
        <f>PROPER(TRIM(sales_data!D410))</f>
        <v>South</v>
      </c>
      <c r="J410" t="str">
        <f>PROPER(TRIM(sales_data!G410))</f>
        <v>Electronics</v>
      </c>
      <c r="K410" t="str">
        <f>PROPER(TRIM(sales_data!J410))</f>
        <v>New</v>
      </c>
      <c r="L410" t="str">
        <f>PROPER(TRIM(sales_data!L410))</f>
        <v>Bank Transfer</v>
      </c>
      <c r="M410" t="str">
        <f>PROPER(TRIM(sales_data!M410))</f>
        <v>Retail</v>
      </c>
      <c r="N410">
        <f t="shared" si="25"/>
        <v>344.06999999999971</v>
      </c>
      <c r="O410">
        <f t="shared" si="26"/>
        <v>2064.4199999999983</v>
      </c>
      <c r="P410" t="str">
        <f t="shared" si="27"/>
        <v>Oct</v>
      </c>
    </row>
    <row r="411" spans="1:16" x14ac:dyDescent="0.25">
      <c r="A411">
        <v>1039</v>
      </c>
      <c r="B411" s="1">
        <v>45001</v>
      </c>
      <c r="C411">
        <f t="shared" si="24"/>
        <v>100208.74499999969</v>
      </c>
      <c r="D411">
        <v>35</v>
      </c>
      <c r="E411">
        <v>2735.74</v>
      </c>
      <c r="F411">
        <v>3181.22999999999</v>
      </c>
      <c r="G411">
        <v>0.1</v>
      </c>
      <c r="H411" t="str">
        <f>PROPER(TRIM(sales_data!C411))</f>
        <v>Eve</v>
      </c>
      <c r="I411" t="str">
        <f>PROPER(TRIM(sales_data!D411))</f>
        <v>North</v>
      </c>
      <c r="J411" t="str">
        <f>PROPER(TRIM(sales_data!G411))</f>
        <v>Furniture</v>
      </c>
      <c r="K411" t="str">
        <f>PROPER(TRIM(sales_data!J411))</f>
        <v>New</v>
      </c>
      <c r="L411" t="str">
        <f>PROPER(TRIM(sales_data!L411))</f>
        <v>Credit Card</v>
      </c>
      <c r="M411" t="str">
        <f>PROPER(TRIM(sales_data!M411))</f>
        <v>Retail</v>
      </c>
      <c r="N411">
        <f t="shared" si="25"/>
        <v>445.48999999999023</v>
      </c>
      <c r="O411">
        <f t="shared" si="26"/>
        <v>15592.149999999658</v>
      </c>
      <c r="P411" t="str">
        <f t="shared" si="27"/>
        <v>Mar</v>
      </c>
    </row>
    <row r="412" spans="1:16" x14ac:dyDescent="0.25">
      <c r="A412">
        <v>1093</v>
      </c>
      <c r="B412" s="1">
        <v>45252</v>
      </c>
      <c r="C412">
        <f t="shared" si="24"/>
        <v>69565.861199999999</v>
      </c>
      <c r="D412">
        <v>22</v>
      </c>
      <c r="E412">
        <v>3285.25</v>
      </c>
      <c r="F412">
        <v>3634.58</v>
      </c>
      <c r="G412">
        <v>0.13</v>
      </c>
      <c r="H412" t="str">
        <f>PROPER(TRIM(sales_data!C412))</f>
        <v>Charlie</v>
      </c>
      <c r="I412" t="str">
        <f>PROPER(TRIM(sales_data!D412))</f>
        <v>North</v>
      </c>
      <c r="J412" t="str">
        <f>PROPER(TRIM(sales_data!G412))</f>
        <v>Furniture</v>
      </c>
      <c r="K412" t="str">
        <f>PROPER(TRIM(sales_data!J412))</f>
        <v>New</v>
      </c>
      <c r="L412" t="str">
        <f>PROPER(TRIM(sales_data!L412))</f>
        <v>Bank Transfer</v>
      </c>
      <c r="M412" t="str">
        <f>PROPER(TRIM(sales_data!M412))</f>
        <v>Online</v>
      </c>
      <c r="N412">
        <f t="shared" si="25"/>
        <v>349.32999999999993</v>
      </c>
      <c r="O412">
        <f t="shared" si="26"/>
        <v>7685.2599999999984</v>
      </c>
      <c r="P412" t="str">
        <f t="shared" si="27"/>
        <v>Nov</v>
      </c>
    </row>
    <row r="413" spans="1:16" x14ac:dyDescent="0.25">
      <c r="A413">
        <v>1042</v>
      </c>
      <c r="B413" s="1">
        <v>45072</v>
      </c>
      <c r="C413">
        <f t="shared" si="24"/>
        <v>1412.7244000000001</v>
      </c>
      <c r="D413">
        <v>1</v>
      </c>
      <c r="E413">
        <v>1406.24</v>
      </c>
      <c r="F413">
        <v>1535.57</v>
      </c>
      <c r="G413">
        <v>0.08</v>
      </c>
      <c r="H413" t="str">
        <f>PROPER(TRIM(sales_data!C413))</f>
        <v>Bob</v>
      </c>
      <c r="I413" t="str">
        <f>PROPER(TRIM(sales_data!D413))</f>
        <v>East</v>
      </c>
      <c r="J413" t="str">
        <f>PROPER(TRIM(sales_data!G413))</f>
        <v>Electronics</v>
      </c>
      <c r="K413" t="str">
        <f>PROPER(TRIM(sales_data!J413))</f>
        <v>New</v>
      </c>
      <c r="L413" t="str">
        <f>PROPER(TRIM(sales_data!L413))</f>
        <v>Credit Card</v>
      </c>
      <c r="M413" t="str">
        <f>PROPER(TRIM(sales_data!M413))</f>
        <v>Retail</v>
      </c>
      <c r="N413">
        <f t="shared" si="25"/>
        <v>129.32999999999993</v>
      </c>
      <c r="O413">
        <f t="shared" si="26"/>
        <v>129.32999999999993</v>
      </c>
      <c r="P413" t="str">
        <f t="shared" si="27"/>
        <v>May</v>
      </c>
    </row>
    <row r="414" spans="1:16" x14ac:dyDescent="0.25">
      <c r="A414">
        <v>1026</v>
      </c>
      <c r="B414" s="1">
        <v>45054</v>
      </c>
      <c r="C414">
        <f t="shared" si="24"/>
        <v>57305.523999999998</v>
      </c>
      <c r="D414">
        <v>20</v>
      </c>
      <c r="E414">
        <v>2985.63</v>
      </c>
      <c r="F414">
        <v>3452.14</v>
      </c>
      <c r="G414">
        <v>0.17</v>
      </c>
      <c r="H414" t="str">
        <f>PROPER(TRIM(sales_data!C414))</f>
        <v>Charlie</v>
      </c>
      <c r="I414" t="str">
        <f>PROPER(TRIM(sales_data!D414))</f>
        <v>West</v>
      </c>
      <c r="J414" t="str">
        <f>PROPER(TRIM(sales_data!G414))</f>
        <v>Clothing</v>
      </c>
      <c r="K414" t="str">
        <f>PROPER(TRIM(sales_data!J414))</f>
        <v>New</v>
      </c>
      <c r="L414" t="str">
        <f>PROPER(TRIM(sales_data!L414))</f>
        <v>Credit Card</v>
      </c>
      <c r="M414" t="str">
        <f>PROPER(TRIM(sales_data!M414))</f>
        <v>Retail</v>
      </c>
      <c r="N414">
        <f t="shared" si="25"/>
        <v>466.50999999999976</v>
      </c>
      <c r="O414">
        <f t="shared" si="26"/>
        <v>9330.1999999999953</v>
      </c>
      <c r="P414" t="str">
        <f t="shared" si="27"/>
        <v>May</v>
      </c>
    </row>
    <row r="415" spans="1:16" x14ac:dyDescent="0.25">
      <c r="A415">
        <v>1099</v>
      </c>
      <c r="B415" s="1">
        <v>45267</v>
      </c>
      <c r="C415">
        <f t="shared" si="24"/>
        <v>54612.342399999994</v>
      </c>
      <c r="D415">
        <v>22</v>
      </c>
      <c r="E415">
        <v>2471.67</v>
      </c>
      <c r="F415">
        <v>2533.04</v>
      </c>
      <c r="G415">
        <v>0.02</v>
      </c>
      <c r="H415" t="str">
        <f>PROPER(TRIM(sales_data!C415))</f>
        <v>Bob</v>
      </c>
      <c r="I415" t="str">
        <f>PROPER(TRIM(sales_data!D415))</f>
        <v>East</v>
      </c>
      <c r="J415" t="str">
        <f>PROPER(TRIM(sales_data!G415))</f>
        <v>Furniture</v>
      </c>
      <c r="K415" t="str">
        <f>PROPER(TRIM(sales_data!J415))</f>
        <v>Returning</v>
      </c>
      <c r="L415" t="str">
        <f>PROPER(TRIM(sales_data!L415))</f>
        <v>Bank Transfer</v>
      </c>
      <c r="M415" t="str">
        <f>PROPER(TRIM(sales_data!M415))</f>
        <v>Retail</v>
      </c>
      <c r="N415">
        <f t="shared" si="25"/>
        <v>61.369999999999891</v>
      </c>
      <c r="O415">
        <f t="shared" si="26"/>
        <v>1350.1399999999976</v>
      </c>
      <c r="P415" t="str">
        <f t="shared" si="27"/>
        <v>Dec</v>
      </c>
    </row>
    <row r="416" spans="1:16" x14ac:dyDescent="0.25">
      <c r="A416">
        <v>1050</v>
      </c>
      <c r="B416" s="1">
        <v>44968</v>
      </c>
      <c r="C416">
        <f t="shared" si="24"/>
        <v>39230.207999999955</v>
      </c>
      <c r="D416">
        <v>48</v>
      </c>
      <c r="E416">
        <v>710.06</v>
      </c>
      <c r="F416">
        <v>851.349999999999</v>
      </c>
      <c r="G416">
        <v>0.04</v>
      </c>
      <c r="H416" t="str">
        <f>PROPER(TRIM(sales_data!C416))</f>
        <v>Charlie</v>
      </c>
      <c r="I416" t="str">
        <f>PROPER(TRIM(sales_data!D416))</f>
        <v>West</v>
      </c>
      <c r="J416" t="str">
        <f>PROPER(TRIM(sales_data!G416))</f>
        <v>Furniture</v>
      </c>
      <c r="K416" t="str">
        <f>PROPER(TRIM(sales_data!J416))</f>
        <v>Returning</v>
      </c>
      <c r="L416" t="str">
        <f>PROPER(TRIM(sales_data!L416))</f>
        <v>Bank Transfer</v>
      </c>
      <c r="M416" t="str">
        <f>PROPER(TRIM(sales_data!M416))</f>
        <v>Online</v>
      </c>
      <c r="N416">
        <f t="shared" si="25"/>
        <v>141.28999999999905</v>
      </c>
      <c r="O416">
        <f t="shared" si="26"/>
        <v>6781.9199999999546</v>
      </c>
      <c r="P416" t="str">
        <f t="shared" si="27"/>
        <v>Feb</v>
      </c>
    </row>
    <row r="417" spans="1:16" x14ac:dyDescent="0.25">
      <c r="A417">
        <v>1025</v>
      </c>
      <c r="B417" s="1">
        <v>45282</v>
      </c>
      <c r="C417">
        <f t="shared" si="24"/>
        <v>13169.608099999914</v>
      </c>
      <c r="D417">
        <v>11</v>
      </c>
      <c r="E417">
        <v>1250.5899999999999</v>
      </c>
      <c r="F417">
        <v>1515.48999999999</v>
      </c>
      <c r="G417">
        <v>0.21</v>
      </c>
      <c r="H417" t="str">
        <f>PROPER(TRIM(sales_data!C417))</f>
        <v>Bob</v>
      </c>
      <c r="I417" t="str">
        <f>PROPER(TRIM(sales_data!D417))</f>
        <v>South</v>
      </c>
      <c r="J417" t="str">
        <f>PROPER(TRIM(sales_data!G417))</f>
        <v>Food</v>
      </c>
      <c r="K417" t="str">
        <f>PROPER(TRIM(sales_data!J417))</f>
        <v>Returning</v>
      </c>
      <c r="L417" t="str">
        <f>PROPER(TRIM(sales_data!L417))</f>
        <v>Bank Transfer</v>
      </c>
      <c r="M417" t="str">
        <f>PROPER(TRIM(sales_data!M417))</f>
        <v>Retail</v>
      </c>
      <c r="N417">
        <f t="shared" si="25"/>
        <v>264.89999999999009</v>
      </c>
      <c r="O417">
        <f t="shared" si="26"/>
        <v>2913.899999999891</v>
      </c>
      <c r="P417" t="str">
        <f t="shared" si="27"/>
        <v>Dec</v>
      </c>
    </row>
    <row r="418" spans="1:16" x14ac:dyDescent="0.25">
      <c r="A418">
        <v>1024</v>
      </c>
      <c r="B418" s="1">
        <v>44967</v>
      </c>
      <c r="C418">
        <f t="shared" si="24"/>
        <v>22228.003199999999</v>
      </c>
      <c r="D418">
        <v>13</v>
      </c>
      <c r="E418">
        <v>1493.88</v>
      </c>
      <c r="F418">
        <v>1781.09</v>
      </c>
      <c r="G418">
        <v>0.04</v>
      </c>
      <c r="H418" t="str">
        <f>PROPER(TRIM(sales_data!C418))</f>
        <v>David</v>
      </c>
      <c r="I418" t="str">
        <f>PROPER(TRIM(sales_data!D418))</f>
        <v>East</v>
      </c>
      <c r="J418" t="str">
        <f>PROPER(TRIM(sales_data!G418))</f>
        <v>Clothing</v>
      </c>
      <c r="K418" t="str">
        <f>PROPER(TRIM(sales_data!J418))</f>
        <v>New</v>
      </c>
      <c r="L418" t="str">
        <f>PROPER(TRIM(sales_data!L418))</f>
        <v>Cash</v>
      </c>
      <c r="M418" t="str">
        <f>PROPER(TRIM(sales_data!M418))</f>
        <v>Retail</v>
      </c>
      <c r="N418">
        <f t="shared" si="25"/>
        <v>287.20999999999981</v>
      </c>
      <c r="O418">
        <f t="shared" si="26"/>
        <v>3733.7299999999977</v>
      </c>
      <c r="P418" t="str">
        <f t="shared" si="27"/>
        <v>Feb</v>
      </c>
    </row>
    <row r="419" spans="1:16" x14ac:dyDescent="0.25">
      <c r="A419">
        <v>1013</v>
      </c>
      <c r="B419" s="1">
        <v>44960</v>
      </c>
      <c r="C419">
        <f t="shared" si="24"/>
        <v>157949.0766</v>
      </c>
      <c r="D419">
        <v>42</v>
      </c>
      <c r="E419">
        <v>4625.33</v>
      </c>
      <c r="F419">
        <v>4642.83</v>
      </c>
      <c r="G419">
        <v>0.19</v>
      </c>
      <c r="H419" t="str">
        <f>PROPER(TRIM(sales_data!C419))</f>
        <v>Bob</v>
      </c>
      <c r="I419" t="str">
        <f>PROPER(TRIM(sales_data!D419))</f>
        <v>North</v>
      </c>
      <c r="J419" t="str">
        <f>PROPER(TRIM(sales_data!G419))</f>
        <v>Clothing</v>
      </c>
      <c r="K419" t="str">
        <f>PROPER(TRIM(sales_data!J419))</f>
        <v>New</v>
      </c>
      <c r="L419" t="str">
        <f>PROPER(TRIM(sales_data!L419))</f>
        <v>Credit Card</v>
      </c>
      <c r="M419" t="str">
        <f>PROPER(TRIM(sales_data!M419))</f>
        <v>Online</v>
      </c>
      <c r="N419">
        <f t="shared" si="25"/>
        <v>17.5</v>
      </c>
      <c r="O419">
        <f t="shared" si="26"/>
        <v>735</v>
      </c>
      <c r="P419" t="str">
        <f t="shared" si="27"/>
        <v>Feb</v>
      </c>
    </row>
    <row r="420" spans="1:16" x14ac:dyDescent="0.25">
      <c r="A420">
        <v>1060</v>
      </c>
      <c r="B420" s="1">
        <v>44943</v>
      </c>
      <c r="C420">
        <f t="shared" si="24"/>
        <v>4653.6966000000002</v>
      </c>
      <c r="D420">
        <v>3</v>
      </c>
      <c r="E420">
        <v>1190.4100000000001</v>
      </c>
      <c r="F420">
        <v>1582.89</v>
      </c>
      <c r="G420">
        <v>0.02</v>
      </c>
      <c r="H420" t="str">
        <f>PROPER(TRIM(sales_data!C420))</f>
        <v>Bob</v>
      </c>
      <c r="I420" t="str">
        <f>PROPER(TRIM(sales_data!D420))</f>
        <v>South</v>
      </c>
      <c r="J420" t="str">
        <f>PROPER(TRIM(sales_data!G420))</f>
        <v>Electronics</v>
      </c>
      <c r="K420" t="str">
        <f>PROPER(TRIM(sales_data!J420))</f>
        <v>New</v>
      </c>
      <c r="L420" t="str">
        <f>PROPER(TRIM(sales_data!L420))</f>
        <v>Credit Card</v>
      </c>
      <c r="M420" t="str">
        <f>PROPER(TRIM(sales_data!M420))</f>
        <v>Retail</v>
      </c>
      <c r="N420">
        <f t="shared" si="25"/>
        <v>392.48</v>
      </c>
      <c r="O420">
        <f t="shared" si="26"/>
        <v>1177.44</v>
      </c>
      <c r="P420" t="str">
        <f t="shared" si="27"/>
        <v>Jan</v>
      </c>
    </row>
    <row r="421" spans="1:16" x14ac:dyDescent="0.25">
      <c r="A421">
        <v>1007</v>
      </c>
      <c r="B421" s="1">
        <v>45091</v>
      </c>
      <c r="C421">
        <f t="shared" si="24"/>
        <v>13218.084000000001</v>
      </c>
      <c r="D421">
        <v>9</v>
      </c>
      <c r="E421">
        <v>1481.76</v>
      </c>
      <c r="F421">
        <v>1668.95</v>
      </c>
      <c r="G421">
        <v>0.12</v>
      </c>
      <c r="H421" t="str">
        <f>PROPER(TRIM(sales_data!C421))</f>
        <v>Alice</v>
      </c>
      <c r="I421" t="str">
        <f>PROPER(TRIM(sales_data!D421))</f>
        <v>North</v>
      </c>
      <c r="J421" t="str">
        <f>PROPER(TRIM(sales_data!G421))</f>
        <v>Clothing</v>
      </c>
      <c r="K421" t="str">
        <f>PROPER(TRIM(sales_data!J421))</f>
        <v>Returning</v>
      </c>
      <c r="L421" t="str">
        <f>PROPER(TRIM(sales_data!L421))</f>
        <v>Credit Card</v>
      </c>
      <c r="M421" t="str">
        <f>PROPER(TRIM(sales_data!M421))</f>
        <v>Retail</v>
      </c>
      <c r="N421">
        <f t="shared" si="25"/>
        <v>187.19000000000005</v>
      </c>
      <c r="O421">
        <f t="shared" si="26"/>
        <v>1684.7100000000005</v>
      </c>
      <c r="P421" t="str">
        <f t="shared" si="27"/>
        <v>Jun</v>
      </c>
    </row>
    <row r="422" spans="1:16" x14ac:dyDescent="0.25">
      <c r="A422">
        <v>1057</v>
      </c>
      <c r="B422" s="1">
        <v>45079</v>
      </c>
      <c r="C422">
        <f t="shared" si="24"/>
        <v>23796.929999999997</v>
      </c>
      <c r="D422">
        <v>12</v>
      </c>
      <c r="E422">
        <v>1878.3</v>
      </c>
      <c r="F422">
        <v>2087.4499999999998</v>
      </c>
      <c r="G422">
        <v>0.05</v>
      </c>
      <c r="H422" t="str">
        <f>PROPER(TRIM(sales_data!C422))</f>
        <v>Bob</v>
      </c>
      <c r="I422" t="str">
        <f>PROPER(TRIM(sales_data!D422))</f>
        <v>South</v>
      </c>
      <c r="J422" t="str">
        <f>PROPER(TRIM(sales_data!G422))</f>
        <v>Electronics</v>
      </c>
      <c r="K422" t="str">
        <f>PROPER(TRIM(sales_data!J422))</f>
        <v>New</v>
      </c>
      <c r="L422" t="str">
        <f>PROPER(TRIM(sales_data!L422))</f>
        <v>Bank Transfer</v>
      </c>
      <c r="M422" t="str">
        <f>PROPER(TRIM(sales_data!M422))</f>
        <v>Retail</v>
      </c>
      <c r="N422">
        <f t="shared" si="25"/>
        <v>209.14999999999986</v>
      </c>
      <c r="O422">
        <f t="shared" si="26"/>
        <v>2509.7999999999984</v>
      </c>
      <c r="P422" t="str">
        <f t="shared" si="27"/>
        <v>Jun</v>
      </c>
    </row>
    <row r="423" spans="1:16" x14ac:dyDescent="0.25">
      <c r="A423">
        <v>1036</v>
      </c>
      <c r="B423" s="1">
        <v>45002</v>
      </c>
      <c r="C423">
        <f t="shared" si="24"/>
        <v>83486.697199999995</v>
      </c>
      <c r="D423">
        <v>23</v>
      </c>
      <c r="E423">
        <v>3335.53</v>
      </c>
      <c r="F423">
        <v>3742.12</v>
      </c>
      <c r="G423">
        <v>0.03</v>
      </c>
      <c r="H423" t="str">
        <f>PROPER(TRIM(sales_data!C423))</f>
        <v>Alice</v>
      </c>
      <c r="I423" t="str">
        <f>PROPER(TRIM(sales_data!D423))</f>
        <v>East</v>
      </c>
      <c r="J423" t="str">
        <f>PROPER(TRIM(sales_data!G423))</f>
        <v>Food</v>
      </c>
      <c r="K423" t="str">
        <f>PROPER(TRIM(sales_data!J423))</f>
        <v>New</v>
      </c>
      <c r="L423" t="str">
        <f>PROPER(TRIM(sales_data!L423))</f>
        <v>Bank Transfer</v>
      </c>
      <c r="M423" t="str">
        <f>PROPER(TRIM(sales_data!M423))</f>
        <v>Retail</v>
      </c>
      <c r="N423">
        <f t="shared" si="25"/>
        <v>406.58999999999969</v>
      </c>
      <c r="O423">
        <f t="shared" si="26"/>
        <v>9351.5699999999924</v>
      </c>
      <c r="P423" t="str">
        <f t="shared" si="27"/>
        <v>Mar</v>
      </c>
    </row>
    <row r="424" spans="1:16" x14ac:dyDescent="0.25">
      <c r="A424">
        <v>1045</v>
      </c>
      <c r="B424" s="1">
        <v>45013</v>
      </c>
      <c r="C424">
        <f t="shared" si="24"/>
        <v>9657.730599999999</v>
      </c>
      <c r="D424">
        <v>14</v>
      </c>
      <c r="E424">
        <v>635.28</v>
      </c>
      <c r="F424">
        <v>831.13</v>
      </c>
      <c r="G424">
        <v>0.17</v>
      </c>
      <c r="H424" t="str">
        <f>PROPER(TRIM(sales_data!C424))</f>
        <v>Eve</v>
      </c>
      <c r="I424" t="str">
        <f>PROPER(TRIM(sales_data!D424))</f>
        <v>West</v>
      </c>
      <c r="J424" t="str">
        <f>PROPER(TRIM(sales_data!G424))</f>
        <v>Clothing</v>
      </c>
      <c r="K424" t="str">
        <f>PROPER(TRIM(sales_data!J424))</f>
        <v>Returning</v>
      </c>
      <c r="L424" t="str">
        <f>PROPER(TRIM(sales_data!L424))</f>
        <v>Bank Transfer</v>
      </c>
      <c r="M424" t="str">
        <f>PROPER(TRIM(sales_data!M424))</f>
        <v>Retail</v>
      </c>
      <c r="N424">
        <f t="shared" si="25"/>
        <v>195.85000000000002</v>
      </c>
      <c r="O424">
        <f t="shared" si="26"/>
        <v>2741.9000000000005</v>
      </c>
      <c r="P424" t="str">
        <f t="shared" si="27"/>
        <v>Mar</v>
      </c>
    </row>
    <row r="425" spans="1:16" x14ac:dyDescent="0.25">
      <c r="A425">
        <v>1020</v>
      </c>
      <c r="B425" s="1">
        <v>45043</v>
      </c>
      <c r="C425">
        <f t="shared" si="24"/>
        <v>114170.8392</v>
      </c>
      <c r="D425">
        <v>33</v>
      </c>
      <c r="E425">
        <v>4772.03</v>
      </c>
      <c r="F425">
        <v>4805.17</v>
      </c>
      <c r="G425">
        <v>0.28000000000000003</v>
      </c>
      <c r="H425" t="str">
        <f>PROPER(TRIM(sales_data!C425))</f>
        <v>Alice</v>
      </c>
      <c r="I425" t="str">
        <f>PROPER(TRIM(sales_data!D425))</f>
        <v>South</v>
      </c>
      <c r="J425" t="str">
        <f>PROPER(TRIM(sales_data!G425))</f>
        <v>Furniture</v>
      </c>
      <c r="K425" t="str">
        <f>PROPER(TRIM(sales_data!J425))</f>
        <v>Returning</v>
      </c>
      <c r="L425" t="str">
        <f>PROPER(TRIM(sales_data!L425))</f>
        <v>Bank Transfer</v>
      </c>
      <c r="M425" t="str">
        <f>PROPER(TRIM(sales_data!M425))</f>
        <v>Online</v>
      </c>
      <c r="N425">
        <f t="shared" si="25"/>
        <v>33.140000000000327</v>
      </c>
      <c r="O425">
        <f t="shared" si="26"/>
        <v>1093.6200000000108</v>
      </c>
      <c r="P425" t="str">
        <f t="shared" si="27"/>
        <v>Apr</v>
      </c>
    </row>
    <row r="426" spans="1:16" x14ac:dyDescent="0.25">
      <c r="A426">
        <v>1065</v>
      </c>
      <c r="B426" s="1">
        <v>45288</v>
      </c>
      <c r="C426">
        <f t="shared" si="24"/>
        <v>78163.545599999998</v>
      </c>
      <c r="D426">
        <v>18</v>
      </c>
      <c r="E426">
        <v>4334.58</v>
      </c>
      <c r="F426">
        <v>4431.04</v>
      </c>
      <c r="G426">
        <v>0.02</v>
      </c>
      <c r="H426" t="str">
        <f>PROPER(TRIM(sales_data!C426))</f>
        <v>David</v>
      </c>
      <c r="I426" t="str">
        <f>PROPER(TRIM(sales_data!D426))</f>
        <v>West</v>
      </c>
      <c r="J426" t="str">
        <f>PROPER(TRIM(sales_data!G426))</f>
        <v>Food</v>
      </c>
      <c r="K426" t="str">
        <f>PROPER(TRIM(sales_data!J426))</f>
        <v>New</v>
      </c>
      <c r="L426" t="str">
        <f>PROPER(TRIM(sales_data!L426))</f>
        <v>Bank Transfer</v>
      </c>
      <c r="M426" t="str">
        <f>PROPER(TRIM(sales_data!M426))</f>
        <v>Retail</v>
      </c>
      <c r="N426">
        <f t="shared" si="25"/>
        <v>96.460000000000036</v>
      </c>
      <c r="O426">
        <f t="shared" si="26"/>
        <v>1736.2800000000007</v>
      </c>
      <c r="P426" t="str">
        <f t="shared" si="27"/>
        <v>Dec</v>
      </c>
    </row>
    <row r="427" spans="1:16" x14ac:dyDescent="0.25">
      <c r="A427">
        <v>1008</v>
      </c>
      <c r="B427" s="1">
        <v>45268</v>
      </c>
      <c r="C427">
        <f t="shared" si="24"/>
        <v>144328.55429999958</v>
      </c>
      <c r="D427">
        <v>49</v>
      </c>
      <c r="E427">
        <v>2907.22</v>
      </c>
      <c r="F427">
        <v>3385.6099999999901</v>
      </c>
      <c r="G427">
        <v>0.13</v>
      </c>
      <c r="H427" t="str">
        <f>PROPER(TRIM(sales_data!C427))</f>
        <v>Alice</v>
      </c>
      <c r="I427" t="str">
        <f>PROPER(TRIM(sales_data!D427))</f>
        <v>South</v>
      </c>
      <c r="J427" t="str">
        <f>PROPER(TRIM(sales_data!G427))</f>
        <v>Electronics</v>
      </c>
      <c r="K427" t="str">
        <f>PROPER(TRIM(sales_data!J427))</f>
        <v>New</v>
      </c>
      <c r="L427" t="str">
        <f>PROPER(TRIM(sales_data!L427))</f>
        <v>Cash</v>
      </c>
      <c r="M427" t="str">
        <f>PROPER(TRIM(sales_data!M427))</f>
        <v>Online</v>
      </c>
      <c r="N427">
        <f t="shared" si="25"/>
        <v>478.38999999999032</v>
      </c>
      <c r="O427">
        <f t="shared" si="26"/>
        <v>23441.109999999528</v>
      </c>
      <c r="P427" t="str">
        <f t="shared" si="27"/>
        <v>Dec</v>
      </c>
    </row>
    <row r="428" spans="1:16" x14ac:dyDescent="0.25">
      <c r="A428">
        <v>1016</v>
      </c>
      <c r="B428" s="1">
        <v>44953</v>
      </c>
      <c r="C428">
        <f t="shared" si="24"/>
        <v>111129.76610000001</v>
      </c>
      <c r="D428">
        <v>41</v>
      </c>
      <c r="E428">
        <v>3386.49</v>
      </c>
      <c r="F428">
        <v>3430.99</v>
      </c>
      <c r="G428">
        <v>0.21</v>
      </c>
      <c r="H428" t="str">
        <f>PROPER(TRIM(sales_data!C428))</f>
        <v>Eve</v>
      </c>
      <c r="I428" t="str">
        <f>PROPER(TRIM(sales_data!D428))</f>
        <v>North</v>
      </c>
      <c r="J428" t="str">
        <f>PROPER(TRIM(sales_data!G428))</f>
        <v>Food</v>
      </c>
      <c r="K428" t="str">
        <f>PROPER(TRIM(sales_data!J428))</f>
        <v>New</v>
      </c>
      <c r="L428" t="str">
        <f>PROPER(TRIM(sales_data!L428))</f>
        <v>Bank Transfer</v>
      </c>
      <c r="M428" t="str">
        <f>PROPER(TRIM(sales_data!M428))</f>
        <v>Retail</v>
      </c>
      <c r="N428">
        <f t="shared" si="25"/>
        <v>44.5</v>
      </c>
      <c r="O428">
        <f t="shared" si="26"/>
        <v>1824.5</v>
      </c>
      <c r="P428" t="str">
        <f t="shared" si="27"/>
        <v>Jan</v>
      </c>
    </row>
    <row r="429" spans="1:16" x14ac:dyDescent="0.25">
      <c r="A429">
        <v>1014</v>
      </c>
      <c r="B429" s="1">
        <v>45239</v>
      </c>
      <c r="C429">
        <f t="shared" si="24"/>
        <v>2448.8585999999996</v>
      </c>
      <c r="D429">
        <v>9</v>
      </c>
      <c r="E429">
        <v>132.47</v>
      </c>
      <c r="F429">
        <v>316.39</v>
      </c>
      <c r="G429">
        <v>0.14000000000000001</v>
      </c>
      <c r="H429" t="str">
        <f>PROPER(TRIM(sales_data!C429))</f>
        <v>David</v>
      </c>
      <c r="I429" t="str">
        <f>PROPER(TRIM(sales_data!D429))</f>
        <v>North</v>
      </c>
      <c r="J429" t="str">
        <f>PROPER(TRIM(sales_data!G429))</f>
        <v>Electronics</v>
      </c>
      <c r="K429" t="str">
        <f>PROPER(TRIM(sales_data!J429))</f>
        <v>New</v>
      </c>
      <c r="L429" t="str">
        <f>PROPER(TRIM(sales_data!L429))</f>
        <v>Credit Card</v>
      </c>
      <c r="M429" t="str">
        <f>PROPER(TRIM(sales_data!M429))</f>
        <v>Online</v>
      </c>
      <c r="N429">
        <f t="shared" si="25"/>
        <v>183.92</v>
      </c>
      <c r="O429">
        <f t="shared" si="26"/>
        <v>1655.28</v>
      </c>
      <c r="P429" t="str">
        <f t="shared" si="27"/>
        <v>Nov</v>
      </c>
    </row>
    <row r="430" spans="1:16" x14ac:dyDescent="0.25">
      <c r="A430">
        <v>1076</v>
      </c>
      <c r="B430" s="1">
        <v>45213</v>
      </c>
      <c r="C430">
        <f t="shared" si="24"/>
        <v>34686.263200000001</v>
      </c>
      <c r="D430">
        <v>23</v>
      </c>
      <c r="E430">
        <v>1727.78</v>
      </c>
      <c r="F430">
        <v>1984.34</v>
      </c>
      <c r="G430">
        <v>0.24</v>
      </c>
      <c r="H430" t="str">
        <f>PROPER(TRIM(sales_data!C430))</f>
        <v>Charlie</v>
      </c>
      <c r="I430" t="str">
        <f>PROPER(TRIM(sales_data!D430))</f>
        <v>South</v>
      </c>
      <c r="J430" t="str">
        <f>PROPER(TRIM(sales_data!G430))</f>
        <v>Food</v>
      </c>
      <c r="K430" t="str">
        <f>PROPER(TRIM(sales_data!J430))</f>
        <v>Returning</v>
      </c>
      <c r="L430" t="str">
        <f>PROPER(TRIM(sales_data!L430))</f>
        <v>Bank Transfer</v>
      </c>
      <c r="M430" t="str">
        <f>PROPER(TRIM(sales_data!M430))</f>
        <v>Online</v>
      </c>
      <c r="N430">
        <f t="shared" si="25"/>
        <v>256.55999999999995</v>
      </c>
      <c r="O430">
        <f t="shared" si="26"/>
        <v>5900.8799999999992</v>
      </c>
      <c r="P430" t="str">
        <f t="shared" si="27"/>
        <v>Oct</v>
      </c>
    </row>
    <row r="431" spans="1:16" x14ac:dyDescent="0.25">
      <c r="A431">
        <v>1087</v>
      </c>
      <c r="B431" s="1">
        <v>45060</v>
      </c>
      <c r="C431">
        <f t="shared" si="24"/>
        <v>40282.18499999999</v>
      </c>
      <c r="D431">
        <v>10</v>
      </c>
      <c r="E431">
        <v>3988.52</v>
      </c>
      <c r="F431">
        <v>4240.2299999999996</v>
      </c>
      <c r="G431">
        <v>0.05</v>
      </c>
      <c r="H431" t="str">
        <f>PROPER(TRIM(sales_data!C431))</f>
        <v>Charlie</v>
      </c>
      <c r="I431" t="str">
        <f>PROPER(TRIM(sales_data!D431))</f>
        <v>West</v>
      </c>
      <c r="J431" t="str">
        <f>PROPER(TRIM(sales_data!G431))</f>
        <v>Electronics</v>
      </c>
      <c r="K431" t="str">
        <f>PROPER(TRIM(sales_data!J431))</f>
        <v>New</v>
      </c>
      <c r="L431" t="str">
        <f>PROPER(TRIM(sales_data!L431))</f>
        <v>Credit Card</v>
      </c>
      <c r="M431" t="str">
        <f>PROPER(TRIM(sales_data!M431))</f>
        <v>Online</v>
      </c>
      <c r="N431">
        <f t="shared" si="25"/>
        <v>251.70999999999958</v>
      </c>
      <c r="O431">
        <f t="shared" si="26"/>
        <v>2517.0999999999958</v>
      </c>
      <c r="P431" t="str">
        <f t="shared" si="27"/>
        <v>May</v>
      </c>
    </row>
    <row r="432" spans="1:16" x14ac:dyDescent="0.25">
      <c r="A432">
        <v>1015</v>
      </c>
      <c r="B432" s="1">
        <v>45145</v>
      </c>
      <c r="C432">
        <f t="shared" si="24"/>
        <v>6009.5252</v>
      </c>
      <c r="D432">
        <v>19</v>
      </c>
      <c r="E432">
        <v>433.54</v>
      </c>
      <c r="F432">
        <v>445.48</v>
      </c>
      <c r="G432">
        <v>0.28999999999999998</v>
      </c>
      <c r="H432" t="str">
        <f>PROPER(TRIM(sales_data!C432))</f>
        <v>Alice</v>
      </c>
      <c r="I432" t="str">
        <f>PROPER(TRIM(sales_data!D432))</f>
        <v>East</v>
      </c>
      <c r="J432" t="str">
        <f>PROPER(TRIM(sales_data!G432))</f>
        <v>Clothing</v>
      </c>
      <c r="K432" t="str">
        <f>PROPER(TRIM(sales_data!J432))</f>
        <v>New</v>
      </c>
      <c r="L432" t="str">
        <f>PROPER(TRIM(sales_data!L432))</f>
        <v>Bank Transfer</v>
      </c>
      <c r="M432" t="str">
        <f>PROPER(TRIM(sales_data!M432))</f>
        <v>Retail</v>
      </c>
      <c r="N432">
        <f t="shared" si="25"/>
        <v>11.939999999999998</v>
      </c>
      <c r="O432">
        <f t="shared" si="26"/>
        <v>226.85999999999996</v>
      </c>
      <c r="P432" t="str">
        <f t="shared" si="27"/>
        <v>Aug</v>
      </c>
    </row>
    <row r="433" spans="1:16" x14ac:dyDescent="0.25">
      <c r="A433">
        <v>1092</v>
      </c>
      <c r="B433" s="1">
        <v>45094</v>
      </c>
      <c r="C433">
        <f t="shared" si="24"/>
        <v>70436.907200000001</v>
      </c>
      <c r="D433">
        <v>47</v>
      </c>
      <c r="E433">
        <v>1447.45</v>
      </c>
      <c r="F433">
        <v>1703.02</v>
      </c>
      <c r="G433">
        <v>0.12</v>
      </c>
      <c r="H433" t="str">
        <f>PROPER(TRIM(sales_data!C433))</f>
        <v>Alice</v>
      </c>
      <c r="I433" t="str">
        <f>PROPER(TRIM(sales_data!D433))</f>
        <v>East</v>
      </c>
      <c r="J433" t="str">
        <f>PROPER(TRIM(sales_data!G433))</f>
        <v>Furniture</v>
      </c>
      <c r="K433" t="str">
        <f>PROPER(TRIM(sales_data!J433))</f>
        <v>Returning</v>
      </c>
      <c r="L433" t="str">
        <f>PROPER(TRIM(sales_data!L433))</f>
        <v>Bank Transfer</v>
      </c>
      <c r="M433" t="str">
        <f>PROPER(TRIM(sales_data!M433))</f>
        <v>Retail</v>
      </c>
      <c r="N433">
        <f t="shared" si="25"/>
        <v>255.56999999999994</v>
      </c>
      <c r="O433">
        <f t="shared" si="26"/>
        <v>12011.789999999997</v>
      </c>
      <c r="P433" t="str">
        <f t="shared" si="27"/>
        <v>Jun</v>
      </c>
    </row>
    <row r="434" spans="1:16" x14ac:dyDescent="0.25">
      <c r="A434">
        <v>1098</v>
      </c>
      <c r="B434" s="1">
        <v>45024</v>
      </c>
      <c r="C434">
        <f t="shared" si="24"/>
        <v>14153.715</v>
      </c>
      <c r="D434">
        <v>5</v>
      </c>
      <c r="E434">
        <v>2947.22</v>
      </c>
      <c r="F434">
        <v>3145.27</v>
      </c>
      <c r="G434">
        <v>0.1</v>
      </c>
      <c r="H434" t="str">
        <f>PROPER(TRIM(sales_data!C434))</f>
        <v>Eve</v>
      </c>
      <c r="I434" t="str">
        <f>PROPER(TRIM(sales_data!D434))</f>
        <v>North</v>
      </c>
      <c r="J434" t="str">
        <f>PROPER(TRIM(sales_data!G434))</f>
        <v>Electronics</v>
      </c>
      <c r="K434" t="str">
        <f>PROPER(TRIM(sales_data!J434))</f>
        <v>New</v>
      </c>
      <c r="L434" t="str">
        <f>PROPER(TRIM(sales_data!L434))</f>
        <v>Credit Card</v>
      </c>
      <c r="M434" t="str">
        <f>PROPER(TRIM(sales_data!M434))</f>
        <v>Retail</v>
      </c>
      <c r="N434">
        <f t="shared" si="25"/>
        <v>198.05000000000018</v>
      </c>
      <c r="O434">
        <f t="shared" si="26"/>
        <v>990.25000000000091</v>
      </c>
      <c r="P434" t="str">
        <f t="shared" si="27"/>
        <v>Apr</v>
      </c>
    </row>
    <row r="435" spans="1:16" x14ac:dyDescent="0.25">
      <c r="A435">
        <v>1066</v>
      </c>
      <c r="B435" s="1">
        <v>45194</v>
      </c>
      <c r="C435">
        <f t="shared" si="24"/>
        <v>62797.376799999991</v>
      </c>
      <c r="D435">
        <v>47</v>
      </c>
      <c r="E435">
        <v>1319.24</v>
      </c>
      <c r="F435">
        <v>1805.56</v>
      </c>
      <c r="G435">
        <v>0.26</v>
      </c>
      <c r="H435" t="str">
        <f>PROPER(TRIM(sales_data!C435))</f>
        <v>Eve</v>
      </c>
      <c r="I435" t="str">
        <f>PROPER(TRIM(sales_data!D435))</f>
        <v>East</v>
      </c>
      <c r="J435" t="str">
        <f>PROPER(TRIM(sales_data!G435))</f>
        <v>Food</v>
      </c>
      <c r="K435" t="str">
        <f>PROPER(TRIM(sales_data!J435))</f>
        <v>New</v>
      </c>
      <c r="L435" t="str">
        <f>PROPER(TRIM(sales_data!L435))</f>
        <v>Credit Card</v>
      </c>
      <c r="M435" t="str">
        <f>PROPER(TRIM(sales_data!M435))</f>
        <v>Retail</v>
      </c>
      <c r="N435">
        <f t="shared" si="25"/>
        <v>486.31999999999994</v>
      </c>
      <c r="O435">
        <f t="shared" si="26"/>
        <v>22857.039999999997</v>
      </c>
      <c r="P435" t="str">
        <f t="shared" si="27"/>
        <v>Sep</v>
      </c>
    </row>
    <row r="436" spans="1:16" x14ac:dyDescent="0.25">
      <c r="A436">
        <v>1032</v>
      </c>
      <c r="B436" s="1">
        <v>45163</v>
      </c>
      <c r="C436">
        <f t="shared" si="24"/>
        <v>90890.926199999813</v>
      </c>
      <c r="D436">
        <v>23</v>
      </c>
      <c r="E436">
        <v>4673.1899999999996</v>
      </c>
      <c r="F436">
        <v>4761.1799999999903</v>
      </c>
      <c r="G436">
        <v>0.17</v>
      </c>
      <c r="H436" t="str">
        <f>PROPER(TRIM(sales_data!C436))</f>
        <v>Bob</v>
      </c>
      <c r="I436" t="str">
        <f>PROPER(TRIM(sales_data!D436))</f>
        <v>North</v>
      </c>
      <c r="J436" t="str">
        <f>PROPER(TRIM(sales_data!G436))</f>
        <v>Electronics</v>
      </c>
      <c r="K436" t="str">
        <f>PROPER(TRIM(sales_data!J436))</f>
        <v>Returning</v>
      </c>
      <c r="L436" t="str">
        <f>PROPER(TRIM(sales_data!L436))</f>
        <v>Credit Card</v>
      </c>
      <c r="M436" t="str">
        <f>PROPER(TRIM(sales_data!M436))</f>
        <v>Retail</v>
      </c>
      <c r="N436">
        <f t="shared" si="25"/>
        <v>87.989999999990687</v>
      </c>
      <c r="O436">
        <f t="shared" si="26"/>
        <v>2023.7699999997858</v>
      </c>
      <c r="P436" t="str">
        <f t="shared" si="27"/>
        <v>Aug</v>
      </c>
    </row>
    <row r="437" spans="1:16" x14ac:dyDescent="0.25">
      <c r="A437">
        <v>1087</v>
      </c>
      <c r="B437" s="1">
        <v>45235</v>
      </c>
      <c r="C437">
        <f t="shared" si="24"/>
        <v>22498.139999999996</v>
      </c>
      <c r="D437">
        <v>30</v>
      </c>
      <c r="E437">
        <v>698.74</v>
      </c>
      <c r="F437">
        <v>882.28</v>
      </c>
      <c r="G437">
        <v>0.15</v>
      </c>
      <c r="H437" t="str">
        <f>PROPER(TRIM(sales_data!C437))</f>
        <v>Eve</v>
      </c>
      <c r="I437" t="str">
        <f>PROPER(TRIM(sales_data!D437))</f>
        <v>East</v>
      </c>
      <c r="J437" t="str">
        <f>PROPER(TRIM(sales_data!G437))</f>
        <v>Electronics</v>
      </c>
      <c r="K437" t="str">
        <f>PROPER(TRIM(sales_data!J437))</f>
        <v>Returning</v>
      </c>
      <c r="L437" t="str">
        <f>PROPER(TRIM(sales_data!L437))</f>
        <v>Credit Card</v>
      </c>
      <c r="M437" t="str">
        <f>PROPER(TRIM(sales_data!M437))</f>
        <v>Online</v>
      </c>
      <c r="N437">
        <f t="shared" si="25"/>
        <v>183.53999999999996</v>
      </c>
      <c r="O437">
        <f t="shared" si="26"/>
        <v>5506.1999999999989</v>
      </c>
      <c r="P437" t="str">
        <f t="shared" si="27"/>
        <v>Nov</v>
      </c>
    </row>
    <row r="438" spans="1:16" x14ac:dyDescent="0.25">
      <c r="A438">
        <v>1063</v>
      </c>
      <c r="B438" s="1">
        <v>45099</v>
      </c>
      <c r="C438">
        <f t="shared" si="24"/>
        <v>82146.674999999988</v>
      </c>
      <c r="D438">
        <v>25</v>
      </c>
      <c r="E438">
        <v>3997.1</v>
      </c>
      <c r="F438">
        <v>4212.6499999999996</v>
      </c>
      <c r="G438">
        <v>0.22</v>
      </c>
      <c r="H438" t="str">
        <f>PROPER(TRIM(sales_data!C438))</f>
        <v>Bob</v>
      </c>
      <c r="I438" t="str">
        <f>PROPER(TRIM(sales_data!D438))</f>
        <v>South</v>
      </c>
      <c r="J438" t="str">
        <f>PROPER(TRIM(sales_data!G438))</f>
        <v>Electronics</v>
      </c>
      <c r="K438" t="str">
        <f>PROPER(TRIM(sales_data!J438))</f>
        <v>New</v>
      </c>
      <c r="L438" t="str">
        <f>PROPER(TRIM(sales_data!L438))</f>
        <v>Cash</v>
      </c>
      <c r="M438" t="str">
        <f>PROPER(TRIM(sales_data!M438))</f>
        <v>Online</v>
      </c>
      <c r="N438">
        <f t="shared" si="25"/>
        <v>215.54999999999973</v>
      </c>
      <c r="O438">
        <f t="shared" si="26"/>
        <v>5388.7499999999927</v>
      </c>
      <c r="P438" t="str">
        <f t="shared" si="27"/>
        <v>Jun</v>
      </c>
    </row>
    <row r="439" spans="1:16" x14ac:dyDescent="0.25">
      <c r="A439">
        <v>1086</v>
      </c>
      <c r="B439" s="1">
        <v>45116</v>
      </c>
      <c r="C439">
        <f t="shared" si="24"/>
        <v>64276.959599999995</v>
      </c>
      <c r="D439">
        <v>28</v>
      </c>
      <c r="E439">
        <v>2564.35</v>
      </c>
      <c r="F439">
        <v>2765.79</v>
      </c>
      <c r="G439">
        <v>0.17</v>
      </c>
      <c r="H439" t="str">
        <f>PROPER(TRIM(sales_data!C439))</f>
        <v>David</v>
      </c>
      <c r="I439" t="str">
        <f>PROPER(TRIM(sales_data!D439))</f>
        <v>North</v>
      </c>
      <c r="J439" t="str">
        <f>PROPER(TRIM(sales_data!G439))</f>
        <v>Food</v>
      </c>
      <c r="K439" t="str">
        <f>PROPER(TRIM(sales_data!J439))</f>
        <v>Returning</v>
      </c>
      <c r="L439" t="str">
        <f>PROPER(TRIM(sales_data!L439))</f>
        <v>Credit Card</v>
      </c>
      <c r="M439" t="str">
        <f>PROPER(TRIM(sales_data!M439))</f>
        <v>Online</v>
      </c>
      <c r="N439">
        <f t="shared" si="25"/>
        <v>201.44000000000005</v>
      </c>
      <c r="O439">
        <f t="shared" si="26"/>
        <v>5640.3200000000015</v>
      </c>
      <c r="P439" t="str">
        <f t="shared" si="27"/>
        <v>Jul</v>
      </c>
    </row>
    <row r="440" spans="1:16" x14ac:dyDescent="0.25">
      <c r="A440">
        <v>1051</v>
      </c>
      <c r="B440" s="1">
        <v>45048</v>
      </c>
      <c r="C440">
        <f t="shared" si="24"/>
        <v>132442.91999999998</v>
      </c>
      <c r="D440">
        <v>34</v>
      </c>
      <c r="E440">
        <v>3764.14</v>
      </c>
      <c r="F440">
        <v>4100.3999999999996</v>
      </c>
      <c r="G440">
        <v>0.05</v>
      </c>
      <c r="H440" t="str">
        <f>PROPER(TRIM(sales_data!C440))</f>
        <v>Alice</v>
      </c>
      <c r="I440" t="str">
        <f>PROPER(TRIM(sales_data!D440))</f>
        <v>North</v>
      </c>
      <c r="J440" t="str">
        <f>PROPER(TRIM(sales_data!G440))</f>
        <v>Furniture</v>
      </c>
      <c r="K440" t="str">
        <f>PROPER(TRIM(sales_data!J440))</f>
        <v>Returning</v>
      </c>
      <c r="L440" t="str">
        <f>PROPER(TRIM(sales_data!L440))</f>
        <v>Bank Transfer</v>
      </c>
      <c r="M440" t="str">
        <f>PROPER(TRIM(sales_data!M440))</f>
        <v>Retail</v>
      </c>
      <c r="N440">
        <f t="shared" si="25"/>
        <v>336.25999999999976</v>
      </c>
      <c r="O440">
        <f t="shared" si="26"/>
        <v>11432.839999999993</v>
      </c>
      <c r="P440" t="str">
        <f t="shared" si="27"/>
        <v>May</v>
      </c>
    </row>
    <row r="441" spans="1:16" x14ac:dyDescent="0.25">
      <c r="A441">
        <v>1025</v>
      </c>
      <c r="B441" s="1">
        <v>44972</v>
      </c>
      <c r="C441">
        <f t="shared" si="24"/>
        <v>61331.039999999644</v>
      </c>
      <c r="D441">
        <v>45</v>
      </c>
      <c r="E441">
        <v>1588.04</v>
      </c>
      <c r="F441">
        <v>1703.6399999999901</v>
      </c>
      <c r="G441">
        <v>0.2</v>
      </c>
      <c r="H441" t="str">
        <f>PROPER(TRIM(sales_data!C441))</f>
        <v>David</v>
      </c>
      <c r="I441" t="str">
        <f>PROPER(TRIM(sales_data!D441))</f>
        <v>South</v>
      </c>
      <c r="J441" t="str">
        <f>PROPER(TRIM(sales_data!G441))</f>
        <v>Clothing</v>
      </c>
      <c r="K441" t="str">
        <f>PROPER(TRIM(sales_data!J441))</f>
        <v>New</v>
      </c>
      <c r="L441" t="str">
        <f>PROPER(TRIM(sales_data!L441))</f>
        <v>Bank Transfer</v>
      </c>
      <c r="M441" t="str">
        <f>PROPER(TRIM(sales_data!M441))</f>
        <v>Retail</v>
      </c>
      <c r="N441">
        <f t="shared" si="25"/>
        <v>115.59999999999013</v>
      </c>
      <c r="O441">
        <f t="shared" si="26"/>
        <v>5201.9999999995562</v>
      </c>
      <c r="P441" t="str">
        <f t="shared" si="27"/>
        <v>Feb</v>
      </c>
    </row>
    <row r="442" spans="1:16" x14ac:dyDescent="0.25">
      <c r="A442">
        <v>1058</v>
      </c>
      <c r="B442" s="1">
        <v>44990</v>
      </c>
      <c r="C442">
        <f t="shared" si="24"/>
        <v>125109.50399999955</v>
      </c>
      <c r="D442">
        <v>48</v>
      </c>
      <c r="E442">
        <v>2596.7199999999998</v>
      </c>
      <c r="F442">
        <v>2715.0499999999902</v>
      </c>
      <c r="G442">
        <v>0.04</v>
      </c>
      <c r="H442" t="str">
        <f>PROPER(TRIM(sales_data!C442))</f>
        <v>Eve</v>
      </c>
      <c r="I442" t="str">
        <f>PROPER(TRIM(sales_data!D442))</f>
        <v>North</v>
      </c>
      <c r="J442" t="str">
        <f>PROPER(TRIM(sales_data!G442))</f>
        <v>Furniture</v>
      </c>
      <c r="K442" t="str">
        <f>PROPER(TRIM(sales_data!J442))</f>
        <v>Returning</v>
      </c>
      <c r="L442" t="str">
        <f>PROPER(TRIM(sales_data!L442))</f>
        <v>Cash</v>
      </c>
      <c r="M442" t="str">
        <f>PROPER(TRIM(sales_data!M442))</f>
        <v>Online</v>
      </c>
      <c r="N442">
        <f t="shared" si="25"/>
        <v>118.32999999999038</v>
      </c>
      <c r="O442">
        <f t="shared" si="26"/>
        <v>5679.8399999995381</v>
      </c>
      <c r="P442" t="str">
        <f t="shared" si="27"/>
        <v>Mar</v>
      </c>
    </row>
    <row r="443" spans="1:16" x14ac:dyDescent="0.25">
      <c r="A443">
        <v>1063</v>
      </c>
      <c r="B443" s="1">
        <v>45056</v>
      </c>
      <c r="C443">
        <f t="shared" si="24"/>
        <v>166406.6208</v>
      </c>
      <c r="D443">
        <v>47</v>
      </c>
      <c r="E443">
        <v>4291.33</v>
      </c>
      <c r="F443">
        <v>4658.6400000000003</v>
      </c>
      <c r="G443">
        <v>0.24</v>
      </c>
      <c r="H443" t="str">
        <f>PROPER(TRIM(sales_data!C443))</f>
        <v>David</v>
      </c>
      <c r="I443" t="str">
        <f>PROPER(TRIM(sales_data!D443))</f>
        <v>East</v>
      </c>
      <c r="J443" t="str">
        <f>PROPER(TRIM(sales_data!G443))</f>
        <v>Electronics</v>
      </c>
      <c r="K443" t="str">
        <f>PROPER(TRIM(sales_data!J443))</f>
        <v>New</v>
      </c>
      <c r="L443" t="str">
        <f>PROPER(TRIM(sales_data!L443))</f>
        <v>Credit Card</v>
      </c>
      <c r="M443" t="str">
        <f>PROPER(TRIM(sales_data!M443))</f>
        <v>Retail</v>
      </c>
      <c r="N443">
        <f t="shared" si="25"/>
        <v>367.3100000000004</v>
      </c>
      <c r="O443">
        <f t="shared" si="26"/>
        <v>17263.570000000018</v>
      </c>
      <c r="P443" t="str">
        <f t="shared" si="27"/>
        <v>May</v>
      </c>
    </row>
    <row r="444" spans="1:16" x14ac:dyDescent="0.25">
      <c r="A444">
        <v>1062</v>
      </c>
      <c r="B444" s="1">
        <v>45236</v>
      </c>
      <c r="C444">
        <f t="shared" si="24"/>
        <v>45783.324999999997</v>
      </c>
      <c r="D444">
        <v>25</v>
      </c>
      <c r="E444">
        <v>2361.0500000000002</v>
      </c>
      <c r="F444">
        <v>2616.19</v>
      </c>
      <c r="G444">
        <v>0.3</v>
      </c>
      <c r="H444" t="str">
        <f>PROPER(TRIM(sales_data!C444))</f>
        <v>David</v>
      </c>
      <c r="I444" t="str">
        <f>PROPER(TRIM(sales_data!D444))</f>
        <v>East</v>
      </c>
      <c r="J444" t="str">
        <f>PROPER(TRIM(sales_data!G444))</f>
        <v>Food</v>
      </c>
      <c r="K444" t="str">
        <f>PROPER(TRIM(sales_data!J444))</f>
        <v>New</v>
      </c>
      <c r="L444" t="str">
        <f>PROPER(TRIM(sales_data!L444))</f>
        <v>Bank Transfer</v>
      </c>
      <c r="M444" t="str">
        <f>PROPER(TRIM(sales_data!M444))</f>
        <v>Retail</v>
      </c>
      <c r="N444">
        <f t="shared" si="25"/>
        <v>255.13999999999987</v>
      </c>
      <c r="O444">
        <f t="shared" si="26"/>
        <v>6378.4999999999964</v>
      </c>
      <c r="P444" t="str">
        <f t="shared" si="27"/>
        <v>Nov</v>
      </c>
    </row>
    <row r="445" spans="1:16" x14ac:dyDescent="0.25">
      <c r="A445">
        <v>1022</v>
      </c>
      <c r="B445" s="1">
        <v>45289</v>
      </c>
      <c r="C445">
        <f t="shared" si="24"/>
        <v>18191.956000000002</v>
      </c>
      <c r="D445">
        <v>10</v>
      </c>
      <c r="E445">
        <v>1830.61</v>
      </c>
      <c r="F445">
        <v>2044.04</v>
      </c>
      <c r="G445">
        <v>0.11</v>
      </c>
      <c r="H445" t="str">
        <f>PROPER(TRIM(sales_data!C445))</f>
        <v>David</v>
      </c>
      <c r="I445" t="str">
        <f>PROPER(TRIM(sales_data!D445))</f>
        <v>North</v>
      </c>
      <c r="J445" t="str">
        <f>PROPER(TRIM(sales_data!G445))</f>
        <v>Furniture</v>
      </c>
      <c r="K445" t="str">
        <f>PROPER(TRIM(sales_data!J445))</f>
        <v>New</v>
      </c>
      <c r="L445" t="str">
        <f>PROPER(TRIM(sales_data!L445))</f>
        <v>Cash</v>
      </c>
      <c r="M445" t="str">
        <f>PROPER(TRIM(sales_data!M445))</f>
        <v>Online</v>
      </c>
      <c r="N445">
        <f t="shared" si="25"/>
        <v>213.43000000000006</v>
      </c>
      <c r="O445">
        <f t="shared" si="26"/>
        <v>2134.3000000000006</v>
      </c>
      <c r="P445" t="str">
        <f t="shared" si="27"/>
        <v>Dec</v>
      </c>
    </row>
    <row r="446" spans="1:16" x14ac:dyDescent="0.25">
      <c r="A446">
        <v>1058</v>
      </c>
      <c r="B446" s="1">
        <v>45119</v>
      </c>
      <c r="C446">
        <f t="shared" si="24"/>
        <v>34065.99839999988</v>
      </c>
      <c r="D446">
        <v>14</v>
      </c>
      <c r="E446">
        <v>2703.97</v>
      </c>
      <c r="F446">
        <v>2796.8799999999901</v>
      </c>
      <c r="G446">
        <v>0.13</v>
      </c>
      <c r="H446" t="str">
        <f>PROPER(TRIM(sales_data!C446))</f>
        <v>Eve</v>
      </c>
      <c r="I446" t="str">
        <f>PROPER(TRIM(sales_data!D446))</f>
        <v>East</v>
      </c>
      <c r="J446" t="str">
        <f>PROPER(TRIM(sales_data!G446))</f>
        <v>Electronics</v>
      </c>
      <c r="K446" t="str">
        <f>PROPER(TRIM(sales_data!J446))</f>
        <v>New</v>
      </c>
      <c r="L446" t="str">
        <f>PROPER(TRIM(sales_data!L446))</f>
        <v>Bank Transfer</v>
      </c>
      <c r="M446" t="str">
        <f>PROPER(TRIM(sales_data!M446))</f>
        <v>Online</v>
      </c>
      <c r="N446">
        <f t="shared" si="25"/>
        <v>92.909999999990305</v>
      </c>
      <c r="O446">
        <f t="shared" si="26"/>
        <v>1300.7399999998643</v>
      </c>
      <c r="P446" t="str">
        <f t="shared" si="27"/>
        <v>Jul</v>
      </c>
    </row>
    <row r="447" spans="1:16" x14ac:dyDescent="0.25">
      <c r="A447">
        <v>1058</v>
      </c>
      <c r="B447" s="1">
        <v>45233</v>
      </c>
      <c r="C447">
        <f t="shared" si="24"/>
        <v>153964.0871999996</v>
      </c>
      <c r="D447">
        <v>42</v>
      </c>
      <c r="E447">
        <v>3600.95</v>
      </c>
      <c r="F447">
        <v>3702.8399999999901</v>
      </c>
      <c r="G447">
        <v>0.01</v>
      </c>
      <c r="H447" t="str">
        <f>PROPER(TRIM(sales_data!C447))</f>
        <v>David</v>
      </c>
      <c r="I447" t="str">
        <f>PROPER(TRIM(sales_data!D447))</f>
        <v>West</v>
      </c>
      <c r="J447" t="str">
        <f>PROPER(TRIM(sales_data!G447))</f>
        <v>Clothing</v>
      </c>
      <c r="K447" t="str">
        <f>PROPER(TRIM(sales_data!J447))</f>
        <v>Returning</v>
      </c>
      <c r="L447" t="str">
        <f>PROPER(TRIM(sales_data!L447))</f>
        <v>Cash</v>
      </c>
      <c r="M447" t="str">
        <f>PROPER(TRIM(sales_data!M447))</f>
        <v>Retail</v>
      </c>
      <c r="N447">
        <f t="shared" si="25"/>
        <v>101.88999999999032</v>
      </c>
      <c r="O447">
        <f t="shared" si="26"/>
        <v>4279.3799999995936</v>
      </c>
      <c r="P447" t="str">
        <f t="shared" si="27"/>
        <v>Nov</v>
      </c>
    </row>
    <row r="448" spans="1:16" x14ac:dyDescent="0.25">
      <c r="A448">
        <v>1086</v>
      </c>
      <c r="B448" s="1">
        <v>45107</v>
      </c>
      <c r="C448">
        <f t="shared" si="24"/>
        <v>103997.26</v>
      </c>
      <c r="D448">
        <v>46</v>
      </c>
      <c r="E448">
        <v>2245.64</v>
      </c>
      <c r="F448">
        <v>2260.81</v>
      </c>
      <c r="G448">
        <v>0</v>
      </c>
      <c r="H448" t="str">
        <f>PROPER(TRIM(sales_data!C448))</f>
        <v>Bob</v>
      </c>
      <c r="I448" t="str">
        <f>PROPER(TRIM(sales_data!D448))</f>
        <v>North</v>
      </c>
      <c r="J448" t="str">
        <f>PROPER(TRIM(sales_data!G448))</f>
        <v>Clothing</v>
      </c>
      <c r="K448" t="str">
        <f>PROPER(TRIM(sales_data!J448))</f>
        <v>New</v>
      </c>
      <c r="L448" t="str">
        <f>PROPER(TRIM(sales_data!L448))</f>
        <v>Cash</v>
      </c>
      <c r="M448" t="str">
        <f>PROPER(TRIM(sales_data!M448))</f>
        <v>Retail</v>
      </c>
      <c r="N448">
        <f t="shared" si="25"/>
        <v>15.170000000000073</v>
      </c>
      <c r="O448">
        <f t="shared" si="26"/>
        <v>697.82000000000335</v>
      </c>
      <c r="P448" t="str">
        <f t="shared" si="27"/>
        <v>Jun</v>
      </c>
    </row>
    <row r="449" spans="1:16" x14ac:dyDescent="0.25">
      <c r="A449">
        <v>1049</v>
      </c>
      <c r="B449" s="1">
        <v>45218</v>
      </c>
      <c r="C449">
        <f t="shared" si="24"/>
        <v>102648.38399999998</v>
      </c>
      <c r="D449">
        <v>30</v>
      </c>
      <c r="E449">
        <v>4697.4399999999996</v>
      </c>
      <c r="F449">
        <v>4752.24</v>
      </c>
      <c r="G449">
        <v>0.28000000000000003</v>
      </c>
      <c r="H449" t="str">
        <f>PROPER(TRIM(sales_data!C449))</f>
        <v>Eve</v>
      </c>
      <c r="I449" t="str">
        <f>PROPER(TRIM(sales_data!D449))</f>
        <v>South</v>
      </c>
      <c r="J449" t="str">
        <f>PROPER(TRIM(sales_data!G449))</f>
        <v>Clothing</v>
      </c>
      <c r="K449" t="str">
        <f>PROPER(TRIM(sales_data!J449))</f>
        <v>New</v>
      </c>
      <c r="L449" t="str">
        <f>PROPER(TRIM(sales_data!L449))</f>
        <v>Credit Card</v>
      </c>
      <c r="M449" t="str">
        <f>PROPER(TRIM(sales_data!M449))</f>
        <v>Online</v>
      </c>
      <c r="N449">
        <f t="shared" si="25"/>
        <v>54.800000000000182</v>
      </c>
      <c r="O449">
        <f t="shared" si="26"/>
        <v>1644.0000000000055</v>
      </c>
      <c r="P449" t="str">
        <f t="shared" si="27"/>
        <v>Oct</v>
      </c>
    </row>
    <row r="450" spans="1:16" x14ac:dyDescent="0.25">
      <c r="A450">
        <v>1052</v>
      </c>
      <c r="B450" s="1">
        <v>45208</v>
      </c>
      <c r="C450">
        <f t="shared" ref="C450:C513" si="28">(D450*F450)*(1-G450)</f>
        <v>70565.788799999995</v>
      </c>
      <c r="D450">
        <v>41</v>
      </c>
      <c r="E450">
        <v>1509.98</v>
      </c>
      <c r="F450">
        <v>1792.83</v>
      </c>
      <c r="G450">
        <v>0.04</v>
      </c>
      <c r="H450" t="str">
        <f>PROPER(TRIM(sales_data!C450))</f>
        <v>David</v>
      </c>
      <c r="I450" t="str">
        <f>PROPER(TRIM(sales_data!D450))</f>
        <v>West</v>
      </c>
      <c r="J450" t="str">
        <f>PROPER(TRIM(sales_data!G450))</f>
        <v>Electronics</v>
      </c>
      <c r="K450" t="str">
        <f>PROPER(TRIM(sales_data!J450))</f>
        <v>New</v>
      </c>
      <c r="L450" t="str">
        <f>PROPER(TRIM(sales_data!L450))</f>
        <v>Cash</v>
      </c>
      <c r="M450" t="str">
        <f>PROPER(TRIM(sales_data!M450))</f>
        <v>Retail</v>
      </c>
      <c r="N450">
        <f t="shared" ref="N450:N513" si="29">F450-E450</f>
        <v>282.84999999999991</v>
      </c>
      <c r="O450">
        <f t="shared" ref="O450:O513" si="30">N450*D450</f>
        <v>11596.849999999997</v>
      </c>
      <c r="P450" t="str">
        <f t="shared" ref="P450:P513" si="31">TEXT(B450,"mmm")</f>
        <v>Oct</v>
      </c>
    </row>
    <row r="451" spans="1:16" x14ac:dyDescent="0.25">
      <c r="A451">
        <v>1042</v>
      </c>
      <c r="B451" s="1">
        <v>44955</v>
      </c>
      <c r="C451">
        <f t="shared" si="28"/>
        <v>61999.68</v>
      </c>
      <c r="D451">
        <v>25</v>
      </c>
      <c r="E451">
        <v>2403.54</v>
      </c>
      <c r="F451">
        <v>2850.56</v>
      </c>
      <c r="G451">
        <v>0.13</v>
      </c>
      <c r="H451" t="str">
        <f>PROPER(TRIM(sales_data!C451))</f>
        <v>Eve</v>
      </c>
      <c r="I451" t="str">
        <f>PROPER(TRIM(sales_data!D451))</f>
        <v>North</v>
      </c>
      <c r="J451" t="str">
        <f>PROPER(TRIM(sales_data!G451))</f>
        <v>Food</v>
      </c>
      <c r="K451" t="str">
        <f>PROPER(TRIM(sales_data!J451))</f>
        <v>New</v>
      </c>
      <c r="L451" t="str">
        <f>PROPER(TRIM(sales_data!L451))</f>
        <v>Bank Transfer</v>
      </c>
      <c r="M451" t="str">
        <f>PROPER(TRIM(sales_data!M451))</f>
        <v>Online</v>
      </c>
      <c r="N451">
        <f t="shared" si="29"/>
        <v>447.02</v>
      </c>
      <c r="O451">
        <f t="shared" si="30"/>
        <v>11175.5</v>
      </c>
      <c r="P451" t="str">
        <f t="shared" si="31"/>
        <v>Jan</v>
      </c>
    </row>
    <row r="452" spans="1:16" x14ac:dyDescent="0.25">
      <c r="A452">
        <v>1070</v>
      </c>
      <c r="B452" s="1">
        <v>45075</v>
      </c>
      <c r="C452">
        <f t="shared" si="28"/>
        <v>42001.4</v>
      </c>
      <c r="D452">
        <v>14</v>
      </c>
      <c r="E452">
        <v>3796.79</v>
      </c>
      <c r="F452">
        <v>3947.5</v>
      </c>
      <c r="G452">
        <v>0.24</v>
      </c>
      <c r="H452" t="str">
        <f>PROPER(TRIM(sales_data!C452))</f>
        <v>Charlie</v>
      </c>
      <c r="I452" t="str">
        <f>PROPER(TRIM(sales_data!D452))</f>
        <v>South</v>
      </c>
      <c r="J452" t="str">
        <f>PROPER(TRIM(sales_data!G452))</f>
        <v>Furniture</v>
      </c>
      <c r="K452" t="str">
        <f>PROPER(TRIM(sales_data!J452))</f>
        <v>Returning</v>
      </c>
      <c r="L452" t="str">
        <f>PROPER(TRIM(sales_data!L452))</f>
        <v>Bank Transfer</v>
      </c>
      <c r="M452" t="str">
        <f>PROPER(TRIM(sales_data!M452))</f>
        <v>Online</v>
      </c>
      <c r="N452">
        <f t="shared" si="29"/>
        <v>150.71000000000004</v>
      </c>
      <c r="O452">
        <f t="shared" si="30"/>
        <v>2109.9400000000005</v>
      </c>
      <c r="P452" t="str">
        <f t="shared" si="31"/>
        <v>May</v>
      </c>
    </row>
    <row r="453" spans="1:16" x14ac:dyDescent="0.25">
      <c r="A453">
        <v>1015</v>
      </c>
      <c r="B453" s="1">
        <v>45193</v>
      </c>
      <c r="C453">
        <f t="shared" si="28"/>
        <v>92791.212499999994</v>
      </c>
      <c r="D453">
        <v>35</v>
      </c>
      <c r="E453">
        <v>3461.15</v>
      </c>
      <c r="F453">
        <v>3631.75</v>
      </c>
      <c r="G453">
        <v>0.27</v>
      </c>
      <c r="H453" t="str">
        <f>PROPER(TRIM(sales_data!C453))</f>
        <v>Bob</v>
      </c>
      <c r="I453" t="str">
        <f>PROPER(TRIM(sales_data!D453))</f>
        <v>East</v>
      </c>
      <c r="J453" t="str">
        <f>PROPER(TRIM(sales_data!G453))</f>
        <v>Clothing</v>
      </c>
      <c r="K453" t="str">
        <f>PROPER(TRIM(sales_data!J453))</f>
        <v>Returning</v>
      </c>
      <c r="L453" t="str">
        <f>PROPER(TRIM(sales_data!L453))</f>
        <v>Credit Card</v>
      </c>
      <c r="M453" t="str">
        <f>PROPER(TRIM(sales_data!M453))</f>
        <v>Online</v>
      </c>
      <c r="N453">
        <f t="shared" si="29"/>
        <v>170.59999999999991</v>
      </c>
      <c r="O453">
        <f t="shared" si="30"/>
        <v>5970.9999999999964</v>
      </c>
      <c r="P453" t="str">
        <f t="shared" si="31"/>
        <v>Sep</v>
      </c>
    </row>
    <row r="454" spans="1:16" x14ac:dyDescent="0.25">
      <c r="A454">
        <v>1054</v>
      </c>
      <c r="B454" s="1">
        <v>45222</v>
      </c>
      <c r="C454">
        <f t="shared" si="28"/>
        <v>177072.13440000001</v>
      </c>
      <c r="D454">
        <v>48</v>
      </c>
      <c r="E454">
        <v>4325.0200000000004</v>
      </c>
      <c r="F454">
        <v>4391.67</v>
      </c>
      <c r="G454">
        <v>0.16</v>
      </c>
      <c r="H454" t="str">
        <f>PROPER(TRIM(sales_data!C454))</f>
        <v>David</v>
      </c>
      <c r="I454" t="str">
        <f>PROPER(TRIM(sales_data!D454))</f>
        <v>South</v>
      </c>
      <c r="J454" t="str">
        <f>PROPER(TRIM(sales_data!G454))</f>
        <v>Electronics</v>
      </c>
      <c r="K454" t="str">
        <f>PROPER(TRIM(sales_data!J454))</f>
        <v>Returning</v>
      </c>
      <c r="L454" t="str">
        <f>PROPER(TRIM(sales_data!L454))</f>
        <v>Credit Card</v>
      </c>
      <c r="M454" t="str">
        <f>PROPER(TRIM(sales_data!M454))</f>
        <v>Retail</v>
      </c>
      <c r="N454">
        <f t="shared" si="29"/>
        <v>66.649999999999636</v>
      </c>
      <c r="O454">
        <f t="shared" si="30"/>
        <v>3199.1999999999825</v>
      </c>
      <c r="P454" t="str">
        <f t="shared" si="31"/>
        <v>Oct</v>
      </c>
    </row>
    <row r="455" spans="1:16" x14ac:dyDescent="0.25">
      <c r="A455">
        <v>1060</v>
      </c>
      <c r="B455" s="1">
        <v>44937</v>
      </c>
      <c r="C455">
        <f t="shared" si="28"/>
        <v>146310.54079999999</v>
      </c>
      <c r="D455">
        <v>34</v>
      </c>
      <c r="E455">
        <v>4984.21</v>
      </c>
      <c r="F455">
        <v>5184.6400000000003</v>
      </c>
      <c r="G455">
        <v>0.17</v>
      </c>
      <c r="H455" t="str">
        <f>PROPER(TRIM(sales_data!C455))</f>
        <v>Charlie</v>
      </c>
      <c r="I455" t="str">
        <f>PROPER(TRIM(sales_data!D455))</f>
        <v>West</v>
      </c>
      <c r="J455" t="str">
        <f>PROPER(TRIM(sales_data!G455))</f>
        <v>Electronics</v>
      </c>
      <c r="K455" t="str">
        <f>PROPER(TRIM(sales_data!J455))</f>
        <v>New</v>
      </c>
      <c r="L455" t="str">
        <f>PROPER(TRIM(sales_data!L455))</f>
        <v>Cash</v>
      </c>
      <c r="M455" t="str">
        <f>PROPER(TRIM(sales_data!M455))</f>
        <v>Online</v>
      </c>
      <c r="N455">
        <f t="shared" si="29"/>
        <v>200.43000000000029</v>
      </c>
      <c r="O455">
        <f t="shared" si="30"/>
        <v>6814.6200000000099</v>
      </c>
      <c r="P455" t="str">
        <f t="shared" si="31"/>
        <v>Jan</v>
      </c>
    </row>
    <row r="456" spans="1:16" x14ac:dyDescent="0.25">
      <c r="A456">
        <v>1097</v>
      </c>
      <c r="B456" s="1">
        <v>45090</v>
      </c>
      <c r="C456">
        <f t="shared" si="28"/>
        <v>17529.51999999992</v>
      </c>
      <c r="D456">
        <v>10</v>
      </c>
      <c r="E456">
        <v>2162.9499999999998</v>
      </c>
      <c r="F456">
        <v>2191.1899999999901</v>
      </c>
      <c r="G456">
        <v>0.2</v>
      </c>
      <c r="H456" t="str">
        <f>PROPER(TRIM(sales_data!C456))</f>
        <v>Charlie</v>
      </c>
      <c r="I456" t="str">
        <f>PROPER(TRIM(sales_data!D456))</f>
        <v>East</v>
      </c>
      <c r="J456" t="str">
        <f>PROPER(TRIM(sales_data!G456))</f>
        <v>Furniture</v>
      </c>
      <c r="K456" t="str">
        <f>PROPER(TRIM(sales_data!J456))</f>
        <v>Returning</v>
      </c>
      <c r="L456" t="str">
        <f>PROPER(TRIM(sales_data!L456))</f>
        <v>Credit Card</v>
      </c>
      <c r="M456" t="str">
        <f>PROPER(TRIM(sales_data!M456))</f>
        <v>Online</v>
      </c>
      <c r="N456">
        <f t="shared" si="29"/>
        <v>28.239999999990232</v>
      </c>
      <c r="O456">
        <f t="shared" si="30"/>
        <v>282.39999999990232</v>
      </c>
      <c r="P456" t="str">
        <f t="shared" si="31"/>
        <v>Jun</v>
      </c>
    </row>
    <row r="457" spans="1:16" x14ac:dyDescent="0.25">
      <c r="A457">
        <v>1008</v>
      </c>
      <c r="B457" s="1">
        <v>45039</v>
      </c>
      <c r="C457">
        <f t="shared" si="28"/>
        <v>26336.526999999998</v>
      </c>
      <c r="D457">
        <v>35</v>
      </c>
      <c r="E457">
        <v>600.20000000000005</v>
      </c>
      <c r="F457">
        <v>1059.82</v>
      </c>
      <c r="G457">
        <v>0.28999999999999998</v>
      </c>
      <c r="H457" t="str">
        <f>PROPER(TRIM(sales_data!C457))</f>
        <v>Eve</v>
      </c>
      <c r="I457" t="str">
        <f>PROPER(TRIM(sales_data!D457))</f>
        <v>North</v>
      </c>
      <c r="J457" t="str">
        <f>PROPER(TRIM(sales_data!G457))</f>
        <v>Clothing</v>
      </c>
      <c r="K457" t="str">
        <f>PROPER(TRIM(sales_data!J457))</f>
        <v>Returning</v>
      </c>
      <c r="L457" t="str">
        <f>PROPER(TRIM(sales_data!L457))</f>
        <v>Bank Transfer</v>
      </c>
      <c r="M457" t="str">
        <f>PROPER(TRIM(sales_data!M457))</f>
        <v>Retail</v>
      </c>
      <c r="N457">
        <f t="shared" si="29"/>
        <v>459.61999999999989</v>
      </c>
      <c r="O457">
        <f t="shared" si="30"/>
        <v>16086.699999999997</v>
      </c>
      <c r="P457" t="str">
        <f t="shared" si="31"/>
        <v>Apr</v>
      </c>
    </row>
    <row r="458" spans="1:16" x14ac:dyDescent="0.25">
      <c r="A458">
        <v>1053</v>
      </c>
      <c r="B458" s="1">
        <v>45113</v>
      </c>
      <c r="C458">
        <f t="shared" si="28"/>
        <v>4874.2276000000002</v>
      </c>
      <c r="D458">
        <v>11</v>
      </c>
      <c r="E458">
        <v>200.56</v>
      </c>
      <c r="F458">
        <v>540.38</v>
      </c>
      <c r="G458">
        <v>0.18</v>
      </c>
      <c r="H458" t="str">
        <f>PROPER(TRIM(sales_data!C458))</f>
        <v>Charlie</v>
      </c>
      <c r="I458" t="str">
        <f>PROPER(TRIM(sales_data!D458))</f>
        <v>East</v>
      </c>
      <c r="J458" t="str">
        <f>PROPER(TRIM(sales_data!G458))</f>
        <v>Electronics</v>
      </c>
      <c r="K458" t="str">
        <f>PROPER(TRIM(sales_data!J458))</f>
        <v>New</v>
      </c>
      <c r="L458" t="str">
        <f>PROPER(TRIM(sales_data!L458))</f>
        <v>Bank Transfer</v>
      </c>
      <c r="M458" t="str">
        <f>PROPER(TRIM(sales_data!M458))</f>
        <v>Online</v>
      </c>
      <c r="N458">
        <f t="shared" si="29"/>
        <v>339.82</v>
      </c>
      <c r="O458">
        <f t="shared" si="30"/>
        <v>3738.02</v>
      </c>
      <c r="P458" t="str">
        <f t="shared" si="31"/>
        <v>Jul</v>
      </c>
    </row>
    <row r="459" spans="1:16" x14ac:dyDescent="0.25">
      <c r="A459">
        <v>1060</v>
      </c>
      <c r="B459" s="1">
        <v>45221</v>
      </c>
      <c r="C459">
        <f t="shared" si="28"/>
        <v>37830.246299999999</v>
      </c>
      <c r="D459">
        <v>11</v>
      </c>
      <c r="E459">
        <v>3648.04</v>
      </c>
      <c r="F459">
        <v>4143.51</v>
      </c>
      <c r="G459">
        <v>0.17</v>
      </c>
      <c r="H459" t="str">
        <f>PROPER(TRIM(sales_data!C459))</f>
        <v>Bob</v>
      </c>
      <c r="I459" t="str">
        <f>PROPER(TRIM(sales_data!D459))</f>
        <v>North</v>
      </c>
      <c r="J459" t="str">
        <f>PROPER(TRIM(sales_data!G459))</f>
        <v>Furniture</v>
      </c>
      <c r="K459" t="str">
        <f>PROPER(TRIM(sales_data!J459))</f>
        <v>Returning</v>
      </c>
      <c r="L459" t="str">
        <f>PROPER(TRIM(sales_data!L459))</f>
        <v>Credit Card</v>
      </c>
      <c r="M459" t="str">
        <f>PROPER(TRIM(sales_data!M459))</f>
        <v>Retail</v>
      </c>
      <c r="N459">
        <f t="shared" si="29"/>
        <v>495.47000000000025</v>
      </c>
      <c r="O459">
        <f t="shared" si="30"/>
        <v>5450.1700000000028</v>
      </c>
      <c r="P459" t="str">
        <f t="shared" si="31"/>
        <v>Oct</v>
      </c>
    </row>
    <row r="460" spans="1:16" x14ac:dyDescent="0.25">
      <c r="A460">
        <v>1005</v>
      </c>
      <c r="B460" s="1">
        <v>45158</v>
      </c>
      <c r="C460">
        <f t="shared" si="28"/>
        <v>101197.95</v>
      </c>
      <c r="D460">
        <v>21</v>
      </c>
      <c r="E460">
        <v>4376.37</v>
      </c>
      <c r="F460">
        <v>4818.95</v>
      </c>
      <c r="G460">
        <v>0</v>
      </c>
      <c r="H460" t="str">
        <f>PROPER(TRIM(sales_data!C460))</f>
        <v>Bob</v>
      </c>
      <c r="I460" t="str">
        <f>PROPER(TRIM(sales_data!D460))</f>
        <v>North</v>
      </c>
      <c r="J460" t="str">
        <f>PROPER(TRIM(sales_data!G460))</f>
        <v>Food</v>
      </c>
      <c r="K460" t="str">
        <f>PROPER(TRIM(sales_data!J460))</f>
        <v>New</v>
      </c>
      <c r="L460" t="str">
        <f>PROPER(TRIM(sales_data!L460))</f>
        <v>Credit Card</v>
      </c>
      <c r="M460" t="str">
        <f>PROPER(TRIM(sales_data!M460))</f>
        <v>Retail</v>
      </c>
      <c r="N460">
        <f t="shared" si="29"/>
        <v>442.57999999999993</v>
      </c>
      <c r="O460">
        <f t="shared" si="30"/>
        <v>9294.1799999999985</v>
      </c>
      <c r="P460" t="str">
        <f t="shared" si="31"/>
        <v>Aug</v>
      </c>
    </row>
    <row r="461" spans="1:16" x14ac:dyDescent="0.25">
      <c r="A461">
        <v>1068</v>
      </c>
      <c r="B461" s="1">
        <v>45153</v>
      </c>
      <c r="C461">
        <f t="shared" si="28"/>
        <v>28488.894</v>
      </c>
      <c r="D461">
        <v>21</v>
      </c>
      <c r="E461">
        <v>1142.53</v>
      </c>
      <c r="F461">
        <v>1384.3</v>
      </c>
      <c r="G461">
        <v>0.02</v>
      </c>
      <c r="H461" t="str">
        <f>PROPER(TRIM(sales_data!C461))</f>
        <v>Alice</v>
      </c>
      <c r="I461" t="str">
        <f>PROPER(TRIM(sales_data!D461))</f>
        <v>South</v>
      </c>
      <c r="J461" t="str">
        <f>PROPER(TRIM(sales_data!G461))</f>
        <v>Food</v>
      </c>
      <c r="K461" t="str">
        <f>PROPER(TRIM(sales_data!J461))</f>
        <v>Returning</v>
      </c>
      <c r="L461" t="str">
        <f>PROPER(TRIM(sales_data!L461))</f>
        <v>Credit Card</v>
      </c>
      <c r="M461" t="str">
        <f>PROPER(TRIM(sales_data!M461))</f>
        <v>Retail</v>
      </c>
      <c r="N461">
        <f t="shared" si="29"/>
        <v>241.76999999999998</v>
      </c>
      <c r="O461">
        <f t="shared" si="30"/>
        <v>5077.17</v>
      </c>
      <c r="P461" t="str">
        <f t="shared" si="31"/>
        <v>Aug</v>
      </c>
    </row>
    <row r="462" spans="1:16" x14ac:dyDescent="0.25">
      <c r="A462">
        <v>1006</v>
      </c>
      <c r="B462" s="1">
        <v>45236</v>
      </c>
      <c r="C462">
        <f t="shared" si="28"/>
        <v>20067.192199999998</v>
      </c>
      <c r="D462">
        <v>22</v>
      </c>
      <c r="E462">
        <v>834.32</v>
      </c>
      <c r="F462">
        <v>1098.97</v>
      </c>
      <c r="G462">
        <v>0.17</v>
      </c>
      <c r="H462" t="str">
        <f>PROPER(TRIM(sales_data!C462))</f>
        <v>Bob</v>
      </c>
      <c r="I462" t="str">
        <f>PROPER(TRIM(sales_data!D462))</f>
        <v>South</v>
      </c>
      <c r="J462" t="str">
        <f>PROPER(TRIM(sales_data!G462))</f>
        <v>Food</v>
      </c>
      <c r="K462" t="str">
        <f>PROPER(TRIM(sales_data!J462))</f>
        <v>Returning</v>
      </c>
      <c r="L462" t="str">
        <f>PROPER(TRIM(sales_data!L462))</f>
        <v>Cash</v>
      </c>
      <c r="M462" t="str">
        <f>PROPER(TRIM(sales_data!M462))</f>
        <v>Online</v>
      </c>
      <c r="N462">
        <f t="shared" si="29"/>
        <v>264.64999999999998</v>
      </c>
      <c r="O462">
        <f t="shared" si="30"/>
        <v>5822.2999999999993</v>
      </c>
      <c r="P462" t="str">
        <f t="shared" si="31"/>
        <v>Nov</v>
      </c>
    </row>
    <row r="463" spans="1:16" x14ac:dyDescent="0.25">
      <c r="A463">
        <v>1096</v>
      </c>
      <c r="B463" s="1">
        <v>45024</v>
      </c>
      <c r="C463">
        <f t="shared" si="28"/>
        <v>14946.119999999999</v>
      </c>
      <c r="D463">
        <v>45</v>
      </c>
      <c r="E463">
        <v>357.92</v>
      </c>
      <c r="F463">
        <v>461.3</v>
      </c>
      <c r="G463">
        <v>0.28000000000000003</v>
      </c>
      <c r="H463" t="str">
        <f>PROPER(TRIM(sales_data!C463))</f>
        <v>Charlie</v>
      </c>
      <c r="I463" t="str">
        <f>PROPER(TRIM(sales_data!D463))</f>
        <v>South</v>
      </c>
      <c r="J463" t="str">
        <f>PROPER(TRIM(sales_data!G463))</f>
        <v>Clothing</v>
      </c>
      <c r="K463" t="str">
        <f>PROPER(TRIM(sales_data!J463))</f>
        <v>Returning</v>
      </c>
      <c r="L463" t="str">
        <f>PROPER(TRIM(sales_data!L463))</f>
        <v>Cash</v>
      </c>
      <c r="M463" t="str">
        <f>PROPER(TRIM(sales_data!M463))</f>
        <v>Online</v>
      </c>
      <c r="N463">
        <f t="shared" si="29"/>
        <v>103.38</v>
      </c>
      <c r="O463">
        <f t="shared" si="30"/>
        <v>4652.0999999999995</v>
      </c>
      <c r="P463" t="str">
        <f t="shared" si="31"/>
        <v>Apr</v>
      </c>
    </row>
    <row r="464" spans="1:16" x14ac:dyDescent="0.25">
      <c r="A464">
        <v>1094</v>
      </c>
      <c r="B464" s="1">
        <v>44981</v>
      </c>
      <c r="C464">
        <f t="shared" si="28"/>
        <v>22578.4804</v>
      </c>
      <c r="D464">
        <v>7</v>
      </c>
      <c r="E464">
        <v>4122.38</v>
      </c>
      <c r="F464">
        <v>4358.78</v>
      </c>
      <c r="G464">
        <v>0.26</v>
      </c>
      <c r="H464" t="str">
        <f>PROPER(TRIM(sales_data!C464))</f>
        <v>Bob</v>
      </c>
      <c r="I464" t="str">
        <f>PROPER(TRIM(sales_data!D464))</f>
        <v>West</v>
      </c>
      <c r="J464" t="str">
        <f>PROPER(TRIM(sales_data!G464))</f>
        <v>Furniture</v>
      </c>
      <c r="K464" t="str">
        <f>PROPER(TRIM(sales_data!J464))</f>
        <v>Returning</v>
      </c>
      <c r="L464" t="str">
        <f>PROPER(TRIM(sales_data!L464))</f>
        <v>Bank Transfer</v>
      </c>
      <c r="M464" t="str">
        <f>PROPER(TRIM(sales_data!M464))</f>
        <v>Retail</v>
      </c>
      <c r="N464">
        <f t="shared" si="29"/>
        <v>236.39999999999964</v>
      </c>
      <c r="O464">
        <f t="shared" si="30"/>
        <v>1654.7999999999975</v>
      </c>
      <c r="P464" t="str">
        <f t="shared" si="31"/>
        <v>Feb</v>
      </c>
    </row>
    <row r="465" spans="1:16" x14ac:dyDescent="0.25">
      <c r="A465">
        <v>1047</v>
      </c>
      <c r="B465" s="1">
        <v>45037</v>
      </c>
      <c r="C465">
        <f t="shared" si="28"/>
        <v>24668.9074</v>
      </c>
      <c r="D465">
        <v>17</v>
      </c>
      <c r="E465">
        <v>1591.34</v>
      </c>
      <c r="F465">
        <v>2043.82</v>
      </c>
      <c r="G465">
        <v>0.28999999999999998</v>
      </c>
      <c r="H465" t="str">
        <f>PROPER(TRIM(sales_data!C465))</f>
        <v>Eve</v>
      </c>
      <c r="I465" t="str">
        <f>PROPER(TRIM(sales_data!D465))</f>
        <v>West</v>
      </c>
      <c r="J465" t="str">
        <f>PROPER(TRIM(sales_data!G465))</f>
        <v>Furniture</v>
      </c>
      <c r="K465" t="str">
        <f>PROPER(TRIM(sales_data!J465))</f>
        <v>New</v>
      </c>
      <c r="L465" t="str">
        <f>PROPER(TRIM(sales_data!L465))</f>
        <v>Cash</v>
      </c>
      <c r="M465" t="str">
        <f>PROPER(TRIM(sales_data!M465))</f>
        <v>Retail</v>
      </c>
      <c r="N465">
        <f t="shared" si="29"/>
        <v>452.48</v>
      </c>
      <c r="O465">
        <f t="shared" si="30"/>
        <v>7692.16</v>
      </c>
      <c r="P465" t="str">
        <f t="shared" si="31"/>
        <v>Apr</v>
      </c>
    </row>
    <row r="466" spans="1:16" x14ac:dyDescent="0.25">
      <c r="A466">
        <v>1099</v>
      </c>
      <c r="B466" s="1">
        <v>45078</v>
      </c>
      <c r="C466">
        <f t="shared" si="28"/>
        <v>3483.1776</v>
      </c>
      <c r="D466">
        <v>2</v>
      </c>
      <c r="E466">
        <v>2038.4</v>
      </c>
      <c r="F466">
        <v>2073.3200000000002</v>
      </c>
      <c r="G466">
        <v>0.16</v>
      </c>
      <c r="H466" t="str">
        <f>PROPER(TRIM(sales_data!C466))</f>
        <v>Alice</v>
      </c>
      <c r="I466" t="str">
        <f>PROPER(TRIM(sales_data!D466))</f>
        <v>South</v>
      </c>
      <c r="J466" t="str">
        <f>PROPER(TRIM(sales_data!G466))</f>
        <v>Electronics</v>
      </c>
      <c r="K466" t="str">
        <f>PROPER(TRIM(sales_data!J466))</f>
        <v>New</v>
      </c>
      <c r="L466" t="str">
        <f>PROPER(TRIM(sales_data!L466))</f>
        <v>Cash</v>
      </c>
      <c r="M466" t="str">
        <f>PROPER(TRIM(sales_data!M466))</f>
        <v>Retail</v>
      </c>
      <c r="N466">
        <f t="shared" si="29"/>
        <v>34.920000000000073</v>
      </c>
      <c r="O466">
        <f t="shared" si="30"/>
        <v>69.840000000000146</v>
      </c>
      <c r="P466" t="str">
        <f t="shared" si="31"/>
        <v>Jun</v>
      </c>
    </row>
    <row r="467" spans="1:16" x14ac:dyDescent="0.25">
      <c r="A467">
        <v>1055</v>
      </c>
      <c r="B467" s="1">
        <v>45172</v>
      </c>
      <c r="C467">
        <f t="shared" si="28"/>
        <v>27102.36</v>
      </c>
      <c r="D467">
        <v>12</v>
      </c>
      <c r="E467">
        <v>2538.61</v>
      </c>
      <c r="F467">
        <v>2971.75</v>
      </c>
      <c r="G467">
        <v>0.24</v>
      </c>
      <c r="H467" t="str">
        <f>PROPER(TRIM(sales_data!C467))</f>
        <v>Charlie</v>
      </c>
      <c r="I467" t="str">
        <f>PROPER(TRIM(sales_data!D467))</f>
        <v>West</v>
      </c>
      <c r="J467" t="str">
        <f>PROPER(TRIM(sales_data!G467))</f>
        <v>Electronics</v>
      </c>
      <c r="K467" t="str">
        <f>PROPER(TRIM(sales_data!J467))</f>
        <v>Returning</v>
      </c>
      <c r="L467" t="str">
        <f>PROPER(TRIM(sales_data!L467))</f>
        <v>Cash</v>
      </c>
      <c r="M467" t="str">
        <f>PROPER(TRIM(sales_data!M467))</f>
        <v>Online</v>
      </c>
      <c r="N467">
        <f t="shared" si="29"/>
        <v>433.13999999999987</v>
      </c>
      <c r="O467">
        <f t="shared" si="30"/>
        <v>5197.6799999999985</v>
      </c>
      <c r="P467" t="str">
        <f t="shared" si="31"/>
        <v>Sep</v>
      </c>
    </row>
    <row r="468" spans="1:16" x14ac:dyDescent="0.25">
      <c r="A468">
        <v>1040</v>
      </c>
      <c r="B468" s="1">
        <v>44995</v>
      </c>
      <c r="C468">
        <f t="shared" si="28"/>
        <v>138044.02500000002</v>
      </c>
      <c r="D468">
        <v>42</v>
      </c>
      <c r="E468">
        <v>4205.29</v>
      </c>
      <c r="F468">
        <v>4382.3500000000004</v>
      </c>
      <c r="G468">
        <v>0.25</v>
      </c>
      <c r="H468" t="str">
        <f>PROPER(TRIM(sales_data!C468))</f>
        <v>Alice</v>
      </c>
      <c r="I468" t="str">
        <f>PROPER(TRIM(sales_data!D468))</f>
        <v>East</v>
      </c>
      <c r="J468" t="str">
        <f>PROPER(TRIM(sales_data!G468))</f>
        <v>Electronics</v>
      </c>
      <c r="K468" t="str">
        <f>PROPER(TRIM(sales_data!J468))</f>
        <v>New</v>
      </c>
      <c r="L468" t="str">
        <f>PROPER(TRIM(sales_data!L468))</f>
        <v>Cash</v>
      </c>
      <c r="M468" t="str">
        <f>PROPER(TRIM(sales_data!M468))</f>
        <v>Retail</v>
      </c>
      <c r="N468">
        <f t="shared" si="29"/>
        <v>177.0600000000004</v>
      </c>
      <c r="O468">
        <f t="shared" si="30"/>
        <v>7436.5200000000168</v>
      </c>
      <c r="P468" t="str">
        <f t="shared" si="31"/>
        <v>Mar</v>
      </c>
    </row>
    <row r="469" spans="1:16" x14ac:dyDescent="0.25">
      <c r="A469">
        <v>1052</v>
      </c>
      <c r="B469" s="1">
        <v>45238</v>
      </c>
      <c r="C469">
        <f t="shared" si="28"/>
        <v>54272.3004</v>
      </c>
      <c r="D469">
        <v>18</v>
      </c>
      <c r="E469">
        <v>3271.62</v>
      </c>
      <c r="F469">
        <v>3722.38</v>
      </c>
      <c r="G469">
        <v>0.19</v>
      </c>
      <c r="H469" t="str">
        <f>PROPER(TRIM(sales_data!C469))</f>
        <v>Charlie</v>
      </c>
      <c r="I469" t="str">
        <f>PROPER(TRIM(sales_data!D469))</f>
        <v>East</v>
      </c>
      <c r="J469" t="str">
        <f>PROPER(TRIM(sales_data!G469))</f>
        <v>Furniture</v>
      </c>
      <c r="K469" t="str">
        <f>PROPER(TRIM(sales_data!J469))</f>
        <v>Returning</v>
      </c>
      <c r="L469" t="str">
        <f>PROPER(TRIM(sales_data!L469))</f>
        <v>Bank Transfer</v>
      </c>
      <c r="M469" t="str">
        <f>PROPER(TRIM(sales_data!M469))</f>
        <v>Retail</v>
      </c>
      <c r="N469">
        <f t="shared" si="29"/>
        <v>450.76000000000022</v>
      </c>
      <c r="O469">
        <f t="shared" si="30"/>
        <v>8113.6800000000039</v>
      </c>
      <c r="P469" t="str">
        <f t="shared" si="31"/>
        <v>Nov</v>
      </c>
    </row>
    <row r="470" spans="1:16" x14ac:dyDescent="0.25">
      <c r="A470">
        <v>1016</v>
      </c>
      <c r="B470" s="1">
        <v>45215</v>
      </c>
      <c r="C470">
        <f t="shared" si="28"/>
        <v>35299.440000000002</v>
      </c>
      <c r="D470">
        <v>11</v>
      </c>
      <c r="E470">
        <v>3094.57</v>
      </c>
      <c r="F470">
        <v>3565.6</v>
      </c>
      <c r="G470">
        <v>0.1</v>
      </c>
      <c r="H470" t="str">
        <f>PROPER(TRIM(sales_data!C470))</f>
        <v>Eve</v>
      </c>
      <c r="I470" t="str">
        <f>PROPER(TRIM(sales_data!D470))</f>
        <v>West</v>
      </c>
      <c r="J470" t="str">
        <f>PROPER(TRIM(sales_data!G470))</f>
        <v>Electronics</v>
      </c>
      <c r="K470" t="str">
        <f>PROPER(TRIM(sales_data!J470))</f>
        <v>Returning</v>
      </c>
      <c r="L470" t="str">
        <f>PROPER(TRIM(sales_data!L470))</f>
        <v>Credit Card</v>
      </c>
      <c r="M470" t="str">
        <f>PROPER(TRIM(sales_data!M470))</f>
        <v>Retail</v>
      </c>
      <c r="N470">
        <f t="shared" si="29"/>
        <v>471.02999999999975</v>
      </c>
      <c r="O470">
        <f t="shared" si="30"/>
        <v>5181.3299999999972</v>
      </c>
      <c r="P470" t="str">
        <f t="shared" si="31"/>
        <v>Oct</v>
      </c>
    </row>
    <row r="471" spans="1:16" x14ac:dyDescent="0.25">
      <c r="A471">
        <v>1013</v>
      </c>
      <c r="B471" s="1">
        <v>45176</v>
      </c>
      <c r="C471">
        <f t="shared" si="28"/>
        <v>17314.207999999999</v>
      </c>
      <c r="D471">
        <v>16</v>
      </c>
      <c r="E471">
        <v>919.58</v>
      </c>
      <c r="F471">
        <v>1258.3</v>
      </c>
      <c r="G471">
        <v>0.14000000000000001</v>
      </c>
      <c r="H471" t="str">
        <f>PROPER(TRIM(sales_data!C471))</f>
        <v>Alice</v>
      </c>
      <c r="I471" t="str">
        <f>PROPER(TRIM(sales_data!D471))</f>
        <v>West</v>
      </c>
      <c r="J471" t="str">
        <f>PROPER(TRIM(sales_data!G471))</f>
        <v>Furniture</v>
      </c>
      <c r="K471" t="str">
        <f>PROPER(TRIM(sales_data!J471))</f>
        <v>Returning</v>
      </c>
      <c r="L471" t="str">
        <f>PROPER(TRIM(sales_data!L471))</f>
        <v>Bank Transfer</v>
      </c>
      <c r="M471" t="str">
        <f>PROPER(TRIM(sales_data!M471))</f>
        <v>Online</v>
      </c>
      <c r="N471">
        <f t="shared" si="29"/>
        <v>338.71999999999991</v>
      </c>
      <c r="O471">
        <f t="shared" si="30"/>
        <v>5419.5199999999986</v>
      </c>
      <c r="P471" t="str">
        <f t="shared" si="31"/>
        <v>Sep</v>
      </c>
    </row>
    <row r="472" spans="1:16" x14ac:dyDescent="0.25">
      <c r="A472">
        <v>1030</v>
      </c>
      <c r="B472" s="1">
        <v>44962</v>
      </c>
      <c r="C472">
        <f t="shared" si="28"/>
        <v>106091.6836</v>
      </c>
      <c r="D472">
        <v>49</v>
      </c>
      <c r="E472">
        <v>2590.29</v>
      </c>
      <c r="F472">
        <v>2925.86</v>
      </c>
      <c r="G472">
        <v>0.26</v>
      </c>
      <c r="H472" t="str">
        <f>PROPER(TRIM(sales_data!C472))</f>
        <v>David</v>
      </c>
      <c r="I472" t="str">
        <f>PROPER(TRIM(sales_data!D472))</f>
        <v>East</v>
      </c>
      <c r="J472" t="str">
        <f>PROPER(TRIM(sales_data!G472))</f>
        <v>Furniture</v>
      </c>
      <c r="K472" t="str">
        <f>PROPER(TRIM(sales_data!J472))</f>
        <v>Returning</v>
      </c>
      <c r="L472" t="str">
        <f>PROPER(TRIM(sales_data!L472))</f>
        <v>Cash</v>
      </c>
      <c r="M472" t="str">
        <f>PROPER(TRIM(sales_data!M472))</f>
        <v>Retail</v>
      </c>
      <c r="N472">
        <f t="shared" si="29"/>
        <v>335.57000000000016</v>
      </c>
      <c r="O472">
        <f t="shared" si="30"/>
        <v>16442.930000000008</v>
      </c>
      <c r="P472" t="str">
        <f t="shared" si="31"/>
        <v>Feb</v>
      </c>
    </row>
    <row r="473" spans="1:16" x14ac:dyDescent="0.25">
      <c r="A473">
        <v>1019</v>
      </c>
      <c r="B473" s="1">
        <v>45165</v>
      </c>
      <c r="C473">
        <f t="shared" si="28"/>
        <v>62620.576199999996</v>
      </c>
      <c r="D473">
        <v>18</v>
      </c>
      <c r="E473">
        <v>3591.14</v>
      </c>
      <c r="F473">
        <v>3822.99</v>
      </c>
      <c r="G473">
        <v>0.09</v>
      </c>
      <c r="H473" t="str">
        <f>PROPER(TRIM(sales_data!C473))</f>
        <v>Charlie</v>
      </c>
      <c r="I473" t="str">
        <f>PROPER(TRIM(sales_data!D473))</f>
        <v>North</v>
      </c>
      <c r="J473" t="str">
        <f>PROPER(TRIM(sales_data!G473))</f>
        <v>Food</v>
      </c>
      <c r="K473" t="str">
        <f>PROPER(TRIM(sales_data!J473))</f>
        <v>Returning</v>
      </c>
      <c r="L473" t="str">
        <f>PROPER(TRIM(sales_data!L473))</f>
        <v>Credit Card</v>
      </c>
      <c r="M473" t="str">
        <f>PROPER(TRIM(sales_data!M473))</f>
        <v>Online</v>
      </c>
      <c r="N473">
        <f t="shared" si="29"/>
        <v>231.84999999999991</v>
      </c>
      <c r="O473">
        <f t="shared" si="30"/>
        <v>4173.2999999999984</v>
      </c>
      <c r="P473" t="str">
        <f t="shared" si="31"/>
        <v>Aug</v>
      </c>
    </row>
    <row r="474" spans="1:16" x14ac:dyDescent="0.25">
      <c r="A474">
        <v>1017</v>
      </c>
      <c r="B474" s="1">
        <v>45074</v>
      </c>
      <c r="C474">
        <f t="shared" si="28"/>
        <v>133233.66</v>
      </c>
      <c r="D474">
        <v>35</v>
      </c>
      <c r="E474">
        <v>4867.6400000000003</v>
      </c>
      <c r="F474">
        <v>5287.05</v>
      </c>
      <c r="G474">
        <v>0.28000000000000003</v>
      </c>
      <c r="H474" t="str">
        <f>PROPER(TRIM(sales_data!C474))</f>
        <v>David</v>
      </c>
      <c r="I474" t="str">
        <f>PROPER(TRIM(sales_data!D474))</f>
        <v>East</v>
      </c>
      <c r="J474" t="str">
        <f>PROPER(TRIM(sales_data!G474))</f>
        <v>Electronics</v>
      </c>
      <c r="K474" t="str">
        <f>PROPER(TRIM(sales_data!J474))</f>
        <v>Returning</v>
      </c>
      <c r="L474" t="str">
        <f>PROPER(TRIM(sales_data!L474))</f>
        <v>Credit Card</v>
      </c>
      <c r="M474" t="str">
        <f>PROPER(TRIM(sales_data!M474))</f>
        <v>Online</v>
      </c>
      <c r="N474">
        <f t="shared" si="29"/>
        <v>419.40999999999985</v>
      </c>
      <c r="O474">
        <f t="shared" si="30"/>
        <v>14679.349999999995</v>
      </c>
      <c r="P474" t="str">
        <f t="shared" si="31"/>
        <v>May</v>
      </c>
    </row>
    <row r="475" spans="1:16" x14ac:dyDescent="0.25">
      <c r="A475">
        <v>1063</v>
      </c>
      <c r="B475" s="1">
        <v>45153</v>
      </c>
      <c r="C475">
        <f t="shared" si="28"/>
        <v>36950.667000000001</v>
      </c>
      <c r="D475">
        <v>26</v>
      </c>
      <c r="E475">
        <v>1046.96</v>
      </c>
      <c r="F475">
        <v>1528.15</v>
      </c>
      <c r="G475">
        <v>7.0000000000000007E-2</v>
      </c>
      <c r="H475" t="str">
        <f>PROPER(TRIM(sales_data!C475))</f>
        <v>Alice</v>
      </c>
      <c r="I475" t="str">
        <f>PROPER(TRIM(sales_data!D475))</f>
        <v>East</v>
      </c>
      <c r="J475" t="str">
        <f>PROPER(TRIM(sales_data!G475))</f>
        <v>Food</v>
      </c>
      <c r="K475" t="str">
        <f>PROPER(TRIM(sales_data!J475))</f>
        <v>New</v>
      </c>
      <c r="L475" t="str">
        <f>PROPER(TRIM(sales_data!L475))</f>
        <v>Credit Card</v>
      </c>
      <c r="M475" t="str">
        <f>PROPER(TRIM(sales_data!M475))</f>
        <v>Retail</v>
      </c>
      <c r="N475">
        <f t="shared" si="29"/>
        <v>481.19000000000005</v>
      </c>
      <c r="O475">
        <f t="shared" si="30"/>
        <v>12510.940000000002</v>
      </c>
      <c r="P475" t="str">
        <f t="shared" si="31"/>
        <v>Aug</v>
      </c>
    </row>
    <row r="476" spans="1:16" x14ac:dyDescent="0.25">
      <c r="A476">
        <v>1019</v>
      </c>
      <c r="B476" s="1">
        <v>45170</v>
      </c>
      <c r="C476">
        <f t="shared" si="28"/>
        <v>6078.1343999999999</v>
      </c>
      <c r="D476">
        <v>16</v>
      </c>
      <c r="E476">
        <v>97.24</v>
      </c>
      <c r="F476">
        <v>487.03</v>
      </c>
      <c r="G476">
        <v>0.22</v>
      </c>
      <c r="H476" t="str">
        <f>PROPER(TRIM(sales_data!C476))</f>
        <v>David</v>
      </c>
      <c r="I476" t="str">
        <f>PROPER(TRIM(sales_data!D476))</f>
        <v>West</v>
      </c>
      <c r="J476" t="str">
        <f>PROPER(TRIM(sales_data!G476))</f>
        <v>Clothing</v>
      </c>
      <c r="K476" t="str">
        <f>PROPER(TRIM(sales_data!J476))</f>
        <v>New</v>
      </c>
      <c r="L476" t="str">
        <f>PROPER(TRIM(sales_data!L476))</f>
        <v>Bank Transfer</v>
      </c>
      <c r="M476" t="str">
        <f>PROPER(TRIM(sales_data!M476))</f>
        <v>Retail</v>
      </c>
      <c r="N476">
        <f t="shared" si="29"/>
        <v>389.78999999999996</v>
      </c>
      <c r="O476">
        <f t="shared" si="30"/>
        <v>6236.6399999999994</v>
      </c>
      <c r="P476" t="str">
        <f t="shared" si="31"/>
        <v>Sep</v>
      </c>
    </row>
    <row r="477" spans="1:16" x14ac:dyDescent="0.25">
      <c r="A477">
        <v>1092</v>
      </c>
      <c r="B477" s="1">
        <v>45263</v>
      </c>
      <c r="C477">
        <f t="shared" si="28"/>
        <v>3584.2014000000008</v>
      </c>
      <c r="D477">
        <v>6</v>
      </c>
      <c r="E477">
        <v>422.74</v>
      </c>
      <c r="F477">
        <v>737.49</v>
      </c>
      <c r="G477">
        <v>0.19</v>
      </c>
      <c r="H477" t="str">
        <f>PROPER(TRIM(sales_data!C477))</f>
        <v>David</v>
      </c>
      <c r="I477" t="str">
        <f>PROPER(TRIM(sales_data!D477))</f>
        <v>East</v>
      </c>
      <c r="J477" t="str">
        <f>PROPER(TRIM(sales_data!G477))</f>
        <v>Clothing</v>
      </c>
      <c r="K477" t="str">
        <f>PROPER(TRIM(sales_data!J477))</f>
        <v>Returning</v>
      </c>
      <c r="L477" t="str">
        <f>PROPER(TRIM(sales_data!L477))</f>
        <v>Credit Card</v>
      </c>
      <c r="M477" t="str">
        <f>PROPER(TRIM(sales_data!M477))</f>
        <v>Retail</v>
      </c>
      <c r="N477">
        <f t="shared" si="29"/>
        <v>314.75</v>
      </c>
      <c r="O477">
        <f t="shared" si="30"/>
        <v>1888.5</v>
      </c>
      <c r="P477" t="str">
        <f t="shared" si="31"/>
        <v>Dec</v>
      </c>
    </row>
    <row r="478" spans="1:16" x14ac:dyDescent="0.25">
      <c r="A478">
        <v>1058</v>
      </c>
      <c r="B478" s="1">
        <v>45291</v>
      </c>
      <c r="C478">
        <f t="shared" si="28"/>
        <v>76114.896000000008</v>
      </c>
      <c r="D478">
        <v>44</v>
      </c>
      <c r="E478">
        <v>1910.47</v>
      </c>
      <c r="F478">
        <v>2217.8000000000002</v>
      </c>
      <c r="G478">
        <v>0.22</v>
      </c>
      <c r="H478" t="str">
        <f>PROPER(TRIM(sales_data!C478))</f>
        <v>Alice</v>
      </c>
      <c r="I478" t="str">
        <f>PROPER(TRIM(sales_data!D478))</f>
        <v>West</v>
      </c>
      <c r="J478" t="str">
        <f>PROPER(TRIM(sales_data!G478))</f>
        <v>Clothing</v>
      </c>
      <c r="K478" t="str">
        <f>PROPER(TRIM(sales_data!J478))</f>
        <v>New</v>
      </c>
      <c r="L478" t="str">
        <f>PROPER(TRIM(sales_data!L478))</f>
        <v>Bank Transfer</v>
      </c>
      <c r="M478" t="str">
        <f>PROPER(TRIM(sales_data!M478))</f>
        <v>Online</v>
      </c>
      <c r="N478">
        <f t="shared" si="29"/>
        <v>307.33000000000015</v>
      </c>
      <c r="O478">
        <f t="shared" si="30"/>
        <v>13522.520000000008</v>
      </c>
      <c r="P478" t="str">
        <f t="shared" si="31"/>
        <v>Dec</v>
      </c>
    </row>
    <row r="479" spans="1:16" x14ac:dyDescent="0.25">
      <c r="A479">
        <v>1055</v>
      </c>
      <c r="B479" s="1">
        <v>45127</v>
      </c>
      <c r="C479">
        <f t="shared" si="28"/>
        <v>169764.33539999998</v>
      </c>
      <c r="D479">
        <v>43</v>
      </c>
      <c r="E479">
        <v>4111.7</v>
      </c>
      <c r="F479">
        <v>4537.9399999999996</v>
      </c>
      <c r="G479">
        <v>0.13</v>
      </c>
      <c r="H479" t="str">
        <f>PROPER(TRIM(sales_data!C479))</f>
        <v>Eve</v>
      </c>
      <c r="I479" t="str">
        <f>PROPER(TRIM(sales_data!D479))</f>
        <v>West</v>
      </c>
      <c r="J479" t="str">
        <f>PROPER(TRIM(sales_data!G479))</f>
        <v>Furniture</v>
      </c>
      <c r="K479" t="str">
        <f>PROPER(TRIM(sales_data!J479))</f>
        <v>Returning</v>
      </c>
      <c r="L479" t="str">
        <f>PROPER(TRIM(sales_data!L479))</f>
        <v>Bank Transfer</v>
      </c>
      <c r="M479" t="str">
        <f>PROPER(TRIM(sales_data!M479))</f>
        <v>Online</v>
      </c>
      <c r="N479">
        <f t="shared" si="29"/>
        <v>426.23999999999978</v>
      </c>
      <c r="O479">
        <f t="shared" si="30"/>
        <v>18328.319999999992</v>
      </c>
      <c r="P479" t="str">
        <f t="shared" si="31"/>
        <v>Jul</v>
      </c>
    </row>
    <row r="480" spans="1:16" x14ac:dyDescent="0.25">
      <c r="A480">
        <v>1090</v>
      </c>
      <c r="B480" s="1">
        <v>45080</v>
      </c>
      <c r="C480">
        <f t="shared" si="28"/>
        <v>12200.673599999966</v>
      </c>
      <c r="D480">
        <v>47</v>
      </c>
      <c r="E480">
        <v>85.35</v>
      </c>
      <c r="F480">
        <v>360.539999999999</v>
      </c>
      <c r="G480">
        <v>0.28000000000000003</v>
      </c>
      <c r="H480" t="str">
        <f>PROPER(TRIM(sales_data!C480))</f>
        <v>David</v>
      </c>
      <c r="I480" t="str">
        <f>PROPER(TRIM(sales_data!D480))</f>
        <v>South</v>
      </c>
      <c r="J480" t="str">
        <f>PROPER(TRIM(sales_data!G480))</f>
        <v>Furniture</v>
      </c>
      <c r="K480" t="str">
        <f>PROPER(TRIM(sales_data!J480))</f>
        <v>New</v>
      </c>
      <c r="L480" t="str">
        <f>PROPER(TRIM(sales_data!L480))</f>
        <v>Cash</v>
      </c>
      <c r="M480" t="str">
        <f>PROPER(TRIM(sales_data!M480))</f>
        <v>Online</v>
      </c>
      <c r="N480">
        <f t="shared" si="29"/>
        <v>275.18999999999903</v>
      </c>
      <c r="O480">
        <f t="shared" si="30"/>
        <v>12933.929999999955</v>
      </c>
      <c r="P480" t="str">
        <f t="shared" si="31"/>
        <v>Jun</v>
      </c>
    </row>
    <row r="481" spans="1:16" x14ac:dyDescent="0.25">
      <c r="A481">
        <v>1090</v>
      </c>
      <c r="B481" s="1">
        <v>44999</v>
      </c>
      <c r="C481">
        <f t="shared" si="28"/>
        <v>103349.00970000001</v>
      </c>
      <c r="D481">
        <v>47</v>
      </c>
      <c r="E481">
        <v>2310.8200000000002</v>
      </c>
      <c r="F481">
        <v>2714.71</v>
      </c>
      <c r="G481">
        <v>0.19</v>
      </c>
      <c r="H481" t="str">
        <f>PROPER(TRIM(sales_data!C481))</f>
        <v>David</v>
      </c>
      <c r="I481" t="str">
        <f>PROPER(TRIM(sales_data!D481))</f>
        <v>East</v>
      </c>
      <c r="J481" t="str">
        <f>PROPER(TRIM(sales_data!G481))</f>
        <v>Furniture</v>
      </c>
      <c r="K481" t="str">
        <f>PROPER(TRIM(sales_data!J481))</f>
        <v>New</v>
      </c>
      <c r="L481" t="str">
        <f>PROPER(TRIM(sales_data!L481))</f>
        <v>Cash</v>
      </c>
      <c r="M481" t="str">
        <f>PROPER(TRIM(sales_data!M481))</f>
        <v>Retail</v>
      </c>
      <c r="N481">
        <f t="shared" si="29"/>
        <v>403.88999999999987</v>
      </c>
      <c r="O481">
        <f t="shared" si="30"/>
        <v>18982.829999999994</v>
      </c>
      <c r="P481" t="str">
        <f t="shared" si="31"/>
        <v>Mar</v>
      </c>
    </row>
    <row r="482" spans="1:16" x14ac:dyDescent="0.25">
      <c r="A482">
        <v>1062</v>
      </c>
      <c r="B482" s="1">
        <v>45127</v>
      </c>
      <c r="C482">
        <f t="shared" si="28"/>
        <v>84697.267200000002</v>
      </c>
      <c r="D482">
        <v>48</v>
      </c>
      <c r="E482">
        <v>1679.69</v>
      </c>
      <c r="F482">
        <v>1939.04</v>
      </c>
      <c r="G482">
        <v>0.09</v>
      </c>
      <c r="H482" t="str">
        <f>PROPER(TRIM(sales_data!C482))</f>
        <v>Eve</v>
      </c>
      <c r="I482" t="str">
        <f>PROPER(TRIM(sales_data!D482))</f>
        <v>North</v>
      </c>
      <c r="J482" t="str">
        <f>PROPER(TRIM(sales_data!G482))</f>
        <v>Electronics</v>
      </c>
      <c r="K482" t="str">
        <f>PROPER(TRIM(sales_data!J482))</f>
        <v>New</v>
      </c>
      <c r="L482" t="str">
        <f>PROPER(TRIM(sales_data!L482))</f>
        <v>Credit Card</v>
      </c>
      <c r="M482" t="str">
        <f>PROPER(TRIM(sales_data!M482))</f>
        <v>Online</v>
      </c>
      <c r="N482">
        <f t="shared" si="29"/>
        <v>259.34999999999991</v>
      </c>
      <c r="O482">
        <f t="shared" si="30"/>
        <v>12448.799999999996</v>
      </c>
      <c r="P482" t="str">
        <f t="shared" si="31"/>
        <v>Jul</v>
      </c>
    </row>
    <row r="483" spans="1:16" x14ac:dyDescent="0.25">
      <c r="A483">
        <v>1023</v>
      </c>
      <c r="B483" s="1">
        <v>45222</v>
      </c>
      <c r="C483">
        <f t="shared" si="28"/>
        <v>11919.927600000001</v>
      </c>
      <c r="D483">
        <v>42</v>
      </c>
      <c r="E483">
        <v>309.77999999999997</v>
      </c>
      <c r="F483">
        <v>350.38</v>
      </c>
      <c r="G483">
        <v>0.19</v>
      </c>
      <c r="H483" t="str">
        <f>PROPER(TRIM(sales_data!C483))</f>
        <v>David</v>
      </c>
      <c r="I483" t="str">
        <f>PROPER(TRIM(sales_data!D483))</f>
        <v>South</v>
      </c>
      <c r="J483" t="str">
        <f>PROPER(TRIM(sales_data!G483))</f>
        <v>Food</v>
      </c>
      <c r="K483" t="str">
        <f>PROPER(TRIM(sales_data!J483))</f>
        <v>Returning</v>
      </c>
      <c r="L483" t="str">
        <f>PROPER(TRIM(sales_data!L483))</f>
        <v>Credit Card</v>
      </c>
      <c r="M483" t="str">
        <f>PROPER(TRIM(sales_data!M483))</f>
        <v>Retail</v>
      </c>
      <c r="N483">
        <f t="shared" si="29"/>
        <v>40.600000000000023</v>
      </c>
      <c r="O483">
        <f t="shared" si="30"/>
        <v>1705.200000000001</v>
      </c>
      <c r="P483" t="str">
        <f t="shared" si="31"/>
        <v>Oct</v>
      </c>
    </row>
    <row r="484" spans="1:16" x14ac:dyDescent="0.25">
      <c r="A484">
        <v>1009</v>
      </c>
      <c r="B484" s="1">
        <v>44943</v>
      </c>
      <c r="C484">
        <f t="shared" si="28"/>
        <v>27046.656000000003</v>
      </c>
      <c r="D484">
        <v>12</v>
      </c>
      <c r="E484">
        <v>2278.67</v>
      </c>
      <c r="F484">
        <v>2476.8000000000002</v>
      </c>
      <c r="G484">
        <v>0.09</v>
      </c>
      <c r="H484" t="str">
        <f>PROPER(TRIM(sales_data!C484))</f>
        <v>David</v>
      </c>
      <c r="I484" t="str">
        <f>PROPER(TRIM(sales_data!D484))</f>
        <v>West</v>
      </c>
      <c r="J484" t="str">
        <f>PROPER(TRIM(sales_data!G484))</f>
        <v>Furniture</v>
      </c>
      <c r="K484" t="str">
        <f>PROPER(TRIM(sales_data!J484))</f>
        <v>New</v>
      </c>
      <c r="L484" t="str">
        <f>PROPER(TRIM(sales_data!L484))</f>
        <v>Cash</v>
      </c>
      <c r="M484" t="str">
        <f>PROPER(TRIM(sales_data!M484))</f>
        <v>Retail</v>
      </c>
      <c r="N484">
        <f t="shared" si="29"/>
        <v>198.13000000000011</v>
      </c>
      <c r="O484">
        <f t="shared" si="30"/>
        <v>2377.5600000000013</v>
      </c>
      <c r="P484" t="str">
        <f t="shared" si="31"/>
        <v>Jan</v>
      </c>
    </row>
    <row r="485" spans="1:16" x14ac:dyDescent="0.25">
      <c r="A485">
        <v>1012</v>
      </c>
      <c r="B485" s="1">
        <v>45055</v>
      </c>
      <c r="C485">
        <f t="shared" si="28"/>
        <v>18203.885700000003</v>
      </c>
      <c r="D485">
        <v>13</v>
      </c>
      <c r="E485">
        <v>1311.01</v>
      </c>
      <c r="F485">
        <v>1538.79</v>
      </c>
      <c r="G485">
        <v>0.09</v>
      </c>
      <c r="H485" t="str">
        <f>PROPER(TRIM(sales_data!C485))</f>
        <v>David</v>
      </c>
      <c r="I485" t="str">
        <f>PROPER(TRIM(sales_data!D485))</f>
        <v>West</v>
      </c>
      <c r="J485" t="str">
        <f>PROPER(TRIM(sales_data!G485))</f>
        <v>Food</v>
      </c>
      <c r="K485" t="str">
        <f>PROPER(TRIM(sales_data!J485))</f>
        <v>Returning</v>
      </c>
      <c r="L485" t="str">
        <f>PROPER(TRIM(sales_data!L485))</f>
        <v>Bank Transfer</v>
      </c>
      <c r="M485" t="str">
        <f>PROPER(TRIM(sales_data!M485))</f>
        <v>Retail</v>
      </c>
      <c r="N485">
        <f t="shared" si="29"/>
        <v>227.77999999999997</v>
      </c>
      <c r="O485">
        <f t="shared" si="30"/>
        <v>2961.1399999999994</v>
      </c>
      <c r="P485" t="str">
        <f t="shared" si="31"/>
        <v>May</v>
      </c>
    </row>
    <row r="486" spans="1:16" x14ac:dyDescent="0.25">
      <c r="A486">
        <v>1001</v>
      </c>
      <c r="B486" s="1">
        <v>45143</v>
      </c>
      <c r="C486">
        <f t="shared" si="28"/>
        <v>6586.6944000000003</v>
      </c>
      <c r="D486">
        <v>4</v>
      </c>
      <c r="E486">
        <v>1791.83</v>
      </c>
      <c r="F486">
        <v>1871.22</v>
      </c>
      <c r="G486">
        <v>0.12</v>
      </c>
      <c r="H486" t="str">
        <f>PROPER(TRIM(sales_data!C486))</f>
        <v>Bob</v>
      </c>
      <c r="I486" t="str">
        <f>PROPER(TRIM(sales_data!D486))</f>
        <v>North</v>
      </c>
      <c r="J486" t="str">
        <f>PROPER(TRIM(sales_data!G486))</f>
        <v>Food</v>
      </c>
      <c r="K486" t="str">
        <f>PROPER(TRIM(sales_data!J486))</f>
        <v>Returning</v>
      </c>
      <c r="L486" t="str">
        <f>PROPER(TRIM(sales_data!L486))</f>
        <v>Bank Transfer</v>
      </c>
      <c r="M486" t="str">
        <f>PROPER(TRIM(sales_data!M486))</f>
        <v>Online</v>
      </c>
      <c r="N486">
        <f t="shared" si="29"/>
        <v>79.3900000000001</v>
      </c>
      <c r="O486">
        <f t="shared" si="30"/>
        <v>317.5600000000004</v>
      </c>
      <c r="P486" t="str">
        <f t="shared" si="31"/>
        <v>Aug</v>
      </c>
    </row>
    <row r="487" spans="1:16" x14ac:dyDescent="0.25">
      <c r="A487">
        <v>1058</v>
      </c>
      <c r="B487" s="1">
        <v>44987</v>
      </c>
      <c r="C487">
        <f t="shared" si="28"/>
        <v>103983.1572</v>
      </c>
      <c r="D487">
        <v>39</v>
      </c>
      <c r="E487">
        <v>3542.8</v>
      </c>
      <c r="F487">
        <v>3603.02</v>
      </c>
      <c r="G487">
        <v>0.26</v>
      </c>
      <c r="H487" t="str">
        <f>PROPER(TRIM(sales_data!C487))</f>
        <v>Eve</v>
      </c>
      <c r="I487" t="str">
        <f>PROPER(TRIM(sales_data!D487))</f>
        <v>West</v>
      </c>
      <c r="J487" t="str">
        <f>PROPER(TRIM(sales_data!G487))</f>
        <v>Food</v>
      </c>
      <c r="K487" t="str">
        <f>PROPER(TRIM(sales_data!J487))</f>
        <v>Returning</v>
      </c>
      <c r="L487" t="str">
        <f>PROPER(TRIM(sales_data!L487))</f>
        <v>Cash</v>
      </c>
      <c r="M487" t="str">
        <f>PROPER(TRIM(sales_data!M487))</f>
        <v>Online</v>
      </c>
      <c r="N487">
        <f t="shared" si="29"/>
        <v>60.2199999999998</v>
      </c>
      <c r="O487">
        <f t="shared" si="30"/>
        <v>2348.5799999999922</v>
      </c>
      <c r="P487" t="str">
        <f t="shared" si="31"/>
        <v>Mar</v>
      </c>
    </row>
    <row r="488" spans="1:16" x14ac:dyDescent="0.25">
      <c r="A488">
        <v>1001</v>
      </c>
      <c r="B488" s="1">
        <v>45030</v>
      </c>
      <c r="C488">
        <f t="shared" si="28"/>
        <v>4936.902</v>
      </c>
      <c r="D488">
        <v>2</v>
      </c>
      <c r="E488">
        <v>2631.68</v>
      </c>
      <c r="F488">
        <v>2904.06</v>
      </c>
      <c r="G488">
        <v>0.15</v>
      </c>
      <c r="H488" t="str">
        <f>PROPER(TRIM(sales_data!C488))</f>
        <v>David</v>
      </c>
      <c r="I488" t="str">
        <f>PROPER(TRIM(sales_data!D488))</f>
        <v>East</v>
      </c>
      <c r="J488" t="str">
        <f>PROPER(TRIM(sales_data!G488))</f>
        <v>Electronics</v>
      </c>
      <c r="K488" t="str">
        <f>PROPER(TRIM(sales_data!J488))</f>
        <v>New</v>
      </c>
      <c r="L488" t="str">
        <f>PROPER(TRIM(sales_data!L488))</f>
        <v>Bank Transfer</v>
      </c>
      <c r="M488" t="str">
        <f>PROPER(TRIM(sales_data!M488))</f>
        <v>Online</v>
      </c>
      <c r="N488">
        <f t="shared" si="29"/>
        <v>272.38000000000011</v>
      </c>
      <c r="O488">
        <f t="shared" si="30"/>
        <v>544.76000000000022</v>
      </c>
      <c r="P488" t="str">
        <f t="shared" si="31"/>
        <v>Apr</v>
      </c>
    </row>
    <row r="489" spans="1:16" x14ac:dyDescent="0.25">
      <c r="A489">
        <v>1034</v>
      </c>
      <c r="B489" s="1">
        <v>44968</v>
      </c>
      <c r="C489">
        <f t="shared" si="28"/>
        <v>14949.376000000002</v>
      </c>
      <c r="D489">
        <v>26</v>
      </c>
      <c r="E489">
        <v>667</v>
      </c>
      <c r="F489">
        <v>718.72</v>
      </c>
      <c r="G489">
        <v>0.2</v>
      </c>
      <c r="H489" t="str">
        <f>PROPER(TRIM(sales_data!C489))</f>
        <v>Eve</v>
      </c>
      <c r="I489" t="str">
        <f>PROPER(TRIM(sales_data!D489))</f>
        <v>South</v>
      </c>
      <c r="J489" t="str">
        <f>PROPER(TRIM(sales_data!G489))</f>
        <v>Electronics</v>
      </c>
      <c r="K489" t="str">
        <f>PROPER(TRIM(sales_data!J489))</f>
        <v>New</v>
      </c>
      <c r="L489" t="str">
        <f>PROPER(TRIM(sales_data!L489))</f>
        <v>Cash</v>
      </c>
      <c r="M489" t="str">
        <f>PROPER(TRIM(sales_data!M489))</f>
        <v>Retail</v>
      </c>
      <c r="N489">
        <f t="shared" si="29"/>
        <v>51.720000000000027</v>
      </c>
      <c r="O489">
        <f t="shared" si="30"/>
        <v>1344.7200000000007</v>
      </c>
      <c r="P489" t="str">
        <f t="shared" si="31"/>
        <v>Feb</v>
      </c>
    </row>
    <row r="490" spans="1:16" x14ac:dyDescent="0.25">
      <c r="A490">
        <v>1096</v>
      </c>
      <c r="B490" s="1">
        <v>44951</v>
      </c>
      <c r="C490">
        <f t="shared" si="28"/>
        <v>118026.37439999999</v>
      </c>
      <c r="D490">
        <v>27</v>
      </c>
      <c r="E490">
        <v>4809</v>
      </c>
      <c r="F490">
        <v>4967.4399999999996</v>
      </c>
      <c r="G490">
        <v>0.12</v>
      </c>
      <c r="H490" t="str">
        <f>PROPER(TRIM(sales_data!C490))</f>
        <v>Charlie</v>
      </c>
      <c r="I490" t="str">
        <f>PROPER(TRIM(sales_data!D490))</f>
        <v>West</v>
      </c>
      <c r="J490" t="str">
        <f>PROPER(TRIM(sales_data!G490))</f>
        <v>Clothing</v>
      </c>
      <c r="K490" t="str">
        <f>PROPER(TRIM(sales_data!J490))</f>
        <v>New</v>
      </c>
      <c r="L490" t="str">
        <f>PROPER(TRIM(sales_data!L490))</f>
        <v>Cash</v>
      </c>
      <c r="M490" t="str">
        <f>PROPER(TRIM(sales_data!M490))</f>
        <v>Online</v>
      </c>
      <c r="N490">
        <f t="shared" si="29"/>
        <v>158.4399999999996</v>
      </c>
      <c r="O490">
        <f t="shared" si="30"/>
        <v>4277.8799999999892</v>
      </c>
      <c r="P490" t="str">
        <f t="shared" si="31"/>
        <v>Jan</v>
      </c>
    </row>
    <row r="491" spans="1:16" x14ac:dyDescent="0.25">
      <c r="A491">
        <v>1048</v>
      </c>
      <c r="B491" s="1">
        <v>44965</v>
      </c>
      <c r="C491">
        <f t="shared" si="28"/>
        <v>88743.632400000002</v>
      </c>
      <c r="D491">
        <v>27</v>
      </c>
      <c r="E491">
        <v>3197.76</v>
      </c>
      <c r="F491">
        <v>3572.61</v>
      </c>
      <c r="G491">
        <v>0.08</v>
      </c>
      <c r="H491" t="str">
        <f>PROPER(TRIM(sales_data!C491))</f>
        <v>Charlie</v>
      </c>
      <c r="I491" t="str">
        <f>PROPER(TRIM(sales_data!D491))</f>
        <v>West</v>
      </c>
      <c r="J491" t="str">
        <f>PROPER(TRIM(sales_data!G491))</f>
        <v>Clothing</v>
      </c>
      <c r="K491" t="str">
        <f>PROPER(TRIM(sales_data!J491))</f>
        <v>Returning</v>
      </c>
      <c r="L491" t="str">
        <f>PROPER(TRIM(sales_data!L491))</f>
        <v>Credit Card</v>
      </c>
      <c r="M491" t="str">
        <f>PROPER(TRIM(sales_data!M491))</f>
        <v>Online</v>
      </c>
      <c r="N491">
        <f t="shared" si="29"/>
        <v>374.84999999999991</v>
      </c>
      <c r="O491">
        <f t="shared" si="30"/>
        <v>10120.949999999997</v>
      </c>
      <c r="P491" t="str">
        <f t="shared" si="31"/>
        <v>Feb</v>
      </c>
    </row>
    <row r="492" spans="1:16" x14ac:dyDescent="0.25">
      <c r="A492">
        <v>1089</v>
      </c>
      <c r="B492" s="1">
        <v>45217</v>
      </c>
      <c r="C492">
        <f t="shared" si="28"/>
        <v>46046.552999999993</v>
      </c>
      <c r="D492">
        <v>15</v>
      </c>
      <c r="E492">
        <v>3841.05</v>
      </c>
      <c r="F492">
        <v>4323.62</v>
      </c>
      <c r="G492">
        <v>0.28999999999999998</v>
      </c>
      <c r="H492" t="str">
        <f>PROPER(TRIM(sales_data!C492))</f>
        <v>David</v>
      </c>
      <c r="I492" t="str">
        <f>PROPER(TRIM(sales_data!D492))</f>
        <v>North</v>
      </c>
      <c r="J492" t="str">
        <f>PROPER(TRIM(sales_data!G492))</f>
        <v>Food</v>
      </c>
      <c r="K492" t="str">
        <f>PROPER(TRIM(sales_data!J492))</f>
        <v>Returning</v>
      </c>
      <c r="L492" t="str">
        <f>PROPER(TRIM(sales_data!L492))</f>
        <v>Credit Card</v>
      </c>
      <c r="M492" t="str">
        <f>PROPER(TRIM(sales_data!M492))</f>
        <v>Retail</v>
      </c>
      <c r="N492">
        <f t="shared" si="29"/>
        <v>482.56999999999971</v>
      </c>
      <c r="O492">
        <f t="shared" si="30"/>
        <v>7238.5499999999956</v>
      </c>
      <c r="P492" t="str">
        <f t="shared" si="31"/>
        <v>Oct</v>
      </c>
    </row>
    <row r="493" spans="1:16" x14ac:dyDescent="0.25">
      <c r="A493">
        <v>1001</v>
      </c>
      <c r="B493" s="1">
        <v>45057</v>
      </c>
      <c r="C493">
        <f t="shared" si="28"/>
        <v>5273.3872000000001</v>
      </c>
      <c r="D493">
        <v>8</v>
      </c>
      <c r="E493">
        <v>442.11</v>
      </c>
      <c r="F493">
        <v>803.87</v>
      </c>
      <c r="G493">
        <v>0.18</v>
      </c>
      <c r="H493" t="str">
        <f>PROPER(TRIM(sales_data!C493))</f>
        <v>Eve</v>
      </c>
      <c r="I493" t="str">
        <f>PROPER(TRIM(sales_data!D493))</f>
        <v>East</v>
      </c>
      <c r="J493" t="str">
        <f>PROPER(TRIM(sales_data!G493))</f>
        <v>Clothing</v>
      </c>
      <c r="K493" t="str">
        <f>PROPER(TRIM(sales_data!J493))</f>
        <v>New</v>
      </c>
      <c r="L493" t="str">
        <f>PROPER(TRIM(sales_data!L493))</f>
        <v>Cash</v>
      </c>
      <c r="M493" t="str">
        <f>PROPER(TRIM(sales_data!M493))</f>
        <v>Retail</v>
      </c>
      <c r="N493">
        <f t="shared" si="29"/>
        <v>361.76</v>
      </c>
      <c r="O493">
        <f t="shared" si="30"/>
        <v>2894.08</v>
      </c>
      <c r="P493" t="str">
        <f t="shared" si="31"/>
        <v>May</v>
      </c>
    </row>
    <row r="494" spans="1:16" x14ac:dyDescent="0.25">
      <c r="A494">
        <v>1016</v>
      </c>
      <c r="B494" s="1">
        <v>45155</v>
      </c>
      <c r="C494">
        <f t="shared" si="28"/>
        <v>3927.8231999999948</v>
      </c>
      <c r="D494">
        <v>7</v>
      </c>
      <c r="E494">
        <v>282.94</v>
      </c>
      <c r="F494">
        <v>779.32999999999902</v>
      </c>
      <c r="G494">
        <v>0.28000000000000003</v>
      </c>
      <c r="H494" t="str">
        <f>PROPER(TRIM(sales_data!C494))</f>
        <v>Eve</v>
      </c>
      <c r="I494" t="str">
        <f>PROPER(TRIM(sales_data!D494))</f>
        <v>West</v>
      </c>
      <c r="J494" t="str">
        <f>PROPER(TRIM(sales_data!G494))</f>
        <v>Food</v>
      </c>
      <c r="K494" t="str">
        <f>PROPER(TRIM(sales_data!J494))</f>
        <v>Returning</v>
      </c>
      <c r="L494" t="str">
        <f>PROPER(TRIM(sales_data!L494))</f>
        <v>Credit Card</v>
      </c>
      <c r="M494" t="str">
        <f>PROPER(TRIM(sales_data!M494))</f>
        <v>Online</v>
      </c>
      <c r="N494">
        <f t="shared" si="29"/>
        <v>496.38999999999902</v>
      </c>
      <c r="O494">
        <f t="shared" si="30"/>
        <v>3474.7299999999932</v>
      </c>
      <c r="P494" t="str">
        <f t="shared" si="31"/>
        <v>Aug</v>
      </c>
    </row>
    <row r="495" spans="1:16" x14ac:dyDescent="0.25">
      <c r="A495">
        <v>1061</v>
      </c>
      <c r="B495" s="1">
        <v>45034</v>
      </c>
      <c r="C495">
        <f t="shared" si="28"/>
        <v>22021.962799999998</v>
      </c>
      <c r="D495">
        <v>47</v>
      </c>
      <c r="E495">
        <v>146.27000000000001</v>
      </c>
      <c r="F495">
        <v>498.46</v>
      </c>
      <c r="G495">
        <v>0.06</v>
      </c>
      <c r="H495" t="str">
        <f>PROPER(TRIM(sales_data!C495))</f>
        <v>Eve</v>
      </c>
      <c r="I495" t="str">
        <f>PROPER(TRIM(sales_data!D495))</f>
        <v>North</v>
      </c>
      <c r="J495" t="str">
        <f>PROPER(TRIM(sales_data!G495))</f>
        <v>Electronics</v>
      </c>
      <c r="K495" t="str">
        <f>PROPER(TRIM(sales_data!J495))</f>
        <v>New</v>
      </c>
      <c r="L495" t="str">
        <f>PROPER(TRIM(sales_data!L495))</f>
        <v>Cash</v>
      </c>
      <c r="M495" t="str">
        <f>PROPER(TRIM(sales_data!M495))</f>
        <v>Retail</v>
      </c>
      <c r="N495">
        <f t="shared" si="29"/>
        <v>352.18999999999994</v>
      </c>
      <c r="O495">
        <f t="shared" si="30"/>
        <v>16552.929999999997</v>
      </c>
      <c r="P495" t="str">
        <f t="shared" si="31"/>
        <v>Apr</v>
      </c>
    </row>
    <row r="496" spans="1:16" x14ac:dyDescent="0.25">
      <c r="A496">
        <v>1064</v>
      </c>
      <c r="B496" s="1">
        <v>45098</v>
      </c>
      <c r="C496">
        <f t="shared" si="28"/>
        <v>50275.718399999998</v>
      </c>
      <c r="D496">
        <v>46</v>
      </c>
      <c r="E496">
        <v>984.53</v>
      </c>
      <c r="F496">
        <v>1138.49</v>
      </c>
      <c r="G496">
        <v>0.04</v>
      </c>
      <c r="H496" t="str">
        <f>PROPER(TRIM(sales_data!C496))</f>
        <v>Bob</v>
      </c>
      <c r="I496" t="str">
        <f>PROPER(TRIM(sales_data!D496))</f>
        <v>West</v>
      </c>
      <c r="J496" t="str">
        <f>PROPER(TRIM(sales_data!G496))</f>
        <v>Electronics</v>
      </c>
      <c r="K496" t="str">
        <f>PROPER(TRIM(sales_data!J496))</f>
        <v>New</v>
      </c>
      <c r="L496" t="str">
        <f>PROPER(TRIM(sales_data!L496))</f>
        <v>Bank Transfer</v>
      </c>
      <c r="M496" t="str">
        <f>PROPER(TRIM(sales_data!M496))</f>
        <v>Online</v>
      </c>
      <c r="N496">
        <f t="shared" si="29"/>
        <v>153.96000000000004</v>
      </c>
      <c r="O496">
        <f t="shared" si="30"/>
        <v>7082.1600000000017</v>
      </c>
      <c r="P496" t="str">
        <f t="shared" si="31"/>
        <v>Jun</v>
      </c>
    </row>
    <row r="497" spans="1:16" x14ac:dyDescent="0.25">
      <c r="A497">
        <v>1063</v>
      </c>
      <c r="B497" s="1">
        <v>45028</v>
      </c>
      <c r="C497">
        <f t="shared" si="28"/>
        <v>72242.648000000001</v>
      </c>
      <c r="D497">
        <v>40</v>
      </c>
      <c r="E497">
        <v>2101.3200000000002</v>
      </c>
      <c r="F497">
        <v>2440.63</v>
      </c>
      <c r="G497">
        <v>0.26</v>
      </c>
      <c r="H497" t="str">
        <f>PROPER(TRIM(sales_data!C497))</f>
        <v>Charlie</v>
      </c>
      <c r="I497" t="str">
        <f>PROPER(TRIM(sales_data!D497))</f>
        <v>North</v>
      </c>
      <c r="J497" t="str">
        <f>PROPER(TRIM(sales_data!G497))</f>
        <v>Electronics</v>
      </c>
      <c r="K497" t="str">
        <f>PROPER(TRIM(sales_data!J497))</f>
        <v>New</v>
      </c>
      <c r="L497" t="str">
        <f>PROPER(TRIM(sales_data!L497))</f>
        <v>Bank Transfer</v>
      </c>
      <c r="M497" t="str">
        <f>PROPER(TRIM(sales_data!M497))</f>
        <v>Retail</v>
      </c>
      <c r="N497">
        <f t="shared" si="29"/>
        <v>339.30999999999995</v>
      </c>
      <c r="O497">
        <f t="shared" si="30"/>
        <v>13572.399999999998</v>
      </c>
      <c r="P497" t="str">
        <f t="shared" si="31"/>
        <v>Apr</v>
      </c>
    </row>
    <row r="498" spans="1:16" x14ac:dyDescent="0.25">
      <c r="A498">
        <v>1069</v>
      </c>
      <c r="B498" s="1">
        <v>45280</v>
      </c>
      <c r="C498">
        <f t="shared" si="28"/>
        <v>48349.440000000002</v>
      </c>
      <c r="D498">
        <v>12</v>
      </c>
      <c r="E498">
        <v>4682.34</v>
      </c>
      <c r="F498">
        <v>5036.3999999999996</v>
      </c>
      <c r="G498">
        <v>0.2</v>
      </c>
      <c r="H498" t="str">
        <f>PROPER(TRIM(sales_data!C498))</f>
        <v>Eve</v>
      </c>
      <c r="I498" t="str">
        <f>PROPER(TRIM(sales_data!D498))</f>
        <v>North</v>
      </c>
      <c r="J498" t="str">
        <f>PROPER(TRIM(sales_data!G498))</f>
        <v>Furniture</v>
      </c>
      <c r="K498" t="str">
        <f>PROPER(TRIM(sales_data!J498))</f>
        <v>New</v>
      </c>
      <c r="L498" t="str">
        <f>PROPER(TRIM(sales_data!L498))</f>
        <v>Bank Transfer</v>
      </c>
      <c r="M498" t="str">
        <f>PROPER(TRIM(sales_data!M498))</f>
        <v>Retail</v>
      </c>
      <c r="N498">
        <f t="shared" si="29"/>
        <v>354.05999999999949</v>
      </c>
      <c r="O498">
        <f t="shared" si="30"/>
        <v>4248.7199999999939</v>
      </c>
      <c r="P498" t="str">
        <f t="shared" si="31"/>
        <v>Dec</v>
      </c>
    </row>
    <row r="499" spans="1:16" x14ac:dyDescent="0.25">
      <c r="A499">
        <v>1022</v>
      </c>
      <c r="B499" s="1">
        <v>44938</v>
      </c>
      <c r="C499">
        <f t="shared" si="28"/>
        <v>30606.211999999996</v>
      </c>
      <c r="D499">
        <v>13</v>
      </c>
      <c r="E499">
        <v>2312.4499999999998</v>
      </c>
      <c r="F499">
        <v>2504.6</v>
      </c>
      <c r="G499">
        <v>0.06</v>
      </c>
      <c r="H499" t="str">
        <f>PROPER(TRIM(sales_data!C499))</f>
        <v>Eve</v>
      </c>
      <c r="I499" t="str">
        <f>PROPER(TRIM(sales_data!D499))</f>
        <v>East</v>
      </c>
      <c r="J499" t="str">
        <f>PROPER(TRIM(sales_data!G499))</f>
        <v>Food</v>
      </c>
      <c r="K499" t="str">
        <f>PROPER(TRIM(sales_data!J499))</f>
        <v>Returning</v>
      </c>
      <c r="L499" t="str">
        <f>PROPER(TRIM(sales_data!L499))</f>
        <v>Bank Transfer</v>
      </c>
      <c r="M499" t="str">
        <f>PROPER(TRIM(sales_data!M499))</f>
        <v>Online</v>
      </c>
      <c r="N499">
        <f t="shared" si="29"/>
        <v>192.15000000000009</v>
      </c>
      <c r="O499">
        <f t="shared" si="30"/>
        <v>2497.9500000000012</v>
      </c>
      <c r="P499" t="str">
        <f t="shared" si="31"/>
        <v>Jan</v>
      </c>
    </row>
    <row r="500" spans="1:16" x14ac:dyDescent="0.25">
      <c r="A500">
        <v>1093</v>
      </c>
      <c r="B500" s="1">
        <v>45201</v>
      </c>
      <c r="C500">
        <f t="shared" si="28"/>
        <v>59555.20640000001</v>
      </c>
      <c r="D500">
        <v>43</v>
      </c>
      <c r="E500">
        <v>1486.76</v>
      </c>
      <c r="F500">
        <v>1505.44</v>
      </c>
      <c r="G500">
        <v>0.08</v>
      </c>
      <c r="H500" t="str">
        <f>PROPER(TRIM(sales_data!C500))</f>
        <v>Bob</v>
      </c>
      <c r="I500" t="str">
        <f>PROPER(TRIM(sales_data!D500))</f>
        <v>West</v>
      </c>
      <c r="J500" t="str">
        <f>PROPER(TRIM(sales_data!G500))</f>
        <v>Electronics</v>
      </c>
      <c r="K500" t="str">
        <f>PROPER(TRIM(sales_data!J500))</f>
        <v>New</v>
      </c>
      <c r="L500" t="str">
        <f>PROPER(TRIM(sales_data!L500))</f>
        <v>Cash</v>
      </c>
      <c r="M500" t="str">
        <f>PROPER(TRIM(sales_data!M500))</f>
        <v>Retail</v>
      </c>
      <c r="N500">
        <f t="shared" si="29"/>
        <v>18.680000000000064</v>
      </c>
      <c r="O500">
        <f t="shared" si="30"/>
        <v>803.24000000000274</v>
      </c>
      <c r="P500" t="str">
        <f t="shared" si="31"/>
        <v>Oct</v>
      </c>
    </row>
    <row r="501" spans="1:16" x14ac:dyDescent="0.25">
      <c r="A501">
        <v>1067</v>
      </c>
      <c r="B501" s="1">
        <v>45027</v>
      </c>
      <c r="C501">
        <f t="shared" si="28"/>
        <v>41165.058000000005</v>
      </c>
      <c r="D501">
        <v>17</v>
      </c>
      <c r="E501">
        <v>2831.58</v>
      </c>
      <c r="F501">
        <v>3186.15</v>
      </c>
      <c r="G501">
        <v>0.24</v>
      </c>
      <c r="H501" t="str">
        <f>PROPER(TRIM(sales_data!C501))</f>
        <v>Bob</v>
      </c>
      <c r="I501" t="str">
        <f>PROPER(TRIM(sales_data!D501))</f>
        <v>East</v>
      </c>
      <c r="J501" t="str">
        <f>PROPER(TRIM(sales_data!G501))</f>
        <v>Food</v>
      </c>
      <c r="K501" t="str">
        <f>PROPER(TRIM(sales_data!J501))</f>
        <v>New</v>
      </c>
      <c r="L501" t="str">
        <f>PROPER(TRIM(sales_data!L501))</f>
        <v>Bank Transfer</v>
      </c>
      <c r="M501" t="str">
        <f>PROPER(TRIM(sales_data!M501))</f>
        <v>Retail</v>
      </c>
      <c r="N501">
        <f t="shared" si="29"/>
        <v>354.57000000000016</v>
      </c>
      <c r="O501">
        <f t="shared" si="30"/>
        <v>6027.6900000000023</v>
      </c>
      <c r="P501" t="str">
        <f t="shared" si="31"/>
        <v>Apr</v>
      </c>
    </row>
    <row r="502" spans="1:16" x14ac:dyDescent="0.25">
      <c r="A502">
        <v>1076</v>
      </c>
      <c r="B502" s="1">
        <v>44970</v>
      </c>
      <c r="C502">
        <f t="shared" si="28"/>
        <v>9133.2601999999988</v>
      </c>
      <c r="D502">
        <v>17</v>
      </c>
      <c r="E502">
        <v>604.08000000000004</v>
      </c>
      <c r="F502">
        <v>624.71</v>
      </c>
      <c r="G502">
        <v>0.14000000000000001</v>
      </c>
      <c r="H502" t="str">
        <f>PROPER(TRIM(sales_data!C502))</f>
        <v>Eve</v>
      </c>
      <c r="I502" t="str">
        <f>PROPER(TRIM(sales_data!D502))</f>
        <v>North</v>
      </c>
      <c r="J502" t="str">
        <f>PROPER(TRIM(sales_data!G502))</f>
        <v>Clothing</v>
      </c>
      <c r="K502" t="str">
        <f>PROPER(TRIM(sales_data!J502))</f>
        <v>New</v>
      </c>
      <c r="L502" t="str">
        <f>PROPER(TRIM(sales_data!L502))</f>
        <v>Bank Transfer</v>
      </c>
      <c r="M502" t="str">
        <f>PROPER(TRIM(sales_data!M502))</f>
        <v>Retail</v>
      </c>
      <c r="N502">
        <f t="shared" si="29"/>
        <v>20.629999999999995</v>
      </c>
      <c r="O502">
        <f t="shared" si="30"/>
        <v>350.70999999999992</v>
      </c>
      <c r="P502" t="str">
        <f t="shared" si="31"/>
        <v>Feb</v>
      </c>
    </row>
    <row r="503" spans="1:16" x14ac:dyDescent="0.25">
      <c r="A503">
        <v>1026</v>
      </c>
      <c r="B503" s="1">
        <v>45231</v>
      </c>
      <c r="C503">
        <f t="shared" si="28"/>
        <v>97526.304000000004</v>
      </c>
      <c r="D503">
        <v>36</v>
      </c>
      <c r="E503">
        <v>3067.05</v>
      </c>
      <c r="F503">
        <v>3386.33</v>
      </c>
      <c r="G503">
        <v>0.2</v>
      </c>
      <c r="H503" t="str">
        <f>PROPER(TRIM(sales_data!C503))</f>
        <v>Alice</v>
      </c>
      <c r="I503" t="str">
        <f>PROPER(TRIM(sales_data!D503))</f>
        <v>South</v>
      </c>
      <c r="J503" t="str">
        <f>PROPER(TRIM(sales_data!G503))</f>
        <v>Clothing</v>
      </c>
      <c r="K503" t="str">
        <f>PROPER(TRIM(sales_data!J503))</f>
        <v>New</v>
      </c>
      <c r="L503" t="str">
        <f>PROPER(TRIM(sales_data!L503))</f>
        <v>Bank Transfer</v>
      </c>
      <c r="M503" t="str">
        <f>PROPER(TRIM(sales_data!M503))</f>
        <v>Online</v>
      </c>
      <c r="N503">
        <f t="shared" si="29"/>
        <v>319.27999999999975</v>
      </c>
      <c r="O503">
        <f t="shared" si="30"/>
        <v>11494.079999999991</v>
      </c>
      <c r="P503" t="str">
        <f t="shared" si="31"/>
        <v>Nov</v>
      </c>
    </row>
    <row r="504" spans="1:16" x14ac:dyDescent="0.25">
      <c r="A504">
        <v>1016</v>
      </c>
      <c r="B504" s="1">
        <v>44943</v>
      </c>
      <c r="C504">
        <f t="shared" si="28"/>
        <v>55828.899000000005</v>
      </c>
      <c r="D504">
        <v>21</v>
      </c>
      <c r="E504">
        <v>2863.74</v>
      </c>
      <c r="F504">
        <v>2953.91</v>
      </c>
      <c r="G504">
        <v>0.1</v>
      </c>
      <c r="H504" t="str">
        <f>PROPER(TRIM(sales_data!C504))</f>
        <v>Eve</v>
      </c>
      <c r="I504" t="str">
        <f>PROPER(TRIM(sales_data!D504))</f>
        <v>West</v>
      </c>
      <c r="J504" t="str">
        <f>PROPER(TRIM(sales_data!G504))</f>
        <v>Electronics</v>
      </c>
      <c r="K504" t="str">
        <f>PROPER(TRIM(sales_data!J504))</f>
        <v>New</v>
      </c>
      <c r="L504" t="str">
        <f>PROPER(TRIM(sales_data!L504))</f>
        <v>Bank Transfer</v>
      </c>
      <c r="M504" t="str">
        <f>PROPER(TRIM(sales_data!M504))</f>
        <v>Retail</v>
      </c>
      <c r="N504">
        <f t="shared" si="29"/>
        <v>90.170000000000073</v>
      </c>
      <c r="O504">
        <f t="shared" si="30"/>
        <v>1893.5700000000015</v>
      </c>
      <c r="P504" t="str">
        <f t="shared" si="31"/>
        <v>Jan</v>
      </c>
    </row>
    <row r="505" spans="1:16" x14ac:dyDescent="0.25">
      <c r="A505">
        <v>1051</v>
      </c>
      <c r="B505" s="1">
        <v>45256</v>
      </c>
      <c r="C505">
        <f t="shared" si="28"/>
        <v>30313.542399999933</v>
      </c>
      <c r="D505">
        <v>8</v>
      </c>
      <c r="E505">
        <v>3970.37</v>
      </c>
      <c r="F505">
        <v>4257.5199999999904</v>
      </c>
      <c r="G505">
        <v>0.11</v>
      </c>
      <c r="H505" t="str">
        <f>PROPER(TRIM(sales_data!C505))</f>
        <v>Eve</v>
      </c>
      <c r="I505" t="str">
        <f>PROPER(TRIM(sales_data!D505))</f>
        <v>South</v>
      </c>
      <c r="J505" t="str">
        <f>PROPER(TRIM(sales_data!G505))</f>
        <v>Food</v>
      </c>
      <c r="K505" t="str">
        <f>PROPER(TRIM(sales_data!J505))</f>
        <v>New</v>
      </c>
      <c r="L505" t="str">
        <f>PROPER(TRIM(sales_data!L505))</f>
        <v>Cash</v>
      </c>
      <c r="M505" t="str">
        <f>PROPER(TRIM(sales_data!M505))</f>
        <v>Retail</v>
      </c>
      <c r="N505">
        <f t="shared" si="29"/>
        <v>287.14999999999054</v>
      </c>
      <c r="O505">
        <f t="shared" si="30"/>
        <v>2297.1999999999243</v>
      </c>
      <c r="P505" t="str">
        <f t="shared" si="31"/>
        <v>Nov</v>
      </c>
    </row>
    <row r="506" spans="1:16" x14ac:dyDescent="0.25">
      <c r="A506">
        <v>1086</v>
      </c>
      <c r="B506" s="1">
        <v>44983</v>
      </c>
      <c r="C506">
        <f t="shared" si="28"/>
        <v>18168.57</v>
      </c>
      <c r="D506">
        <v>5</v>
      </c>
      <c r="E506">
        <v>4934.1000000000004</v>
      </c>
      <c r="F506">
        <v>5191.0200000000004</v>
      </c>
      <c r="G506">
        <v>0.3</v>
      </c>
      <c r="H506" t="str">
        <f>PROPER(TRIM(sales_data!C506))</f>
        <v>Bob</v>
      </c>
      <c r="I506" t="str">
        <f>PROPER(TRIM(sales_data!D506))</f>
        <v>West</v>
      </c>
      <c r="J506" t="str">
        <f>PROPER(TRIM(sales_data!G506))</f>
        <v>Electronics</v>
      </c>
      <c r="K506" t="str">
        <f>PROPER(TRIM(sales_data!J506))</f>
        <v>New</v>
      </c>
      <c r="L506" t="str">
        <f>PROPER(TRIM(sales_data!L506))</f>
        <v>Bank Transfer</v>
      </c>
      <c r="M506" t="str">
        <f>PROPER(TRIM(sales_data!M506))</f>
        <v>Online</v>
      </c>
      <c r="N506">
        <f t="shared" si="29"/>
        <v>256.92000000000007</v>
      </c>
      <c r="O506">
        <f t="shared" si="30"/>
        <v>1284.6000000000004</v>
      </c>
      <c r="P506" t="str">
        <f t="shared" si="31"/>
        <v>Feb</v>
      </c>
    </row>
    <row r="507" spans="1:16" x14ac:dyDescent="0.25">
      <c r="A507">
        <v>1057</v>
      </c>
      <c r="B507" s="1">
        <v>45237</v>
      </c>
      <c r="C507">
        <f t="shared" si="28"/>
        <v>31638.079199999756</v>
      </c>
      <c r="D507">
        <v>26</v>
      </c>
      <c r="E507">
        <v>1291.82</v>
      </c>
      <c r="F507">
        <v>1308.4399999999901</v>
      </c>
      <c r="G507">
        <v>7.0000000000000007E-2</v>
      </c>
      <c r="H507" t="str">
        <f>PROPER(TRIM(sales_data!C507))</f>
        <v>Bob</v>
      </c>
      <c r="I507" t="str">
        <f>PROPER(TRIM(sales_data!D507))</f>
        <v>East</v>
      </c>
      <c r="J507" t="str">
        <f>PROPER(TRIM(sales_data!G507))</f>
        <v>Clothing</v>
      </c>
      <c r="K507" t="str">
        <f>PROPER(TRIM(sales_data!J507))</f>
        <v>Returning</v>
      </c>
      <c r="L507" t="str">
        <f>PROPER(TRIM(sales_data!L507))</f>
        <v>Credit Card</v>
      </c>
      <c r="M507" t="str">
        <f>PROPER(TRIM(sales_data!M507))</f>
        <v>Online</v>
      </c>
      <c r="N507">
        <f t="shared" si="29"/>
        <v>16.619999999990114</v>
      </c>
      <c r="O507">
        <f t="shared" si="30"/>
        <v>432.11999999974296</v>
      </c>
      <c r="P507" t="str">
        <f t="shared" si="31"/>
        <v>Nov</v>
      </c>
    </row>
    <row r="508" spans="1:16" x14ac:dyDescent="0.25">
      <c r="A508">
        <v>1029</v>
      </c>
      <c r="B508" s="1">
        <v>45229</v>
      </c>
      <c r="C508">
        <f t="shared" si="28"/>
        <v>37544.159999999996</v>
      </c>
      <c r="D508">
        <v>16</v>
      </c>
      <c r="E508">
        <v>2572.8000000000002</v>
      </c>
      <c r="F508">
        <v>2760.6</v>
      </c>
      <c r="G508">
        <v>0.15</v>
      </c>
      <c r="H508" t="str">
        <f>PROPER(TRIM(sales_data!C508))</f>
        <v>Eve</v>
      </c>
      <c r="I508" t="str">
        <f>PROPER(TRIM(sales_data!D508))</f>
        <v>East</v>
      </c>
      <c r="J508" t="str">
        <f>PROPER(TRIM(sales_data!G508))</f>
        <v>Electronics</v>
      </c>
      <c r="K508" t="str">
        <f>PROPER(TRIM(sales_data!J508))</f>
        <v>Returning</v>
      </c>
      <c r="L508" t="str">
        <f>PROPER(TRIM(sales_data!L508))</f>
        <v>Credit Card</v>
      </c>
      <c r="M508" t="str">
        <f>PROPER(TRIM(sales_data!M508))</f>
        <v>Retail</v>
      </c>
      <c r="N508">
        <f t="shared" si="29"/>
        <v>187.79999999999973</v>
      </c>
      <c r="O508">
        <f t="shared" si="30"/>
        <v>3004.7999999999956</v>
      </c>
      <c r="P508" t="str">
        <f t="shared" si="31"/>
        <v>Oct</v>
      </c>
    </row>
    <row r="509" spans="1:16" x14ac:dyDescent="0.25">
      <c r="A509">
        <v>1078</v>
      </c>
      <c r="B509" s="1">
        <v>44938</v>
      </c>
      <c r="C509">
        <f t="shared" si="28"/>
        <v>131042.07</v>
      </c>
      <c r="D509">
        <v>36</v>
      </c>
      <c r="E509">
        <v>4548.88</v>
      </c>
      <c r="F509">
        <v>4853.41</v>
      </c>
      <c r="G509">
        <v>0.25</v>
      </c>
      <c r="H509" t="str">
        <f>PROPER(TRIM(sales_data!C509))</f>
        <v>Eve</v>
      </c>
      <c r="I509" t="str">
        <f>PROPER(TRIM(sales_data!D509))</f>
        <v>East</v>
      </c>
      <c r="J509" t="str">
        <f>PROPER(TRIM(sales_data!G509))</f>
        <v>Food</v>
      </c>
      <c r="K509" t="str">
        <f>PROPER(TRIM(sales_data!J509))</f>
        <v>Returning</v>
      </c>
      <c r="L509" t="str">
        <f>PROPER(TRIM(sales_data!L509))</f>
        <v>Credit Card</v>
      </c>
      <c r="M509" t="str">
        <f>PROPER(TRIM(sales_data!M509))</f>
        <v>Retail</v>
      </c>
      <c r="N509">
        <f t="shared" si="29"/>
        <v>304.52999999999975</v>
      </c>
      <c r="O509">
        <f t="shared" si="30"/>
        <v>10963.079999999991</v>
      </c>
      <c r="P509" t="str">
        <f t="shared" si="31"/>
        <v>Jan</v>
      </c>
    </row>
    <row r="510" spans="1:16" x14ac:dyDescent="0.25">
      <c r="A510">
        <v>1092</v>
      </c>
      <c r="B510" s="1">
        <v>45244</v>
      </c>
      <c r="C510">
        <f t="shared" si="28"/>
        <v>113599.76039999998</v>
      </c>
      <c r="D510">
        <v>28</v>
      </c>
      <c r="E510">
        <v>3936.69</v>
      </c>
      <c r="F510">
        <v>4362.51</v>
      </c>
      <c r="G510">
        <v>7.0000000000000007E-2</v>
      </c>
      <c r="H510" t="str">
        <f>PROPER(TRIM(sales_data!C510))</f>
        <v>Eve</v>
      </c>
      <c r="I510" t="str">
        <f>PROPER(TRIM(sales_data!D510))</f>
        <v>East</v>
      </c>
      <c r="J510" t="str">
        <f>PROPER(TRIM(sales_data!G510))</f>
        <v>Clothing</v>
      </c>
      <c r="K510" t="str">
        <f>PROPER(TRIM(sales_data!J510))</f>
        <v>Returning</v>
      </c>
      <c r="L510" t="str">
        <f>PROPER(TRIM(sales_data!L510))</f>
        <v>Credit Card</v>
      </c>
      <c r="M510" t="str">
        <f>PROPER(TRIM(sales_data!M510))</f>
        <v>Retail</v>
      </c>
      <c r="N510">
        <f t="shared" si="29"/>
        <v>425.82000000000016</v>
      </c>
      <c r="O510">
        <f t="shared" si="30"/>
        <v>11922.960000000005</v>
      </c>
      <c r="P510" t="str">
        <f t="shared" si="31"/>
        <v>Nov</v>
      </c>
    </row>
    <row r="511" spans="1:16" x14ac:dyDescent="0.25">
      <c r="A511">
        <v>1069</v>
      </c>
      <c r="B511" s="1">
        <v>45006</v>
      </c>
      <c r="C511">
        <f t="shared" si="28"/>
        <v>74214.456799999738</v>
      </c>
      <c r="D511">
        <v>29</v>
      </c>
      <c r="E511">
        <v>2462.66</v>
      </c>
      <c r="F511">
        <v>2908.0899999999901</v>
      </c>
      <c r="G511">
        <v>0.12</v>
      </c>
      <c r="H511" t="str">
        <f>PROPER(TRIM(sales_data!C511))</f>
        <v>Bob</v>
      </c>
      <c r="I511" t="str">
        <f>PROPER(TRIM(sales_data!D511))</f>
        <v>East</v>
      </c>
      <c r="J511" t="str">
        <f>PROPER(TRIM(sales_data!G511))</f>
        <v>Furniture</v>
      </c>
      <c r="K511" t="str">
        <f>PROPER(TRIM(sales_data!J511))</f>
        <v>New</v>
      </c>
      <c r="L511" t="str">
        <f>PROPER(TRIM(sales_data!L511))</f>
        <v>Credit Card</v>
      </c>
      <c r="M511" t="str">
        <f>PROPER(TRIM(sales_data!M511))</f>
        <v>Online</v>
      </c>
      <c r="N511">
        <f t="shared" si="29"/>
        <v>445.42999999999029</v>
      </c>
      <c r="O511">
        <f t="shared" si="30"/>
        <v>12917.469999999717</v>
      </c>
      <c r="P511" t="str">
        <f t="shared" si="31"/>
        <v>Mar</v>
      </c>
    </row>
    <row r="512" spans="1:16" x14ac:dyDescent="0.25">
      <c r="A512">
        <v>1047</v>
      </c>
      <c r="B512" s="1">
        <v>45142</v>
      </c>
      <c r="C512">
        <f t="shared" si="28"/>
        <v>191801.24720000004</v>
      </c>
      <c r="D512">
        <v>47</v>
      </c>
      <c r="E512">
        <v>4729.59</v>
      </c>
      <c r="F512">
        <v>4976.68</v>
      </c>
      <c r="G512">
        <v>0.18</v>
      </c>
      <c r="H512" t="str">
        <f>PROPER(TRIM(sales_data!C512))</f>
        <v>Eve</v>
      </c>
      <c r="I512" t="str">
        <f>PROPER(TRIM(sales_data!D512))</f>
        <v>South</v>
      </c>
      <c r="J512" t="str">
        <f>PROPER(TRIM(sales_data!G512))</f>
        <v>Clothing</v>
      </c>
      <c r="K512" t="str">
        <f>PROPER(TRIM(sales_data!J512))</f>
        <v>Returning</v>
      </c>
      <c r="L512" t="str">
        <f>PROPER(TRIM(sales_data!L512))</f>
        <v>Credit Card</v>
      </c>
      <c r="M512" t="str">
        <f>PROPER(TRIM(sales_data!M512))</f>
        <v>Retail</v>
      </c>
      <c r="N512">
        <f t="shared" si="29"/>
        <v>247.09000000000015</v>
      </c>
      <c r="O512">
        <f t="shared" si="30"/>
        <v>11613.230000000007</v>
      </c>
      <c r="P512" t="str">
        <f t="shared" si="31"/>
        <v>Aug</v>
      </c>
    </row>
    <row r="513" spans="1:16" x14ac:dyDescent="0.25">
      <c r="A513">
        <v>1094</v>
      </c>
      <c r="B513" s="1">
        <v>45265</v>
      </c>
      <c r="C513">
        <f t="shared" si="28"/>
        <v>7226.58</v>
      </c>
      <c r="D513">
        <v>12</v>
      </c>
      <c r="E513">
        <v>333.32</v>
      </c>
      <c r="F513">
        <v>700.25</v>
      </c>
      <c r="G513">
        <v>0.14000000000000001</v>
      </c>
      <c r="H513" t="str">
        <f>PROPER(TRIM(sales_data!C513))</f>
        <v>Eve</v>
      </c>
      <c r="I513" t="str">
        <f>PROPER(TRIM(sales_data!D513))</f>
        <v>East</v>
      </c>
      <c r="J513" t="str">
        <f>PROPER(TRIM(sales_data!G513))</f>
        <v>Furniture</v>
      </c>
      <c r="K513" t="str">
        <f>PROPER(TRIM(sales_data!J513))</f>
        <v>Returning</v>
      </c>
      <c r="L513" t="str">
        <f>PROPER(TRIM(sales_data!L513))</f>
        <v>Cash</v>
      </c>
      <c r="M513" t="str">
        <f>PROPER(TRIM(sales_data!M513))</f>
        <v>Online</v>
      </c>
      <c r="N513">
        <f t="shared" si="29"/>
        <v>366.93</v>
      </c>
      <c r="O513">
        <f t="shared" si="30"/>
        <v>4403.16</v>
      </c>
      <c r="P513" t="str">
        <f t="shared" si="31"/>
        <v>Dec</v>
      </c>
    </row>
    <row r="514" spans="1:16" x14ac:dyDescent="0.25">
      <c r="A514">
        <v>1062</v>
      </c>
      <c r="B514" s="1">
        <v>45190</v>
      </c>
      <c r="C514">
        <f t="shared" ref="C514:C577" si="32">(D514*F514)*(1-G514)</f>
        <v>153483.76999999999</v>
      </c>
      <c r="D514">
        <v>37</v>
      </c>
      <c r="E514">
        <v>4658.4399999999996</v>
      </c>
      <c r="F514">
        <v>4823.5</v>
      </c>
      <c r="G514">
        <v>0.14000000000000001</v>
      </c>
      <c r="H514" t="str">
        <f>PROPER(TRIM(sales_data!C514))</f>
        <v>David</v>
      </c>
      <c r="I514" t="str">
        <f>PROPER(TRIM(sales_data!D514))</f>
        <v>North</v>
      </c>
      <c r="J514" t="str">
        <f>PROPER(TRIM(sales_data!G514))</f>
        <v>Electronics</v>
      </c>
      <c r="K514" t="str">
        <f>PROPER(TRIM(sales_data!J514))</f>
        <v>Returning</v>
      </c>
      <c r="L514" t="str">
        <f>PROPER(TRIM(sales_data!L514))</f>
        <v>Credit Card</v>
      </c>
      <c r="M514" t="str">
        <f>PROPER(TRIM(sales_data!M514))</f>
        <v>Online</v>
      </c>
      <c r="N514">
        <f t="shared" ref="N514:N577" si="33">F514-E514</f>
        <v>165.0600000000004</v>
      </c>
      <c r="O514">
        <f t="shared" ref="O514:O577" si="34">N514*D514</f>
        <v>6107.2200000000148</v>
      </c>
      <c r="P514" t="str">
        <f t="shared" ref="P514:P577" si="35">TEXT(B514,"mmm")</f>
        <v>Sep</v>
      </c>
    </row>
    <row r="515" spans="1:16" x14ac:dyDescent="0.25">
      <c r="A515">
        <v>1069</v>
      </c>
      <c r="B515" s="1">
        <v>45075</v>
      </c>
      <c r="C515">
        <f t="shared" si="32"/>
        <v>12754.055999999973</v>
      </c>
      <c r="D515">
        <v>30</v>
      </c>
      <c r="E515">
        <v>300.01</v>
      </c>
      <c r="F515">
        <v>477.67999999999898</v>
      </c>
      <c r="G515">
        <v>0.11</v>
      </c>
      <c r="H515" t="str">
        <f>PROPER(TRIM(sales_data!C515))</f>
        <v>Alice</v>
      </c>
      <c r="I515" t="str">
        <f>PROPER(TRIM(sales_data!D515))</f>
        <v>North</v>
      </c>
      <c r="J515" t="str">
        <f>PROPER(TRIM(sales_data!G515))</f>
        <v>Electronics</v>
      </c>
      <c r="K515" t="str">
        <f>PROPER(TRIM(sales_data!J515))</f>
        <v>New</v>
      </c>
      <c r="L515" t="str">
        <f>PROPER(TRIM(sales_data!L515))</f>
        <v>Bank Transfer</v>
      </c>
      <c r="M515" t="str">
        <f>PROPER(TRIM(sales_data!M515))</f>
        <v>Retail</v>
      </c>
      <c r="N515">
        <f t="shared" si="33"/>
        <v>177.66999999999899</v>
      </c>
      <c r="O515">
        <f t="shared" si="34"/>
        <v>5330.0999999999694</v>
      </c>
      <c r="P515" t="str">
        <f t="shared" si="35"/>
        <v>May</v>
      </c>
    </row>
    <row r="516" spans="1:16" x14ac:dyDescent="0.25">
      <c r="A516">
        <v>1076</v>
      </c>
      <c r="B516" s="1">
        <v>45007</v>
      </c>
      <c r="C516">
        <f t="shared" si="32"/>
        <v>54023.526999999995</v>
      </c>
      <c r="D516">
        <v>23</v>
      </c>
      <c r="E516">
        <v>2759.16</v>
      </c>
      <c r="F516">
        <v>2864.45</v>
      </c>
      <c r="G516">
        <v>0.18</v>
      </c>
      <c r="H516" t="str">
        <f>PROPER(TRIM(sales_data!C516))</f>
        <v>Charlie</v>
      </c>
      <c r="I516" t="str">
        <f>PROPER(TRIM(sales_data!D516))</f>
        <v>South</v>
      </c>
      <c r="J516" t="str">
        <f>PROPER(TRIM(sales_data!G516))</f>
        <v>Food</v>
      </c>
      <c r="K516" t="str">
        <f>PROPER(TRIM(sales_data!J516))</f>
        <v>Returning</v>
      </c>
      <c r="L516" t="str">
        <f>PROPER(TRIM(sales_data!L516))</f>
        <v>Credit Card</v>
      </c>
      <c r="M516" t="str">
        <f>PROPER(TRIM(sales_data!M516))</f>
        <v>Retail</v>
      </c>
      <c r="N516">
        <f t="shared" si="33"/>
        <v>105.28999999999996</v>
      </c>
      <c r="O516">
        <f t="shared" si="34"/>
        <v>2421.6699999999992</v>
      </c>
      <c r="P516" t="str">
        <f t="shared" si="35"/>
        <v>Mar</v>
      </c>
    </row>
    <row r="517" spans="1:16" x14ac:dyDescent="0.25">
      <c r="A517">
        <v>1016</v>
      </c>
      <c r="B517" s="1">
        <v>45141</v>
      </c>
      <c r="C517">
        <f t="shared" si="32"/>
        <v>61469.668799999999</v>
      </c>
      <c r="D517">
        <v>16</v>
      </c>
      <c r="E517">
        <v>4457.68</v>
      </c>
      <c r="F517">
        <v>4743.03</v>
      </c>
      <c r="G517">
        <v>0.19</v>
      </c>
      <c r="H517" t="str">
        <f>PROPER(TRIM(sales_data!C517))</f>
        <v>Alice</v>
      </c>
      <c r="I517" t="str">
        <f>PROPER(TRIM(sales_data!D517))</f>
        <v>West</v>
      </c>
      <c r="J517" t="str">
        <f>PROPER(TRIM(sales_data!G517))</f>
        <v>Furniture</v>
      </c>
      <c r="K517" t="str">
        <f>PROPER(TRIM(sales_data!J517))</f>
        <v>Returning</v>
      </c>
      <c r="L517" t="str">
        <f>PROPER(TRIM(sales_data!L517))</f>
        <v>Cash</v>
      </c>
      <c r="M517" t="str">
        <f>PROPER(TRIM(sales_data!M517))</f>
        <v>Online</v>
      </c>
      <c r="N517">
        <f t="shared" si="33"/>
        <v>285.34999999999945</v>
      </c>
      <c r="O517">
        <f t="shared" si="34"/>
        <v>4565.5999999999913</v>
      </c>
      <c r="P517" t="str">
        <f t="shared" si="35"/>
        <v>Aug</v>
      </c>
    </row>
    <row r="518" spans="1:16" x14ac:dyDescent="0.25">
      <c r="A518">
        <v>1090</v>
      </c>
      <c r="B518" s="1">
        <v>45124</v>
      </c>
      <c r="C518">
        <f t="shared" si="32"/>
        <v>16963.631999999998</v>
      </c>
      <c r="D518">
        <v>14</v>
      </c>
      <c r="E518">
        <v>1350.47</v>
      </c>
      <c r="F518">
        <v>1514.61</v>
      </c>
      <c r="G518">
        <v>0.2</v>
      </c>
      <c r="H518" t="str">
        <f>PROPER(TRIM(sales_data!C518))</f>
        <v>David</v>
      </c>
      <c r="I518" t="str">
        <f>PROPER(TRIM(sales_data!D518))</f>
        <v>North</v>
      </c>
      <c r="J518" t="str">
        <f>PROPER(TRIM(sales_data!G518))</f>
        <v>Electronics</v>
      </c>
      <c r="K518" t="str">
        <f>PROPER(TRIM(sales_data!J518))</f>
        <v>New</v>
      </c>
      <c r="L518" t="str">
        <f>PROPER(TRIM(sales_data!L518))</f>
        <v>Credit Card</v>
      </c>
      <c r="M518" t="str">
        <f>PROPER(TRIM(sales_data!M518))</f>
        <v>Retail</v>
      </c>
      <c r="N518">
        <f t="shared" si="33"/>
        <v>164.13999999999987</v>
      </c>
      <c r="O518">
        <f t="shared" si="34"/>
        <v>2297.9599999999982</v>
      </c>
      <c r="P518" t="str">
        <f t="shared" si="35"/>
        <v>Jul</v>
      </c>
    </row>
    <row r="519" spans="1:16" x14ac:dyDescent="0.25">
      <c r="A519">
        <v>1090</v>
      </c>
      <c r="B519" s="1">
        <v>45126</v>
      </c>
      <c r="C519">
        <f t="shared" si="32"/>
        <v>23901.905999999995</v>
      </c>
      <c r="D519">
        <v>10</v>
      </c>
      <c r="E519">
        <v>2387.63</v>
      </c>
      <c r="F519">
        <v>2438.9699999999998</v>
      </c>
      <c r="G519">
        <v>0.02</v>
      </c>
      <c r="H519" t="str">
        <f>PROPER(TRIM(sales_data!C519))</f>
        <v>Charlie</v>
      </c>
      <c r="I519" t="str">
        <f>PROPER(TRIM(sales_data!D519))</f>
        <v>West</v>
      </c>
      <c r="J519" t="str">
        <f>PROPER(TRIM(sales_data!G519))</f>
        <v>Furniture</v>
      </c>
      <c r="K519" t="str">
        <f>PROPER(TRIM(sales_data!J519))</f>
        <v>Returning</v>
      </c>
      <c r="L519" t="str">
        <f>PROPER(TRIM(sales_data!L519))</f>
        <v>Bank Transfer</v>
      </c>
      <c r="M519" t="str">
        <f>PROPER(TRIM(sales_data!M519))</f>
        <v>Retail</v>
      </c>
      <c r="N519">
        <f t="shared" si="33"/>
        <v>51.339999999999691</v>
      </c>
      <c r="O519">
        <f t="shared" si="34"/>
        <v>513.39999999999691</v>
      </c>
      <c r="P519" t="str">
        <f t="shared" si="35"/>
        <v>Jul</v>
      </c>
    </row>
    <row r="520" spans="1:16" x14ac:dyDescent="0.25">
      <c r="A520">
        <v>1048</v>
      </c>
      <c r="B520" s="1">
        <v>44951</v>
      </c>
      <c r="C520">
        <f t="shared" si="32"/>
        <v>11346.123600000001</v>
      </c>
      <c r="D520">
        <v>7</v>
      </c>
      <c r="E520">
        <v>1655.43</v>
      </c>
      <c r="F520">
        <v>2001.08</v>
      </c>
      <c r="G520">
        <v>0.19</v>
      </c>
      <c r="H520" t="str">
        <f>PROPER(TRIM(sales_data!C520))</f>
        <v>Eve</v>
      </c>
      <c r="I520" t="str">
        <f>PROPER(TRIM(sales_data!D520))</f>
        <v>South</v>
      </c>
      <c r="J520" t="str">
        <f>PROPER(TRIM(sales_data!G520))</f>
        <v>Electronics</v>
      </c>
      <c r="K520" t="str">
        <f>PROPER(TRIM(sales_data!J520))</f>
        <v>New</v>
      </c>
      <c r="L520" t="str">
        <f>PROPER(TRIM(sales_data!L520))</f>
        <v>Bank Transfer</v>
      </c>
      <c r="M520" t="str">
        <f>PROPER(TRIM(sales_data!M520))</f>
        <v>Online</v>
      </c>
      <c r="N520">
        <f t="shared" si="33"/>
        <v>345.64999999999986</v>
      </c>
      <c r="O520">
        <f t="shared" si="34"/>
        <v>2419.5499999999993</v>
      </c>
      <c r="P520" t="str">
        <f t="shared" si="35"/>
        <v>Jan</v>
      </c>
    </row>
    <row r="521" spans="1:16" x14ac:dyDescent="0.25">
      <c r="A521">
        <v>1085</v>
      </c>
      <c r="B521" s="1">
        <v>45015</v>
      </c>
      <c r="C521">
        <f t="shared" si="32"/>
        <v>163581.12449999998</v>
      </c>
      <c r="D521">
        <v>45</v>
      </c>
      <c r="E521">
        <v>4763.1099999999997</v>
      </c>
      <c r="F521">
        <v>5119.91</v>
      </c>
      <c r="G521">
        <v>0.28999999999999998</v>
      </c>
      <c r="H521" t="str">
        <f>PROPER(TRIM(sales_data!C521))</f>
        <v>David</v>
      </c>
      <c r="I521" t="str">
        <f>PROPER(TRIM(sales_data!D521))</f>
        <v>West</v>
      </c>
      <c r="J521" t="str">
        <f>PROPER(TRIM(sales_data!G521))</f>
        <v>Clothing</v>
      </c>
      <c r="K521" t="str">
        <f>PROPER(TRIM(sales_data!J521))</f>
        <v>Returning</v>
      </c>
      <c r="L521" t="str">
        <f>PROPER(TRIM(sales_data!L521))</f>
        <v>Cash</v>
      </c>
      <c r="M521" t="str">
        <f>PROPER(TRIM(sales_data!M521))</f>
        <v>Retail</v>
      </c>
      <c r="N521">
        <f t="shared" si="33"/>
        <v>356.80000000000018</v>
      </c>
      <c r="O521">
        <f t="shared" si="34"/>
        <v>16056.000000000007</v>
      </c>
      <c r="P521" t="str">
        <f t="shared" si="35"/>
        <v>Mar</v>
      </c>
    </row>
    <row r="522" spans="1:16" x14ac:dyDescent="0.25">
      <c r="A522">
        <v>1039</v>
      </c>
      <c r="B522" s="1">
        <v>45194</v>
      </c>
      <c r="C522">
        <f t="shared" si="32"/>
        <v>134062.02599999998</v>
      </c>
      <c r="D522">
        <v>37</v>
      </c>
      <c r="E522">
        <v>4127.05</v>
      </c>
      <c r="F522">
        <v>4313.45</v>
      </c>
      <c r="G522">
        <v>0.16</v>
      </c>
      <c r="H522" t="str">
        <f>PROPER(TRIM(sales_data!C522))</f>
        <v>Eve</v>
      </c>
      <c r="I522" t="str">
        <f>PROPER(TRIM(sales_data!D522))</f>
        <v>West</v>
      </c>
      <c r="J522" t="str">
        <f>PROPER(TRIM(sales_data!G522))</f>
        <v>Electronics</v>
      </c>
      <c r="K522" t="str">
        <f>PROPER(TRIM(sales_data!J522))</f>
        <v>New</v>
      </c>
      <c r="L522" t="str">
        <f>PROPER(TRIM(sales_data!L522))</f>
        <v>Cash</v>
      </c>
      <c r="M522" t="str">
        <f>PROPER(TRIM(sales_data!M522))</f>
        <v>Online</v>
      </c>
      <c r="N522">
        <f t="shared" si="33"/>
        <v>186.39999999999964</v>
      </c>
      <c r="O522">
        <f t="shared" si="34"/>
        <v>6896.7999999999865</v>
      </c>
      <c r="P522" t="str">
        <f t="shared" si="35"/>
        <v>Sep</v>
      </c>
    </row>
    <row r="523" spans="1:16" x14ac:dyDescent="0.25">
      <c r="A523">
        <v>1100</v>
      </c>
      <c r="B523" s="1">
        <v>45069</v>
      </c>
      <c r="C523">
        <f t="shared" si="32"/>
        <v>82639.806500000006</v>
      </c>
      <c r="D523">
        <v>29</v>
      </c>
      <c r="E523">
        <v>3559.56</v>
      </c>
      <c r="F523">
        <v>3607.15</v>
      </c>
      <c r="G523">
        <v>0.21</v>
      </c>
      <c r="H523" t="str">
        <f>PROPER(TRIM(sales_data!C523))</f>
        <v>Bob</v>
      </c>
      <c r="I523" t="str">
        <f>PROPER(TRIM(sales_data!D523))</f>
        <v>West</v>
      </c>
      <c r="J523" t="str">
        <f>PROPER(TRIM(sales_data!G523))</f>
        <v>Food</v>
      </c>
      <c r="K523" t="str">
        <f>PROPER(TRIM(sales_data!J523))</f>
        <v>Returning</v>
      </c>
      <c r="L523" t="str">
        <f>PROPER(TRIM(sales_data!L523))</f>
        <v>Cash</v>
      </c>
      <c r="M523" t="str">
        <f>PROPER(TRIM(sales_data!M523))</f>
        <v>Retail</v>
      </c>
      <c r="N523">
        <f t="shared" si="33"/>
        <v>47.590000000000146</v>
      </c>
      <c r="O523">
        <f t="shared" si="34"/>
        <v>1380.1100000000042</v>
      </c>
      <c r="P523" t="str">
        <f t="shared" si="35"/>
        <v>May</v>
      </c>
    </row>
    <row r="524" spans="1:16" x14ac:dyDescent="0.25">
      <c r="A524">
        <v>1033</v>
      </c>
      <c r="B524" s="1">
        <v>44985</v>
      </c>
      <c r="C524">
        <f t="shared" si="32"/>
        <v>7912.3235999999997</v>
      </c>
      <c r="D524">
        <v>3</v>
      </c>
      <c r="E524">
        <v>2958.75</v>
      </c>
      <c r="F524">
        <v>3177.64</v>
      </c>
      <c r="G524">
        <v>0.17</v>
      </c>
      <c r="H524" t="str">
        <f>PROPER(TRIM(sales_data!C524))</f>
        <v>David</v>
      </c>
      <c r="I524" t="str">
        <f>PROPER(TRIM(sales_data!D524))</f>
        <v>West</v>
      </c>
      <c r="J524" t="str">
        <f>PROPER(TRIM(sales_data!G524))</f>
        <v>Clothing</v>
      </c>
      <c r="K524" t="str">
        <f>PROPER(TRIM(sales_data!J524))</f>
        <v>Returning</v>
      </c>
      <c r="L524" t="str">
        <f>PROPER(TRIM(sales_data!L524))</f>
        <v>Cash</v>
      </c>
      <c r="M524" t="str">
        <f>PROPER(TRIM(sales_data!M524))</f>
        <v>Online</v>
      </c>
      <c r="N524">
        <f t="shared" si="33"/>
        <v>218.88999999999987</v>
      </c>
      <c r="O524">
        <f t="shared" si="34"/>
        <v>656.66999999999962</v>
      </c>
      <c r="P524" t="str">
        <f t="shared" si="35"/>
        <v>Feb</v>
      </c>
    </row>
    <row r="525" spans="1:16" x14ac:dyDescent="0.25">
      <c r="A525">
        <v>1094</v>
      </c>
      <c r="B525" s="1">
        <v>45291</v>
      </c>
      <c r="C525">
        <f t="shared" si="32"/>
        <v>48159.237000000001</v>
      </c>
      <c r="D525">
        <v>15</v>
      </c>
      <c r="E525">
        <v>4111.93</v>
      </c>
      <c r="F525">
        <v>4338.67</v>
      </c>
      <c r="G525">
        <v>0.26</v>
      </c>
      <c r="H525" t="str">
        <f>PROPER(TRIM(sales_data!C525))</f>
        <v>Bob</v>
      </c>
      <c r="I525" t="str">
        <f>PROPER(TRIM(sales_data!D525))</f>
        <v>South</v>
      </c>
      <c r="J525" t="str">
        <f>PROPER(TRIM(sales_data!G525))</f>
        <v>Food</v>
      </c>
      <c r="K525" t="str">
        <f>PROPER(TRIM(sales_data!J525))</f>
        <v>Returning</v>
      </c>
      <c r="L525" t="str">
        <f>PROPER(TRIM(sales_data!L525))</f>
        <v>Credit Card</v>
      </c>
      <c r="M525" t="str">
        <f>PROPER(TRIM(sales_data!M525))</f>
        <v>Online</v>
      </c>
      <c r="N525">
        <f t="shared" si="33"/>
        <v>226.73999999999978</v>
      </c>
      <c r="O525">
        <f t="shared" si="34"/>
        <v>3401.0999999999967</v>
      </c>
      <c r="P525" t="str">
        <f t="shared" si="35"/>
        <v>Dec</v>
      </c>
    </row>
    <row r="526" spans="1:16" x14ac:dyDescent="0.25">
      <c r="A526">
        <v>1023</v>
      </c>
      <c r="B526" s="1">
        <v>44952</v>
      </c>
      <c r="C526">
        <f t="shared" si="32"/>
        <v>60377.270399999994</v>
      </c>
      <c r="D526">
        <v>36</v>
      </c>
      <c r="E526">
        <v>1991.72</v>
      </c>
      <c r="F526">
        <v>2329.37</v>
      </c>
      <c r="G526">
        <v>0.28000000000000003</v>
      </c>
      <c r="H526" t="str">
        <f>PROPER(TRIM(sales_data!C526))</f>
        <v>David</v>
      </c>
      <c r="I526" t="str">
        <f>PROPER(TRIM(sales_data!D526))</f>
        <v>North</v>
      </c>
      <c r="J526" t="str">
        <f>PROPER(TRIM(sales_data!G526))</f>
        <v>Clothing</v>
      </c>
      <c r="K526" t="str">
        <f>PROPER(TRIM(sales_data!J526))</f>
        <v>New</v>
      </c>
      <c r="L526" t="str">
        <f>PROPER(TRIM(sales_data!L526))</f>
        <v>Credit Card</v>
      </c>
      <c r="M526" t="str">
        <f>PROPER(TRIM(sales_data!M526))</f>
        <v>Retail</v>
      </c>
      <c r="N526">
        <f t="shared" si="33"/>
        <v>337.64999999999986</v>
      </c>
      <c r="O526">
        <f t="shared" si="34"/>
        <v>12155.399999999994</v>
      </c>
      <c r="P526" t="str">
        <f t="shared" si="35"/>
        <v>Jan</v>
      </c>
    </row>
    <row r="527" spans="1:16" x14ac:dyDescent="0.25">
      <c r="A527">
        <v>1010</v>
      </c>
      <c r="B527" s="1">
        <v>44973</v>
      </c>
      <c r="C527">
        <f t="shared" si="32"/>
        <v>107354.30739999999</v>
      </c>
      <c r="D527">
        <v>47</v>
      </c>
      <c r="E527">
        <v>2265.38</v>
      </c>
      <c r="F527">
        <v>2429.9299999999998</v>
      </c>
      <c r="G527">
        <v>0.06</v>
      </c>
      <c r="H527" t="str">
        <f>PROPER(TRIM(sales_data!C527))</f>
        <v>David</v>
      </c>
      <c r="I527" t="str">
        <f>PROPER(TRIM(sales_data!D527))</f>
        <v>East</v>
      </c>
      <c r="J527" t="str">
        <f>PROPER(TRIM(sales_data!G527))</f>
        <v>Furniture</v>
      </c>
      <c r="K527" t="str">
        <f>PROPER(TRIM(sales_data!J527))</f>
        <v>Returning</v>
      </c>
      <c r="L527" t="str">
        <f>PROPER(TRIM(sales_data!L527))</f>
        <v>Bank Transfer</v>
      </c>
      <c r="M527" t="str">
        <f>PROPER(TRIM(sales_data!M527))</f>
        <v>Online</v>
      </c>
      <c r="N527">
        <f t="shared" si="33"/>
        <v>164.54999999999973</v>
      </c>
      <c r="O527">
        <f t="shared" si="34"/>
        <v>7733.8499999999876</v>
      </c>
      <c r="P527" t="str">
        <f t="shared" si="35"/>
        <v>Feb</v>
      </c>
    </row>
    <row r="528" spans="1:16" x14ac:dyDescent="0.25">
      <c r="A528">
        <v>1069</v>
      </c>
      <c r="B528" s="1">
        <v>45214</v>
      </c>
      <c r="C528">
        <f t="shared" si="32"/>
        <v>160399.3596</v>
      </c>
      <c r="D528">
        <v>46</v>
      </c>
      <c r="E528">
        <v>3663.51</v>
      </c>
      <c r="F528">
        <v>4007.98</v>
      </c>
      <c r="G528">
        <v>0.13</v>
      </c>
      <c r="H528" t="str">
        <f>PROPER(TRIM(sales_data!C528))</f>
        <v>Bob</v>
      </c>
      <c r="I528" t="str">
        <f>PROPER(TRIM(sales_data!D528))</f>
        <v>West</v>
      </c>
      <c r="J528" t="str">
        <f>PROPER(TRIM(sales_data!G528))</f>
        <v>Food</v>
      </c>
      <c r="K528" t="str">
        <f>PROPER(TRIM(sales_data!J528))</f>
        <v>New</v>
      </c>
      <c r="L528" t="str">
        <f>PROPER(TRIM(sales_data!L528))</f>
        <v>Cash</v>
      </c>
      <c r="M528" t="str">
        <f>PROPER(TRIM(sales_data!M528))</f>
        <v>Online</v>
      </c>
      <c r="N528">
        <f t="shared" si="33"/>
        <v>344.4699999999998</v>
      </c>
      <c r="O528">
        <f t="shared" si="34"/>
        <v>15845.619999999992</v>
      </c>
      <c r="P528" t="str">
        <f t="shared" si="35"/>
        <v>Oct</v>
      </c>
    </row>
    <row r="529" spans="1:16" x14ac:dyDescent="0.25">
      <c r="A529">
        <v>1100</v>
      </c>
      <c r="B529" s="1">
        <v>45192</v>
      </c>
      <c r="C529">
        <f t="shared" si="32"/>
        <v>37752.422400000003</v>
      </c>
      <c r="D529">
        <v>19</v>
      </c>
      <c r="E529">
        <v>1820.89</v>
      </c>
      <c r="F529">
        <v>2257.92</v>
      </c>
      <c r="G529">
        <v>0.12</v>
      </c>
      <c r="H529" t="str">
        <f>PROPER(TRIM(sales_data!C529))</f>
        <v>Charlie</v>
      </c>
      <c r="I529" t="str">
        <f>PROPER(TRIM(sales_data!D529))</f>
        <v>North</v>
      </c>
      <c r="J529" t="str">
        <f>PROPER(TRIM(sales_data!G529))</f>
        <v>Electronics</v>
      </c>
      <c r="K529" t="str">
        <f>PROPER(TRIM(sales_data!J529))</f>
        <v>New</v>
      </c>
      <c r="L529" t="str">
        <f>PROPER(TRIM(sales_data!L529))</f>
        <v>Cash</v>
      </c>
      <c r="M529" t="str">
        <f>PROPER(TRIM(sales_data!M529))</f>
        <v>Retail</v>
      </c>
      <c r="N529">
        <f t="shared" si="33"/>
        <v>437.03</v>
      </c>
      <c r="O529">
        <f t="shared" si="34"/>
        <v>8303.57</v>
      </c>
      <c r="P529" t="str">
        <f t="shared" si="35"/>
        <v>Sep</v>
      </c>
    </row>
    <row r="530" spans="1:16" x14ac:dyDescent="0.25">
      <c r="A530">
        <v>1034</v>
      </c>
      <c r="B530" s="1">
        <v>44942</v>
      </c>
      <c r="C530">
        <f t="shared" si="32"/>
        <v>5636.2592000000004</v>
      </c>
      <c r="D530">
        <v>13</v>
      </c>
      <c r="E530">
        <v>366.31</v>
      </c>
      <c r="F530">
        <v>492.68</v>
      </c>
      <c r="G530">
        <v>0.12</v>
      </c>
      <c r="H530" t="str">
        <f>PROPER(TRIM(sales_data!C530))</f>
        <v>Alice</v>
      </c>
      <c r="I530" t="str">
        <f>PROPER(TRIM(sales_data!D530))</f>
        <v>North</v>
      </c>
      <c r="J530" t="str">
        <f>PROPER(TRIM(sales_data!G530))</f>
        <v>Furniture</v>
      </c>
      <c r="K530" t="str">
        <f>PROPER(TRIM(sales_data!J530))</f>
        <v>New</v>
      </c>
      <c r="L530" t="str">
        <f>PROPER(TRIM(sales_data!L530))</f>
        <v>Credit Card</v>
      </c>
      <c r="M530" t="str">
        <f>PROPER(TRIM(sales_data!M530))</f>
        <v>Retail</v>
      </c>
      <c r="N530">
        <f t="shared" si="33"/>
        <v>126.37</v>
      </c>
      <c r="O530">
        <f t="shared" si="34"/>
        <v>1642.81</v>
      </c>
      <c r="P530" t="str">
        <f t="shared" si="35"/>
        <v>Jan</v>
      </c>
    </row>
    <row r="531" spans="1:16" x14ac:dyDescent="0.25">
      <c r="A531">
        <v>1052</v>
      </c>
      <c r="B531" s="1">
        <v>45125</v>
      </c>
      <c r="C531">
        <f t="shared" si="32"/>
        <v>36595.641599999995</v>
      </c>
      <c r="D531">
        <v>42</v>
      </c>
      <c r="E531">
        <v>417.96</v>
      </c>
      <c r="F531">
        <v>907.63</v>
      </c>
      <c r="G531">
        <v>0.04</v>
      </c>
      <c r="H531" t="str">
        <f>PROPER(TRIM(sales_data!C531))</f>
        <v>Eve</v>
      </c>
      <c r="I531" t="str">
        <f>PROPER(TRIM(sales_data!D531))</f>
        <v>South</v>
      </c>
      <c r="J531" t="str">
        <f>PROPER(TRIM(sales_data!G531))</f>
        <v>Electronics</v>
      </c>
      <c r="K531" t="str">
        <f>PROPER(TRIM(sales_data!J531))</f>
        <v>New</v>
      </c>
      <c r="L531" t="str">
        <f>PROPER(TRIM(sales_data!L531))</f>
        <v>Cash</v>
      </c>
      <c r="M531" t="str">
        <f>PROPER(TRIM(sales_data!M531))</f>
        <v>Retail</v>
      </c>
      <c r="N531">
        <f t="shared" si="33"/>
        <v>489.67</v>
      </c>
      <c r="O531">
        <f t="shared" si="34"/>
        <v>20566.14</v>
      </c>
      <c r="P531" t="str">
        <f t="shared" si="35"/>
        <v>Jul</v>
      </c>
    </row>
    <row r="532" spans="1:16" x14ac:dyDescent="0.25">
      <c r="A532">
        <v>1095</v>
      </c>
      <c r="B532" s="1">
        <v>45208</v>
      </c>
      <c r="C532">
        <f t="shared" si="32"/>
        <v>13093.105199999984</v>
      </c>
      <c r="D532">
        <v>21</v>
      </c>
      <c r="E532">
        <v>621.04999999999995</v>
      </c>
      <c r="F532">
        <v>820.36999999999898</v>
      </c>
      <c r="G532">
        <v>0.24</v>
      </c>
      <c r="H532" t="str">
        <f>PROPER(TRIM(sales_data!C532))</f>
        <v>David</v>
      </c>
      <c r="I532" t="str">
        <f>PROPER(TRIM(sales_data!D532))</f>
        <v>North</v>
      </c>
      <c r="J532" t="str">
        <f>PROPER(TRIM(sales_data!G532))</f>
        <v>Clothing</v>
      </c>
      <c r="K532" t="str">
        <f>PROPER(TRIM(sales_data!J532))</f>
        <v>Returning</v>
      </c>
      <c r="L532" t="str">
        <f>PROPER(TRIM(sales_data!L532))</f>
        <v>Bank Transfer</v>
      </c>
      <c r="M532" t="str">
        <f>PROPER(TRIM(sales_data!M532))</f>
        <v>Online</v>
      </c>
      <c r="N532">
        <f t="shared" si="33"/>
        <v>199.31999999999903</v>
      </c>
      <c r="O532">
        <f t="shared" si="34"/>
        <v>4185.7199999999793</v>
      </c>
      <c r="P532" t="str">
        <f t="shared" si="35"/>
        <v>Oct</v>
      </c>
    </row>
    <row r="533" spans="1:16" x14ac:dyDescent="0.25">
      <c r="A533">
        <v>1010</v>
      </c>
      <c r="B533" s="1">
        <v>45012</v>
      </c>
      <c r="C533">
        <f t="shared" si="32"/>
        <v>164684.08439999999</v>
      </c>
      <c r="D533">
        <v>37</v>
      </c>
      <c r="E533">
        <v>4354.92</v>
      </c>
      <c r="F533">
        <v>4495.88</v>
      </c>
      <c r="G533">
        <v>0.01</v>
      </c>
      <c r="H533" t="str">
        <f>PROPER(TRIM(sales_data!C533))</f>
        <v>Eve</v>
      </c>
      <c r="I533" t="str">
        <f>PROPER(TRIM(sales_data!D533))</f>
        <v>South</v>
      </c>
      <c r="J533" t="str">
        <f>PROPER(TRIM(sales_data!G533))</f>
        <v>Clothing</v>
      </c>
      <c r="K533" t="str">
        <f>PROPER(TRIM(sales_data!J533))</f>
        <v>Returning</v>
      </c>
      <c r="L533" t="str">
        <f>PROPER(TRIM(sales_data!L533))</f>
        <v>Bank Transfer</v>
      </c>
      <c r="M533" t="str">
        <f>PROPER(TRIM(sales_data!M533))</f>
        <v>Online</v>
      </c>
      <c r="N533">
        <f t="shared" si="33"/>
        <v>140.96000000000004</v>
      </c>
      <c r="O533">
        <f t="shared" si="34"/>
        <v>5215.5200000000013</v>
      </c>
      <c r="P533" t="str">
        <f t="shared" si="35"/>
        <v>Mar</v>
      </c>
    </row>
    <row r="534" spans="1:16" x14ac:dyDescent="0.25">
      <c r="A534">
        <v>1019</v>
      </c>
      <c r="B534" s="1">
        <v>45176</v>
      </c>
      <c r="C534">
        <f t="shared" si="32"/>
        <v>59060.080799999996</v>
      </c>
      <c r="D534">
        <v>27</v>
      </c>
      <c r="E534">
        <v>2387.52</v>
      </c>
      <c r="F534">
        <v>2604.06</v>
      </c>
      <c r="G534">
        <v>0.16</v>
      </c>
      <c r="H534" t="str">
        <f>PROPER(TRIM(sales_data!C534))</f>
        <v>Bob</v>
      </c>
      <c r="I534" t="str">
        <f>PROPER(TRIM(sales_data!D534))</f>
        <v>West</v>
      </c>
      <c r="J534" t="str">
        <f>PROPER(TRIM(sales_data!G534))</f>
        <v>Electronics</v>
      </c>
      <c r="K534" t="str">
        <f>PROPER(TRIM(sales_data!J534))</f>
        <v>Returning</v>
      </c>
      <c r="L534" t="str">
        <f>PROPER(TRIM(sales_data!L534))</f>
        <v>Cash</v>
      </c>
      <c r="M534" t="str">
        <f>PROPER(TRIM(sales_data!M534))</f>
        <v>Online</v>
      </c>
      <c r="N534">
        <f t="shared" si="33"/>
        <v>216.53999999999996</v>
      </c>
      <c r="O534">
        <f t="shared" si="34"/>
        <v>5846.579999999999</v>
      </c>
      <c r="P534" t="str">
        <f t="shared" si="35"/>
        <v>Sep</v>
      </c>
    </row>
    <row r="535" spans="1:16" x14ac:dyDescent="0.25">
      <c r="A535">
        <v>1058</v>
      </c>
      <c r="B535" s="1">
        <v>45196</v>
      </c>
      <c r="C535">
        <f t="shared" si="32"/>
        <v>84332.464000000007</v>
      </c>
      <c r="D535">
        <v>29</v>
      </c>
      <c r="E535">
        <v>3578.77</v>
      </c>
      <c r="F535">
        <v>3635.02</v>
      </c>
      <c r="G535">
        <v>0.2</v>
      </c>
      <c r="H535" t="str">
        <f>PROPER(TRIM(sales_data!C535))</f>
        <v>Eve</v>
      </c>
      <c r="I535" t="str">
        <f>PROPER(TRIM(sales_data!D535))</f>
        <v>West</v>
      </c>
      <c r="J535" t="str">
        <f>PROPER(TRIM(sales_data!G535))</f>
        <v>Electronics</v>
      </c>
      <c r="K535" t="str">
        <f>PROPER(TRIM(sales_data!J535))</f>
        <v>New</v>
      </c>
      <c r="L535" t="str">
        <f>PROPER(TRIM(sales_data!L535))</f>
        <v>Bank Transfer</v>
      </c>
      <c r="M535" t="str">
        <f>PROPER(TRIM(sales_data!M535))</f>
        <v>Retail</v>
      </c>
      <c r="N535">
        <f t="shared" si="33"/>
        <v>56.25</v>
      </c>
      <c r="O535">
        <f t="shared" si="34"/>
        <v>1631.25</v>
      </c>
      <c r="P535" t="str">
        <f t="shared" si="35"/>
        <v>Sep</v>
      </c>
    </row>
    <row r="536" spans="1:16" x14ac:dyDescent="0.25">
      <c r="A536">
        <v>1096</v>
      </c>
      <c r="B536" s="1">
        <v>45261</v>
      </c>
      <c r="C536">
        <f t="shared" si="32"/>
        <v>38850.199999999997</v>
      </c>
      <c r="D536">
        <v>20</v>
      </c>
      <c r="E536">
        <v>1994.9</v>
      </c>
      <c r="F536">
        <v>2066.5</v>
      </c>
      <c r="G536">
        <v>0.06</v>
      </c>
      <c r="H536" t="str">
        <f>PROPER(TRIM(sales_data!C536))</f>
        <v>Bob</v>
      </c>
      <c r="I536" t="str">
        <f>PROPER(TRIM(sales_data!D536))</f>
        <v>East</v>
      </c>
      <c r="J536" t="str">
        <f>PROPER(TRIM(sales_data!G536))</f>
        <v>Furniture</v>
      </c>
      <c r="K536" t="str">
        <f>PROPER(TRIM(sales_data!J536))</f>
        <v>Returning</v>
      </c>
      <c r="L536" t="str">
        <f>PROPER(TRIM(sales_data!L536))</f>
        <v>Bank Transfer</v>
      </c>
      <c r="M536" t="str">
        <f>PROPER(TRIM(sales_data!M536))</f>
        <v>Online</v>
      </c>
      <c r="N536">
        <f t="shared" si="33"/>
        <v>71.599999999999909</v>
      </c>
      <c r="O536">
        <f t="shared" si="34"/>
        <v>1431.9999999999982</v>
      </c>
      <c r="P536" t="str">
        <f t="shared" si="35"/>
        <v>Dec</v>
      </c>
    </row>
    <row r="537" spans="1:16" x14ac:dyDescent="0.25">
      <c r="A537">
        <v>1001</v>
      </c>
      <c r="B537" s="1">
        <v>45043</v>
      </c>
      <c r="C537">
        <f t="shared" si="32"/>
        <v>28172.342499999817</v>
      </c>
      <c r="D537">
        <v>25</v>
      </c>
      <c r="E537">
        <v>1330.62</v>
      </c>
      <c r="F537">
        <v>1543.6899999999901</v>
      </c>
      <c r="G537">
        <v>0.27</v>
      </c>
      <c r="H537" t="str">
        <f>PROPER(TRIM(sales_data!C537))</f>
        <v>Eve</v>
      </c>
      <c r="I537" t="str">
        <f>PROPER(TRIM(sales_data!D537))</f>
        <v>East</v>
      </c>
      <c r="J537" t="str">
        <f>PROPER(TRIM(sales_data!G537))</f>
        <v>Electronics</v>
      </c>
      <c r="K537" t="str">
        <f>PROPER(TRIM(sales_data!J537))</f>
        <v>New</v>
      </c>
      <c r="L537" t="str">
        <f>PROPER(TRIM(sales_data!L537))</f>
        <v>Credit Card</v>
      </c>
      <c r="M537" t="str">
        <f>PROPER(TRIM(sales_data!M537))</f>
        <v>Online</v>
      </c>
      <c r="N537">
        <f t="shared" si="33"/>
        <v>213.06999999999016</v>
      </c>
      <c r="O537">
        <f t="shared" si="34"/>
        <v>5326.7499999997544</v>
      </c>
      <c r="P537" t="str">
        <f t="shared" si="35"/>
        <v>Apr</v>
      </c>
    </row>
    <row r="538" spans="1:16" x14ac:dyDescent="0.25">
      <c r="A538">
        <v>1069</v>
      </c>
      <c r="B538" s="1">
        <v>44933</v>
      </c>
      <c r="C538">
        <f t="shared" si="32"/>
        <v>9684.9</v>
      </c>
      <c r="D538">
        <v>6</v>
      </c>
      <c r="E538">
        <v>1768.6</v>
      </c>
      <c r="F538">
        <v>2152.1999999999998</v>
      </c>
      <c r="G538">
        <v>0.25</v>
      </c>
      <c r="H538" t="str">
        <f>PROPER(TRIM(sales_data!C538))</f>
        <v>Alice</v>
      </c>
      <c r="I538" t="str">
        <f>PROPER(TRIM(sales_data!D538))</f>
        <v>East</v>
      </c>
      <c r="J538" t="str">
        <f>PROPER(TRIM(sales_data!G538))</f>
        <v>Food</v>
      </c>
      <c r="K538" t="str">
        <f>PROPER(TRIM(sales_data!J538))</f>
        <v>New</v>
      </c>
      <c r="L538" t="str">
        <f>PROPER(TRIM(sales_data!L538))</f>
        <v>Bank Transfer</v>
      </c>
      <c r="M538" t="str">
        <f>PROPER(TRIM(sales_data!M538))</f>
        <v>Retail</v>
      </c>
      <c r="N538">
        <f t="shared" si="33"/>
        <v>383.59999999999991</v>
      </c>
      <c r="O538">
        <f t="shared" si="34"/>
        <v>2301.5999999999995</v>
      </c>
      <c r="P538" t="str">
        <f t="shared" si="35"/>
        <v>Jan</v>
      </c>
    </row>
    <row r="539" spans="1:16" x14ac:dyDescent="0.25">
      <c r="A539">
        <v>1004</v>
      </c>
      <c r="B539" s="1">
        <v>45063</v>
      </c>
      <c r="C539">
        <f t="shared" si="32"/>
        <v>137225.55599999969</v>
      </c>
      <c r="D539">
        <v>36</v>
      </c>
      <c r="E539">
        <v>3981.2</v>
      </c>
      <c r="F539">
        <v>4432.3499999999904</v>
      </c>
      <c r="G539">
        <v>0.14000000000000001</v>
      </c>
      <c r="H539" t="str">
        <f>PROPER(TRIM(sales_data!C539))</f>
        <v>Alice</v>
      </c>
      <c r="I539" t="str">
        <f>PROPER(TRIM(sales_data!D539))</f>
        <v>North</v>
      </c>
      <c r="J539" t="str">
        <f>PROPER(TRIM(sales_data!G539))</f>
        <v>Food</v>
      </c>
      <c r="K539" t="str">
        <f>PROPER(TRIM(sales_data!J539))</f>
        <v>New</v>
      </c>
      <c r="L539" t="str">
        <f>PROPER(TRIM(sales_data!L539))</f>
        <v>Cash</v>
      </c>
      <c r="M539" t="str">
        <f>PROPER(TRIM(sales_data!M539))</f>
        <v>Online</v>
      </c>
      <c r="N539">
        <f t="shared" si="33"/>
        <v>451.14999999999054</v>
      </c>
      <c r="O539">
        <f t="shared" si="34"/>
        <v>16241.399999999659</v>
      </c>
      <c r="P539" t="str">
        <f t="shared" si="35"/>
        <v>May</v>
      </c>
    </row>
    <row r="540" spans="1:16" x14ac:dyDescent="0.25">
      <c r="A540">
        <v>1016</v>
      </c>
      <c r="B540" s="1">
        <v>45102</v>
      </c>
      <c r="C540">
        <f t="shared" si="32"/>
        <v>6125.8207999999995</v>
      </c>
      <c r="D540">
        <v>2</v>
      </c>
      <c r="E540">
        <v>3144.82</v>
      </c>
      <c r="F540">
        <v>3480.58</v>
      </c>
      <c r="G540">
        <v>0.12</v>
      </c>
      <c r="H540" t="str">
        <f>PROPER(TRIM(sales_data!C540))</f>
        <v>Alice</v>
      </c>
      <c r="I540" t="str">
        <f>PROPER(TRIM(sales_data!D540))</f>
        <v>West</v>
      </c>
      <c r="J540" t="str">
        <f>PROPER(TRIM(sales_data!G540))</f>
        <v>Electronics</v>
      </c>
      <c r="K540" t="str">
        <f>PROPER(TRIM(sales_data!J540))</f>
        <v>Returning</v>
      </c>
      <c r="L540" t="str">
        <f>PROPER(TRIM(sales_data!L540))</f>
        <v>Cash</v>
      </c>
      <c r="M540" t="str">
        <f>PROPER(TRIM(sales_data!M540))</f>
        <v>Retail</v>
      </c>
      <c r="N540">
        <f t="shared" si="33"/>
        <v>335.75999999999976</v>
      </c>
      <c r="O540">
        <f t="shared" si="34"/>
        <v>671.51999999999953</v>
      </c>
      <c r="P540" t="str">
        <f t="shared" si="35"/>
        <v>Jun</v>
      </c>
    </row>
    <row r="541" spans="1:16" x14ac:dyDescent="0.25">
      <c r="A541">
        <v>1024</v>
      </c>
      <c r="B541" s="1">
        <v>45254</v>
      </c>
      <c r="C541">
        <f t="shared" si="32"/>
        <v>97243.924799999993</v>
      </c>
      <c r="D541">
        <v>22</v>
      </c>
      <c r="E541">
        <v>4691.32</v>
      </c>
      <c r="F541">
        <v>4752.88</v>
      </c>
      <c r="G541">
        <v>7.0000000000000007E-2</v>
      </c>
      <c r="H541" t="str">
        <f>PROPER(TRIM(sales_data!C541))</f>
        <v>Alice</v>
      </c>
      <c r="I541" t="str">
        <f>PROPER(TRIM(sales_data!D541))</f>
        <v>South</v>
      </c>
      <c r="J541" t="str">
        <f>PROPER(TRIM(sales_data!G541))</f>
        <v>Food</v>
      </c>
      <c r="K541" t="str">
        <f>PROPER(TRIM(sales_data!J541))</f>
        <v>Returning</v>
      </c>
      <c r="L541" t="str">
        <f>PROPER(TRIM(sales_data!L541))</f>
        <v>Bank Transfer</v>
      </c>
      <c r="M541" t="str">
        <f>PROPER(TRIM(sales_data!M541))</f>
        <v>Retail</v>
      </c>
      <c r="N541">
        <f t="shared" si="33"/>
        <v>61.5600000000004</v>
      </c>
      <c r="O541">
        <f t="shared" si="34"/>
        <v>1354.3200000000088</v>
      </c>
      <c r="P541" t="str">
        <f t="shared" si="35"/>
        <v>Nov</v>
      </c>
    </row>
    <row r="542" spans="1:16" x14ac:dyDescent="0.25">
      <c r="A542">
        <v>1080</v>
      </c>
      <c r="B542" s="1">
        <v>45241</v>
      </c>
      <c r="C542">
        <f t="shared" si="32"/>
        <v>93695.596799999999</v>
      </c>
      <c r="D542">
        <v>32</v>
      </c>
      <c r="E542">
        <v>3414.54</v>
      </c>
      <c r="F542">
        <v>3753.83</v>
      </c>
      <c r="G542">
        <v>0.22</v>
      </c>
      <c r="H542" t="str">
        <f>PROPER(TRIM(sales_data!C542))</f>
        <v>Alice</v>
      </c>
      <c r="I542" t="str">
        <f>PROPER(TRIM(sales_data!D542))</f>
        <v>East</v>
      </c>
      <c r="J542" t="str">
        <f>PROPER(TRIM(sales_data!G542))</f>
        <v>Electronics</v>
      </c>
      <c r="K542" t="str">
        <f>PROPER(TRIM(sales_data!J542))</f>
        <v>New</v>
      </c>
      <c r="L542" t="str">
        <f>PROPER(TRIM(sales_data!L542))</f>
        <v>Cash</v>
      </c>
      <c r="M542" t="str">
        <f>PROPER(TRIM(sales_data!M542))</f>
        <v>Retail</v>
      </c>
      <c r="N542">
        <f t="shared" si="33"/>
        <v>339.28999999999996</v>
      </c>
      <c r="O542">
        <f t="shared" si="34"/>
        <v>10857.279999999999</v>
      </c>
      <c r="P542" t="str">
        <f t="shared" si="35"/>
        <v>Nov</v>
      </c>
    </row>
    <row r="543" spans="1:16" x14ac:dyDescent="0.25">
      <c r="A543">
        <v>1002</v>
      </c>
      <c r="B543" s="1">
        <v>45141</v>
      </c>
      <c r="C543">
        <f t="shared" si="32"/>
        <v>49056.153600000005</v>
      </c>
      <c r="D543">
        <v>16</v>
      </c>
      <c r="E543">
        <v>2872.4</v>
      </c>
      <c r="F543">
        <v>3193.76</v>
      </c>
      <c r="G543">
        <v>0.04</v>
      </c>
      <c r="H543" t="str">
        <f>PROPER(TRIM(sales_data!C543))</f>
        <v>Alice</v>
      </c>
      <c r="I543" t="str">
        <f>PROPER(TRIM(sales_data!D543))</f>
        <v>South</v>
      </c>
      <c r="J543" t="str">
        <f>PROPER(TRIM(sales_data!G543))</f>
        <v>Furniture</v>
      </c>
      <c r="K543" t="str">
        <f>PROPER(TRIM(sales_data!J543))</f>
        <v>Returning</v>
      </c>
      <c r="L543" t="str">
        <f>PROPER(TRIM(sales_data!L543))</f>
        <v>Credit Card</v>
      </c>
      <c r="M543" t="str">
        <f>PROPER(TRIM(sales_data!M543))</f>
        <v>Online</v>
      </c>
      <c r="N543">
        <f t="shared" si="33"/>
        <v>321.36000000000013</v>
      </c>
      <c r="O543">
        <f t="shared" si="34"/>
        <v>5141.760000000002</v>
      </c>
      <c r="P543" t="str">
        <f t="shared" si="35"/>
        <v>Aug</v>
      </c>
    </row>
    <row r="544" spans="1:16" x14ac:dyDescent="0.25">
      <c r="A544">
        <v>1092</v>
      </c>
      <c r="B544" s="1">
        <v>45008</v>
      </c>
      <c r="C544">
        <f t="shared" si="32"/>
        <v>50044.176000000007</v>
      </c>
      <c r="D544">
        <v>18</v>
      </c>
      <c r="E544">
        <v>3070.47</v>
      </c>
      <c r="F544">
        <v>3475.29</v>
      </c>
      <c r="G544">
        <v>0.2</v>
      </c>
      <c r="H544" t="str">
        <f>PROPER(TRIM(sales_data!C544))</f>
        <v>Bob</v>
      </c>
      <c r="I544" t="str">
        <f>PROPER(TRIM(sales_data!D544))</f>
        <v>South</v>
      </c>
      <c r="J544" t="str">
        <f>PROPER(TRIM(sales_data!G544))</f>
        <v>Food</v>
      </c>
      <c r="K544" t="str">
        <f>PROPER(TRIM(sales_data!J544))</f>
        <v>Returning</v>
      </c>
      <c r="L544" t="str">
        <f>PROPER(TRIM(sales_data!L544))</f>
        <v>Bank Transfer</v>
      </c>
      <c r="M544" t="str">
        <f>PROPER(TRIM(sales_data!M544))</f>
        <v>Online</v>
      </c>
      <c r="N544">
        <f t="shared" si="33"/>
        <v>404.82000000000016</v>
      </c>
      <c r="O544">
        <f t="shared" si="34"/>
        <v>7286.7600000000029</v>
      </c>
      <c r="P544" t="str">
        <f t="shared" si="35"/>
        <v>Mar</v>
      </c>
    </row>
    <row r="545" spans="1:16" x14ac:dyDescent="0.25">
      <c r="A545">
        <v>1032</v>
      </c>
      <c r="B545" s="1">
        <v>45149</v>
      </c>
      <c r="C545">
        <f t="shared" si="32"/>
        <v>19234.162499999999</v>
      </c>
      <c r="D545">
        <v>5</v>
      </c>
      <c r="E545">
        <v>4714.74</v>
      </c>
      <c r="F545">
        <v>5129.1099999999997</v>
      </c>
      <c r="G545">
        <v>0.25</v>
      </c>
      <c r="H545" t="str">
        <f>PROPER(TRIM(sales_data!C545))</f>
        <v>David</v>
      </c>
      <c r="I545" t="str">
        <f>PROPER(TRIM(sales_data!D545))</f>
        <v>East</v>
      </c>
      <c r="J545" t="str">
        <f>PROPER(TRIM(sales_data!G545))</f>
        <v>Food</v>
      </c>
      <c r="K545" t="str">
        <f>PROPER(TRIM(sales_data!J545))</f>
        <v>New</v>
      </c>
      <c r="L545" t="str">
        <f>PROPER(TRIM(sales_data!L545))</f>
        <v>Bank Transfer</v>
      </c>
      <c r="M545" t="str">
        <f>PROPER(TRIM(sales_data!M545))</f>
        <v>Online</v>
      </c>
      <c r="N545">
        <f t="shared" si="33"/>
        <v>414.36999999999989</v>
      </c>
      <c r="O545">
        <f t="shared" si="34"/>
        <v>2071.8499999999995</v>
      </c>
      <c r="P545" t="str">
        <f t="shared" si="35"/>
        <v>Aug</v>
      </c>
    </row>
    <row r="546" spans="1:16" x14ac:dyDescent="0.25">
      <c r="A546">
        <v>1091</v>
      </c>
      <c r="B546" s="1">
        <v>45029</v>
      </c>
      <c r="C546">
        <f t="shared" si="32"/>
        <v>146877.09479999999</v>
      </c>
      <c r="D546">
        <v>36</v>
      </c>
      <c r="E546">
        <v>3951.59</v>
      </c>
      <c r="F546">
        <v>4387.01</v>
      </c>
      <c r="G546">
        <v>7.0000000000000007E-2</v>
      </c>
      <c r="H546" t="str">
        <f>PROPER(TRIM(sales_data!C546))</f>
        <v>Eve</v>
      </c>
      <c r="I546" t="str">
        <f>PROPER(TRIM(sales_data!D546))</f>
        <v>West</v>
      </c>
      <c r="J546" t="str">
        <f>PROPER(TRIM(sales_data!G546))</f>
        <v>Electronics</v>
      </c>
      <c r="K546" t="str">
        <f>PROPER(TRIM(sales_data!J546))</f>
        <v>New</v>
      </c>
      <c r="L546" t="str">
        <f>PROPER(TRIM(sales_data!L546))</f>
        <v>Bank Transfer</v>
      </c>
      <c r="M546" t="str">
        <f>PROPER(TRIM(sales_data!M546))</f>
        <v>Retail</v>
      </c>
      <c r="N546">
        <f t="shared" si="33"/>
        <v>435.42000000000007</v>
      </c>
      <c r="O546">
        <f t="shared" si="34"/>
        <v>15675.120000000003</v>
      </c>
      <c r="P546" t="str">
        <f t="shared" si="35"/>
        <v>Apr</v>
      </c>
    </row>
    <row r="547" spans="1:16" x14ac:dyDescent="0.25">
      <c r="A547">
        <v>1084</v>
      </c>
      <c r="B547" s="1">
        <v>45199</v>
      </c>
      <c r="C547">
        <f t="shared" si="32"/>
        <v>8478.623999999978</v>
      </c>
      <c r="D547">
        <v>30</v>
      </c>
      <c r="E547">
        <v>169</v>
      </c>
      <c r="F547">
        <v>381.91999999999899</v>
      </c>
      <c r="G547">
        <v>0.26</v>
      </c>
      <c r="H547" t="str">
        <f>PROPER(TRIM(sales_data!C547))</f>
        <v>Alice</v>
      </c>
      <c r="I547" t="str">
        <f>PROPER(TRIM(sales_data!D547))</f>
        <v>East</v>
      </c>
      <c r="J547" t="str">
        <f>PROPER(TRIM(sales_data!G547))</f>
        <v>Food</v>
      </c>
      <c r="K547" t="str">
        <f>PROPER(TRIM(sales_data!J547))</f>
        <v>Returning</v>
      </c>
      <c r="L547" t="str">
        <f>PROPER(TRIM(sales_data!L547))</f>
        <v>Cash</v>
      </c>
      <c r="M547" t="str">
        <f>PROPER(TRIM(sales_data!M547))</f>
        <v>Retail</v>
      </c>
      <c r="N547">
        <f t="shared" si="33"/>
        <v>212.91999999999899</v>
      </c>
      <c r="O547">
        <f t="shared" si="34"/>
        <v>6387.5999999999694</v>
      </c>
      <c r="P547" t="str">
        <f t="shared" si="35"/>
        <v>Sep</v>
      </c>
    </row>
    <row r="548" spans="1:16" x14ac:dyDescent="0.25">
      <c r="A548">
        <v>1024</v>
      </c>
      <c r="B548" s="1">
        <v>44940</v>
      </c>
      <c r="C548">
        <f t="shared" si="32"/>
        <v>135696.62699999954</v>
      </c>
      <c r="D548">
        <v>45</v>
      </c>
      <c r="E548">
        <v>2693.99</v>
      </c>
      <c r="F548">
        <v>3045.9399999999901</v>
      </c>
      <c r="G548">
        <v>0.01</v>
      </c>
      <c r="H548" t="str">
        <f>PROPER(TRIM(sales_data!C548))</f>
        <v>Bob</v>
      </c>
      <c r="I548" t="str">
        <f>PROPER(TRIM(sales_data!D548))</f>
        <v>South</v>
      </c>
      <c r="J548" t="str">
        <f>PROPER(TRIM(sales_data!G548))</f>
        <v>Clothing</v>
      </c>
      <c r="K548" t="str">
        <f>PROPER(TRIM(sales_data!J548))</f>
        <v>New</v>
      </c>
      <c r="L548" t="str">
        <f>PROPER(TRIM(sales_data!L548))</f>
        <v>Cash</v>
      </c>
      <c r="M548" t="str">
        <f>PROPER(TRIM(sales_data!M548))</f>
        <v>Retail</v>
      </c>
      <c r="N548">
        <f t="shared" si="33"/>
        <v>351.94999999999027</v>
      </c>
      <c r="O548">
        <f t="shared" si="34"/>
        <v>15837.749999999562</v>
      </c>
      <c r="P548" t="str">
        <f t="shared" si="35"/>
        <v>Jan</v>
      </c>
    </row>
    <row r="549" spans="1:16" x14ac:dyDescent="0.25">
      <c r="A549">
        <v>1012</v>
      </c>
      <c r="B549" s="1">
        <v>45085</v>
      </c>
      <c r="C549">
        <f t="shared" si="32"/>
        <v>49914.246399999996</v>
      </c>
      <c r="D549">
        <v>19</v>
      </c>
      <c r="E549">
        <v>3457.28</v>
      </c>
      <c r="F549">
        <v>3598.72</v>
      </c>
      <c r="G549">
        <v>0.27</v>
      </c>
      <c r="H549" t="str">
        <f>PROPER(TRIM(sales_data!C549))</f>
        <v>Bob</v>
      </c>
      <c r="I549" t="str">
        <f>PROPER(TRIM(sales_data!D549))</f>
        <v>East</v>
      </c>
      <c r="J549" t="str">
        <f>PROPER(TRIM(sales_data!G549))</f>
        <v>Furniture</v>
      </c>
      <c r="K549" t="str">
        <f>PROPER(TRIM(sales_data!J549))</f>
        <v>New</v>
      </c>
      <c r="L549" t="str">
        <f>PROPER(TRIM(sales_data!L549))</f>
        <v>Bank Transfer</v>
      </c>
      <c r="M549" t="str">
        <f>PROPER(TRIM(sales_data!M549))</f>
        <v>Online</v>
      </c>
      <c r="N549">
        <f t="shared" si="33"/>
        <v>141.4399999999996</v>
      </c>
      <c r="O549">
        <f t="shared" si="34"/>
        <v>2687.3599999999924</v>
      </c>
      <c r="P549" t="str">
        <f t="shared" si="35"/>
        <v>Jun</v>
      </c>
    </row>
    <row r="550" spans="1:16" x14ac:dyDescent="0.25">
      <c r="A550">
        <v>1050</v>
      </c>
      <c r="B550" s="1">
        <v>45078</v>
      </c>
      <c r="C550">
        <f t="shared" si="32"/>
        <v>93966.518399999986</v>
      </c>
      <c r="D550">
        <v>23</v>
      </c>
      <c r="E550">
        <v>3756.06</v>
      </c>
      <c r="F550">
        <v>4255.7299999999996</v>
      </c>
      <c r="G550">
        <v>0.04</v>
      </c>
      <c r="H550" t="str">
        <f>PROPER(TRIM(sales_data!C550))</f>
        <v>Bob</v>
      </c>
      <c r="I550" t="str">
        <f>PROPER(TRIM(sales_data!D550))</f>
        <v>South</v>
      </c>
      <c r="J550" t="str">
        <f>PROPER(TRIM(sales_data!G550))</f>
        <v>Furniture</v>
      </c>
      <c r="K550" t="str">
        <f>PROPER(TRIM(sales_data!J550))</f>
        <v>Returning</v>
      </c>
      <c r="L550" t="str">
        <f>PROPER(TRIM(sales_data!L550))</f>
        <v>Cash</v>
      </c>
      <c r="M550" t="str">
        <f>PROPER(TRIM(sales_data!M550))</f>
        <v>Online</v>
      </c>
      <c r="N550">
        <f t="shared" si="33"/>
        <v>499.66999999999962</v>
      </c>
      <c r="O550">
        <f t="shared" si="34"/>
        <v>11492.409999999991</v>
      </c>
      <c r="P550" t="str">
        <f t="shared" si="35"/>
        <v>Jun</v>
      </c>
    </row>
    <row r="551" spans="1:16" x14ac:dyDescent="0.25">
      <c r="A551">
        <v>1035</v>
      </c>
      <c r="B551" s="1">
        <v>45034</v>
      </c>
      <c r="C551">
        <f t="shared" si="32"/>
        <v>33074.438399999999</v>
      </c>
      <c r="D551">
        <v>34</v>
      </c>
      <c r="E551">
        <v>1105.05</v>
      </c>
      <c r="F551">
        <v>1200.96</v>
      </c>
      <c r="G551">
        <v>0.19</v>
      </c>
      <c r="H551" t="str">
        <f>PROPER(TRIM(sales_data!C551))</f>
        <v>David</v>
      </c>
      <c r="I551" t="str">
        <f>PROPER(TRIM(sales_data!D551))</f>
        <v>South</v>
      </c>
      <c r="J551" t="str">
        <f>PROPER(TRIM(sales_data!G551))</f>
        <v>Food</v>
      </c>
      <c r="K551" t="str">
        <f>PROPER(TRIM(sales_data!J551))</f>
        <v>Returning</v>
      </c>
      <c r="L551" t="str">
        <f>PROPER(TRIM(sales_data!L551))</f>
        <v>Cash</v>
      </c>
      <c r="M551" t="str">
        <f>PROPER(TRIM(sales_data!M551))</f>
        <v>Online</v>
      </c>
      <c r="N551">
        <f t="shared" si="33"/>
        <v>95.910000000000082</v>
      </c>
      <c r="O551">
        <f t="shared" si="34"/>
        <v>3260.9400000000028</v>
      </c>
      <c r="P551" t="str">
        <f t="shared" si="35"/>
        <v>Apr</v>
      </c>
    </row>
    <row r="552" spans="1:16" x14ac:dyDescent="0.25">
      <c r="A552">
        <v>1033</v>
      </c>
      <c r="B552" s="1">
        <v>45114</v>
      </c>
      <c r="C552">
        <f t="shared" si="32"/>
        <v>52115.580399999999</v>
      </c>
      <c r="D552">
        <v>13</v>
      </c>
      <c r="E552">
        <v>4342.53</v>
      </c>
      <c r="F552">
        <v>4357.49</v>
      </c>
      <c r="G552">
        <v>0.08</v>
      </c>
      <c r="H552" t="str">
        <f>PROPER(TRIM(sales_data!C552))</f>
        <v>Eve</v>
      </c>
      <c r="I552" t="str">
        <f>PROPER(TRIM(sales_data!D552))</f>
        <v>East</v>
      </c>
      <c r="J552" t="str">
        <f>PROPER(TRIM(sales_data!G552))</f>
        <v>Food</v>
      </c>
      <c r="K552" t="str">
        <f>PROPER(TRIM(sales_data!J552))</f>
        <v>New</v>
      </c>
      <c r="L552" t="str">
        <f>PROPER(TRIM(sales_data!L552))</f>
        <v>Bank Transfer</v>
      </c>
      <c r="M552" t="str">
        <f>PROPER(TRIM(sales_data!M552))</f>
        <v>Online</v>
      </c>
      <c r="N552">
        <f t="shared" si="33"/>
        <v>14.960000000000036</v>
      </c>
      <c r="O552">
        <f t="shared" si="34"/>
        <v>194.48000000000047</v>
      </c>
      <c r="P552" t="str">
        <f t="shared" si="35"/>
        <v>Jul</v>
      </c>
    </row>
    <row r="553" spans="1:16" x14ac:dyDescent="0.25">
      <c r="A553">
        <v>1033</v>
      </c>
      <c r="B553" s="1">
        <v>45227</v>
      </c>
      <c r="C553">
        <f t="shared" si="32"/>
        <v>156874.965</v>
      </c>
      <c r="D553">
        <v>43</v>
      </c>
      <c r="E553">
        <v>4781.42</v>
      </c>
      <c r="F553">
        <v>4864.34</v>
      </c>
      <c r="G553">
        <v>0.25</v>
      </c>
      <c r="H553" t="str">
        <f>PROPER(TRIM(sales_data!C553))</f>
        <v>David</v>
      </c>
      <c r="I553" t="str">
        <f>PROPER(TRIM(sales_data!D553))</f>
        <v>North</v>
      </c>
      <c r="J553" t="str">
        <f>PROPER(TRIM(sales_data!G553))</f>
        <v>Clothing</v>
      </c>
      <c r="K553" t="str">
        <f>PROPER(TRIM(sales_data!J553))</f>
        <v>Returning</v>
      </c>
      <c r="L553" t="str">
        <f>PROPER(TRIM(sales_data!L553))</f>
        <v>Bank Transfer</v>
      </c>
      <c r="M553" t="str">
        <f>PROPER(TRIM(sales_data!M553))</f>
        <v>Online</v>
      </c>
      <c r="N553">
        <f t="shared" si="33"/>
        <v>82.920000000000073</v>
      </c>
      <c r="O553">
        <f t="shared" si="34"/>
        <v>3565.5600000000031</v>
      </c>
      <c r="P553" t="str">
        <f t="shared" si="35"/>
        <v>Oct</v>
      </c>
    </row>
    <row r="554" spans="1:16" x14ac:dyDescent="0.25">
      <c r="A554">
        <v>1061</v>
      </c>
      <c r="B554" s="1">
        <v>45024</v>
      </c>
      <c r="C554">
        <f t="shared" si="32"/>
        <v>39733.828000000001</v>
      </c>
      <c r="D554">
        <v>29</v>
      </c>
      <c r="E554">
        <v>1221.74</v>
      </c>
      <c r="F554">
        <v>1611.92</v>
      </c>
      <c r="G554">
        <v>0.15</v>
      </c>
      <c r="H554" t="str">
        <f>PROPER(TRIM(sales_data!C554))</f>
        <v>Charlie</v>
      </c>
      <c r="I554" t="str">
        <f>PROPER(TRIM(sales_data!D554))</f>
        <v>East</v>
      </c>
      <c r="J554" t="str">
        <f>PROPER(TRIM(sales_data!G554))</f>
        <v>Clothing</v>
      </c>
      <c r="K554" t="str">
        <f>PROPER(TRIM(sales_data!J554))</f>
        <v>New</v>
      </c>
      <c r="L554" t="str">
        <f>PROPER(TRIM(sales_data!L554))</f>
        <v>Cash</v>
      </c>
      <c r="M554" t="str">
        <f>PROPER(TRIM(sales_data!M554))</f>
        <v>Retail</v>
      </c>
      <c r="N554">
        <f t="shared" si="33"/>
        <v>390.18000000000006</v>
      </c>
      <c r="O554">
        <f t="shared" si="34"/>
        <v>11315.220000000001</v>
      </c>
      <c r="P554" t="str">
        <f t="shared" si="35"/>
        <v>Apr</v>
      </c>
    </row>
    <row r="555" spans="1:16" x14ac:dyDescent="0.25">
      <c r="A555">
        <v>1051</v>
      </c>
      <c r="B555" s="1">
        <v>45057</v>
      </c>
      <c r="C555">
        <f t="shared" si="32"/>
        <v>160630.3872</v>
      </c>
      <c r="D555">
        <v>36</v>
      </c>
      <c r="E555">
        <v>4418.95</v>
      </c>
      <c r="F555">
        <v>4647.87</v>
      </c>
      <c r="G555">
        <v>0.04</v>
      </c>
      <c r="H555" t="str">
        <f>PROPER(TRIM(sales_data!C555))</f>
        <v>Bob</v>
      </c>
      <c r="I555" t="str">
        <f>PROPER(TRIM(sales_data!D555))</f>
        <v>North</v>
      </c>
      <c r="J555" t="str">
        <f>PROPER(TRIM(sales_data!G555))</f>
        <v>Food</v>
      </c>
      <c r="K555" t="str">
        <f>PROPER(TRIM(sales_data!J555))</f>
        <v>New</v>
      </c>
      <c r="L555" t="str">
        <f>PROPER(TRIM(sales_data!L555))</f>
        <v>Bank Transfer</v>
      </c>
      <c r="M555" t="str">
        <f>PROPER(TRIM(sales_data!M555))</f>
        <v>Online</v>
      </c>
      <c r="N555">
        <f t="shared" si="33"/>
        <v>228.92000000000007</v>
      </c>
      <c r="O555">
        <f t="shared" si="34"/>
        <v>8241.1200000000026</v>
      </c>
      <c r="P555" t="str">
        <f t="shared" si="35"/>
        <v>May</v>
      </c>
    </row>
    <row r="556" spans="1:16" x14ac:dyDescent="0.25">
      <c r="A556">
        <v>1043</v>
      </c>
      <c r="B556" s="1">
        <v>45219</v>
      </c>
      <c r="C556">
        <f t="shared" si="32"/>
        <v>13865.183199999981</v>
      </c>
      <c r="D556">
        <v>22</v>
      </c>
      <c r="E556">
        <v>530.04</v>
      </c>
      <c r="F556">
        <v>759.31999999999903</v>
      </c>
      <c r="G556">
        <v>0.17</v>
      </c>
      <c r="H556" t="str">
        <f>PROPER(TRIM(sales_data!C556))</f>
        <v>Charlie</v>
      </c>
      <c r="I556" t="str">
        <f>PROPER(TRIM(sales_data!D556))</f>
        <v>South</v>
      </c>
      <c r="J556" t="str">
        <f>PROPER(TRIM(sales_data!G556))</f>
        <v>Food</v>
      </c>
      <c r="K556" t="str">
        <f>PROPER(TRIM(sales_data!J556))</f>
        <v>Returning</v>
      </c>
      <c r="L556" t="str">
        <f>PROPER(TRIM(sales_data!L556))</f>
        <v>Bank Transfer</v>
      </c>
      <c r="M556" t="str">
        <f>PROPER(TRIM(sales_data!M556))</f>
        <v>Retail</v>
      </c>
      <c r="N556">
        <f t="shared" si="33"/>
        <v>229.27999999999906</v>
      </c>
      <c r="O556">
        <f t="shared" si="34"/>
        <v>5044.1599999999798</v>
      </c>
      <c r="P556" t="str">
        <f t="shared" si="35"/>
        <v>Oct</v>
      </c>
    </row>
    <row r="557" spans="1:16" x14ac:dyDescent="0.25">
      <c r="A557">
        <v>1012</v>
      </c>
      <c r="B557" s="1">
        <v>45097</v>
      </c>
      <c r="C557">
        <f t="shared" si="32"/>
        <v>33241.445599999999</v>
      </c>
      <c r="D557">
        <v>47</v>
      </c>
      <c r="E557">
        <v>325.75</v>
      </c>
      <c r="F557">
        <v>803.71</v>
      </c>
      <c r="G557">
        <v>0.12</v>
      </c>
      <c r="H557" t="str">
        <f>PROPER(TRIM(sales_data!C557))</f>
        <v>Alice</v>
      </c>
      <c r="I557" t="str">
        <f>PROPER(TRIM(sales_data!D557))</f>
        <v>South</v>
      </c>
      <c r="J557" t="str">
        <f>PROPER(TRIM(sales_data!G557))</f>
        <v>Clothing</v>
      </c>
      <c r="K557" t="str">
        <f>PROPER(TRIM(sales_data!J557))</f>
        <v>New</v>
      </c>
      <c r="L557" t="str">
        <f>PROPER(TRIM(sales_data!L557))</f>
        <v>Bank Transfer</v>
      </c>
      <c r="M557" t="str">
        <f>PROPER(TRIM(sales_data!M557))</f>
        <v>Retail</v>
      </c>
      <c r="N557">
        <f t="shared" si="33"/>
        <v>477.96000000000004</v>
      </c>
      <c r="O557">
        <f t="shared" si="34"/>
        <v>22464.120000000003</v>
      </c>
      <c r="P557" t="str">
        <f t="shared" si="35"/>
        <v>Jun</v>
      </c>
    </row>
    <row r="558" spans="1:16" x14ac:dyDescent="0.25">
      <c r="A558">
        <v>1067</v>
      </c>
      <c r="B558" s="1">
        <v>45109</v>
      </c>
      <c r="C558">
        <f t="shared" si="32"/>
        <v>33128.064000000006</v>
      </c>
      <c r="D558">
        <v>36</v>
      </c>
      <c r="E558">
        <v>689.66</v>
      </c>
      <c r="F558">
        <v>1150.28</v>
      </c>
      <c r="G558">
        <v>0.2</v>
      </c>
      <c r="H558" t="str">
        <f>PROPER(TRIM(sales_data!C558))</f>
        <v>Alice</v>
      </c>
      <c r="I558" t="str">
        <f>PROPER(TRIM(sales_data!D558))</f>
        <v>North</v>
      </c>
      <c r="J558" t="str">
        <f>PROPER(TRIM(sales_data!G558))</f>
        <v>Electronics</v>
      </c>
      <c r="K558" t="str">
        <f>PROPER(TRIM(sales_data!J558))</f>
        <v>New</v>
      </c>
      <c r="L558" t="str">
        <f>PROPER(TRIM(sales_data!L558))</f>
        <v>Bank Transfer</v>
      </c>
      <c r="M558" t="str">
        <f>PROPER(TRIM(sales_data!M558))</f>
        <v>Online</v>
      </c>
      <c r="N558">
        <f t="shared" si="33"/>
        <v>460.62</v>
      </c>
      <c r="O558">
        <f t="shared" si="34"/>
        <v>16582.32</v>
      </c>
      <c r="P558" t="str">
        <f t="shared" si="35"/>
        <v>Jul</v>
      </c>
    </row>
    <row r="559" spans="1:16" x14ac:dyDescent="0.25">
      <c r="A559">
        <v>1065</v>
      </c>
      <c r="B559" s="1">
        <v>45290</v>
      </c>
      <c r="C559">
        <f t="shared" si="32"/>
        <v>3318.7446</v>
      </c>
      <c r="D559">
        <v>9</v>
      </c>
      <c r="E559">
        <v>335.82</v>
      </c>
      <c r="F559">
        <v>498.31</v>
      </c>
      <c r="G559">
        <v>0.26</v>
      </c>
      <c r="H559" t="str">
        <f>PROPER(TRIM(sales_data!C559))</f>
        <v>David</v>
      </c>
      <c r="I559" t="str">
        <f>PROPER(TRIM(sales_data!D559))</f>
        <v>South</v>
      </c>
      <c r="J559" t="str">
        <f>PROPER(TRIM(sales_data!G559))</f>
        <v>Clothing</v>
      </c>
      <c r="K559" t="str">
        <f>PROPER(TRIM(sales_data!J559))</f>
        <v>New</v>
      </c>
      <c r="L559" t="str">
        <f>PROPER(TRIM(sales_data!L559))</f>
        <v>Cash</v>
      </c>
      <c r="M559" t="str">
        <f>PROPER(TRIM(sales_data!M559))</f>
        <v>Retail</v>
      </c>
      <c r="N559">
        <f t="shared" si="33"/>
        <v>162.49</v>
      </c>
      <c r="O559">
        <f t="shared" si="34"/>
        <v>1462.41</v>
      </c>
      <c r="P559" t="str">
        <f t="shared" si="35"/>
        <v>Dec</v>
      </c>
    </row>
    <row r="560" spans="1:16" x14ac:dyDescent="0.25">
      <c r="A560">
        <v>1033</v>
      </c>
      <c r="B560" s="1">
        <v>44965</v>
      </c>
      <c r="C560">
        <f t="shared" si="32"/>
        <v>149128.98000000001</v>
      </c>
      <c r="D560">
        <v>39</v>
      </c>
      <c r="E560">
        <v>4232.8100000000004</v>
      </c>
      <c r="F560">
        <v>4345.25</v>
      </c>
      <c r="G560">
        <v>0.12</v>
      </c>
      <c r="H560" t="str">
        <f>PROPER(TRIM(sales_data!C560))</f>
        <v>Eve</v>
      </c>
      <c r="I560" t="str">
        <f>PROPER(TRIM(sales_data!D560))</f>
        <v>North</v>
      </c>
      <c r="J560" t="str">
        <f>PROPER(TRIM(sales_data!G560))</f>
        <v>Electronics</v>
      </c>
      <c r="K560" t="str">
        <f>PROPER(TRIM(sales_data!J560))</f>
        <v>Returning</v>
      </c>
      <c r="L560" t="str">
        <f>PROPER(TRIM(sales_data!L560))</f>
        <v>Bank Transfer</v>
      </c>
      <c r="M560" t="str">
        <f>PROPER(TRIM(sales_data!M560))</f>
        <v>Online</v>
      </c>
      <c r="N560">
        <f t="shared" si="33"/>
        <v>112.4399999999996</v>
      </c>
      <c r="O560">
        <f t="shared" si="34"/>
        <v>4385.1599999999844</v>
      </c>
      <c r="P560" t="str">
        <f t="shared" si="35"/>
        <v>Feb</v>
      </c>
    </row>
    <row r="561" spans="1:16" x14ac:dyDescent="0.25">
      <c r="A561">
        <v>1040</v>
      </c>
      <c r="B561" s="1">
        <v>44941</v>
      </c>
      <c r="C561">
        <f t="shared" si="32"/>
        <v>13279.7574</v>
      </c>
      <c r="D561">
        <v>19</v>
      </c>
      <c r="E561">
        <v>342.3</v>
      </c>
      <c r="F561">
        <v>768.06</v>
      </c>
      <c r="G561">
        <v>0.09</v>
      </c>
      <c r="H561" t="str">
        <f>PROPER(TRIM(sales_data!C561))</f>
        <v>Charlie</v>
      </c>
      <c r="I561" t="str">
        <f>PROPER(TRIM(sales_data!D561))</f>
        <v>North</v>
      </c>
      <c r="J561" t="str">
        <f>PROPER(TRIM(sales_data!G561))</f>
        <v>Furniture</v>
      </c>
      <c r="K561" t="str">
        <f>PROPER(TRIM(sales_data!J561))</f>
        <v>Returning</v>
      </c>
      <c r="L561" t="str">
        <f>PROPER(TRIM(sales_data!L561))</f>
        <v>Credit Card</v>
      </c>
      <c r="M561" t="str">
        <f>PROPER(TRIM(sales_data!M561))</f>
        <v>Online</v>
      </c>
      <c r="N561">
        <f t="shared" si="33"/>
        <v>425.75999999999993</v>
      </c>
      <c r="O561">
        <f t="shared" si="34"/>
        <v>8089.4399999999987</v>
      </c>
      <c r="P561" t="str">
        <f t="shared" si="35"/>
        <v>Jan</v>
      </c>
    </row>
    <row r="562" spans="1:16" x14ac:dyDescent="0.25">
      <c r="A562">
        <v>1074</v>
      </c>
      <c r="B562" s="1">
        <v>44930</v>
      </c>
      <c r="C562">
        <f t="shared" si="32"/>
        <v>70250.22</v>
      </c>
      <c r="D562">
        <v>38</v>
      </c>
      <c r="E562">
        <v>1394.74</v>
      </c>
      <c r="F562">
        <v>1848.69</v>
      </c>
      <c r="G562">
        <v>0</v>
      </c>
      <c r="H562" t="str">
        <f>PROPER(TRIM(sales_data!C562))</f>
        <v>Eve</v>
      </c>
      <c r="I562" t="str">
        <f>PROPER(TRIM(sales_data!D562))</f>
        <v>South</v>
      </c>
      <c r="J562" t="str">
        <f>PROPER(TRIM(sales_data!G562))</f>
        <v>Furniture</v>
      </c>
      <c r="K562" t="str">
        <f>PROPER(TRIM(sales_data!J562))</f>
        <v>Returning</v>
      </c>
      <c r="L562" t="str">
        <f>PROPER(TRIM(sales_data!L562))</f>
        <v>Bank Transfer</v>
      </c>
      <c r="M562" t="str">
        <f>PROPER(TRIM(sales_data!M562))</f>
        <v>Retail</v>
      </c>
      <c r="N562">
        <f t="shared" si="33"/>
        <v>453.95000000000005</v>
      </c>
      <c r="O562">
        <f t="shared" si="34"/>
        <v>17250.100000000002</v>
      </c>
      <c r="P562" t="str">
        <f t="shared" si="35"/>
        <v>Jan</v>
      </c>
    </row>
    <row r="563" spans="1:16" x14ac:dyDescent="0.25">
      <c r="A563">
        <v>1043</v>
      </c>
      <c r="B563" s="1">
        <v>45275</v>
      </c>
      <c r="C563">
        <f t="shared" si="32"/>
        <v>4178.0705999999991</v>
      </c>
      <c r="D563">
        <v>6</v>
      </c>
      <c r="E563">
        <v>563.59</v>
      </c>
      <c r="F563">
        <v>838.97</v>
      </c>
      <c r="G563">
        <v>0.17</v>
      </c>
      <c r="H563" t="str">
        <f>PROPER(TRIM(sales_data!C563))</f>
        <v>David</v>
      </c>
      <c r="I563" t="str">
        <f>PROPER(TRIM(sales_data!D563))</f>
        <v>West</v>
      </c>
      <c r="J563" t="str">
        <f>PROPER(TRIM(sales_data!G563))</f>
        <v>Clothing</v>
      </c>
      <c r="K563" t="str">
        <f>PROPER(TRIM(sales_data!J563))</f>
        <v>New</v>
      </c>
      <c r="L563" t="str">
        <f>PROPER(TRIM(sales_data!L563))</f>
        <v>Credit Card</v>
      </c>
      <c r="M563" t="str">
        <f>PROPER(TRIM(sales_data!M563))</f>
        <v>Online</v>
      </c>
      <c r="N563">
        <f t="shared" si="33"/>
        <v>275.38</v>
      </c>
      <c r="O563">
        <f t="shared" si="34"/>
        <v>1652.28</v>
      </c>
      <c r="P563" t="str">
        <f t="shared" si="35"/>
        <v>Dec</v>
      </c>
    </row>
    <row r="564" spans="1:16" x14ac:dyDescent="0.25">
      <c r="A564">
        <v>1044</v>
      </c>
      <c r="B564" s="1">
        <v>45136</v>
      </c>
      <c r="C564">
        <f t="shared" si="32"/>
        <v>75720.233600000007</v>
      </c>
      <c r="D564">
        <v>47</v>
      </c>
      <c r="E564">
        <v>1512.34</v>
      </c>
      <c r="F564">
        <v>1830.76</v>
      </c>
      <c r="G564">
        <v>0.12</v>
      </c>
      <c r="H564" t="str">
        <f>PROPER(TRIM(sales_data!C564))</f>
        <v>Alice</v>
      </c>
      <c r="I564" t="str">
        <f>PROPER(TRIM(sales_data!D564))</f>
        <v>North</v>
      </c>
      <c r="J564" t="str">
        <f>PROPER(TRIM(sales_data!G564))</f>
        <v>Electronics</v>
      </c>
      <c r="K564" t="str">
        <f>PROPER(TRIM(sales_data!J564))</f>
        <v>New</v>
      </c>
      <c r="L564" t="str">
        <f>PROPER(TRIM(sales_data!L564))</f>
        <v>Bank Transfer</v>
      </c>
      <c r="M564" t="str">
        <f>PROPER(TRIM(sales_data!M564))</f>
        <v>Online</v>
      </c>
      <c r="N564">
        <f t="shared" si="33"/>
        <v>318.42000000000007</v>
      </c>
      <c r="O564">
        <f t="shared" si="34"/>
        <v>14965.740000000003</v>
      </c>
      <c r="P564" t="str">
        <f t="shared" si="35"/>
        <v>Jul</v>
      </c>
    </row>
    <row r="565" spans="1:16" x14ac:dyDescent="0.25">
      <c r="A565">
        <v>1029</v>
      </c>
      <c r="B565" s="1">
        <v>45087</v>
      </c>
      <c r="C565">
        <f t="shared" si="32"/>
        <v>8466.0360000000001</v>
      </c>
      <c r="D565">
        <v>15</v>
      </c>
      <c r="E565">
        <v>498.27</v>
      </c>
      <c r="F565">
        <v>634.16</v>
      </c>
      <c r="G565">
        <v>0.11</v>
      </c>
      <c r="H565" t="str">
        <f>PROPER(TRIM(sales_data!C565))</f>
        <v>Eve</v>
      </c>
      <c r="I565" t="str">
        <f>PROPER(TRIM(sales_data!D565))</f>
        <v>East</v>
      </c>
      <c r="J565" t="str">
        <f>PROPER(TRIM(sales_data!G565))</f>
        <v>Clothing</v>
      </c>
      <c r="K565" t="str">
        <f>PROPER(TRIM(sales_data!J565))</f>
        <v>Returning</v>
      </c>
      <c r="L565" t="str">
        <f>PROPER(TRIM(sales_data!L565))</f>
        <v>Credit Card</v>
      </c>
      <c r="M565" t="str">
        <f>PROPER(TRIM(sales_data!M565))</f>
        <v>Retail</v>
      </c>
      <c r="N565">
        <f t="shared" si="33"/>
        <v>135.88999999999999</v>
      </c>
      <c r="O565">
        <f t="shared" si="34"/>
        <v>2038.35</v>
      </c>
      <c r="P565" t="str">
        <f t="shared" si="35"/>
        <v>Jun</v>
      </c>
    </row>
    <row r="566" spans="1:16" x14ac:dyDescent="0.25">
      <c r="A566">
        <v>1013</v>
      </c>
      <c r="B566" s="1">
        <v>44942</v>
      </c>
      <c r="C566">
        <f t="shared" si="32"/>
        <v>71421.189999999813</v>
      </c>
      <c r="D566">
        <v>20</v>
      </c>
      <c r="E566">
        <v>3356.62</v>
      </c>
      <c r="F566">
        <v>3759.0099999999902</v>
      </c>
      <c r="G566">
        <v>0.05</v>
      </c>
      <c r="H566" t="str">
        <f>PROPER(TRIM(sales_data!C566))</f>
        <v>Eve</v>
      </c>
      <c r="I566" t="str">
        <f>PROPER(TRIM(sales_data!D566))</f>
        <v>East</v>
      </c>
      <c r="J566" t="str">
        <f>PROPER(TRIM(sales_data!G566))</f>
        <v>Clothing</v>
      </c>
      <c r="K566" t="str">
        <f>PROPER(TRIM(sales_data!J566))</f>
        <v>Returning</v>
      </c>
      <c r="L566" t="str">
        <f>PROPER(TRIM(sales_data!L566))</f>
        <v>Credit Card</v>
      </c>
      <c r="M566" t="str">
        <f>PROPER(TRIM(sales_data!M566))</f>
        <v>Retail</v>
      </c>
      <c r="N566">
        <f t="shared" si="33"/>
        <v>402.38999999999032</v>
      </c>
      <c r="O566">
        <f t="shared" si="34"/>
        <v>8047.7999999998065</v>
      </c>
      <c r="P566" t="str">
        <f t="shared" si="35"/>
        <v>Jan</v>
      </c>
    </row>
    <row r="567" spans="1:16" x14ac:dyDescent="0.25">
      <c r="A567">
        <v>1012</v>
      </c>
      <c r="B567" s="1">
        <v>45034</v>
      </c>
      <c r="C567">
        <f t="shared" si="32"/>
        <v>8062.6292999999996</v>
      </c>
      <c r="D567">
        <v>9</v>
      </c>
      <c r="E567">
        <v>709.97</v>
      </c>
      <c r="F567">
        <v>1029.71</v>
      </c>
      <c r="G567">
        <v>0.13</v>
      </c>
      <c r="H567" t="str">
        <f>PROPER(TRIM(sales_data!C567))</f>
        <v>Alice</v>
      </c>
      <c r="I567" t="str">
        <f>PROPER(TRIM(sales_data!D567))</f>
        <v>South</v>
      </c>
      <c r="J567" t="str">
        <f>PROPER(TRIM(sales_data!G567))</f>
        <v>Electronics</v>
      </c>
      <c r="K567" t="str">
        <f>PROPER(TRIM(sales_data!J567))</f>
        <v>Returning</v>
      </c>
      <c r="L567" t="str">
        <f>PROPER(TRIM(sales_data!L567))</f>
        <v>Bank Transfer</v>
      </c>
      <c r="M567" t="str">
        <f>PROPER(TRIM(sales_data!M567))</f>
        <v>Retail</v>
      </c>
      <c r="N567">
        <f t="shared" si="33"/>
        <v>319.74</v>
      </c>
      <c r="O567">
        <f t="shared" si="34"/>
        <v>2877.66</v>
      </c>
      <c r="P567" t="str">
        <f t="shared" si="35"/>
        <v>Apr</v>
      </c>
    </row>
    <row r="568" spans="1:16" x14ac:dyDescent="0.25">
      <c r="A568">
        <v>1095</v>
      </c>
      <c r="B568" s="1">
        <v>45237</v>
      </c>
      <c r="C568">
        <f t="shared" si="32"/>
        <v>101323.26399999998</v>
      </c>
      <c r="D568">
        <v>32</v>
      </c>
      <c r="E568">
        <v>4266.6400000000003</v>
      </c>
      <c r="F568">
        <v>4523.3599999999997</v>
      </c>
      <c r="G568">
        <v>0.3</v>
      </c>
      <c r="H568" t="str">
        <f>PROPER(TRIM(sales_data!C568))</f>
        <v>Charlie</v>
      </c>
      <c r="I568" t="str">
        <f>PROPER(TRIM(sales_data!D568))</f>
        <v>West</v>
      </c>
      <c r="J568" t="str">
        <f>PROPER(TRIM(sales_data!G568))</f>
        <v>Clothing</v>
      </c>
      <c r="K568" t="str">
        <f>PROPER(TRIM(sales_data!J568))</f>
        <v>New</v>
      </c>
      <c r="L568" t="str">
        <f>PROPER(TRIM(sales_data!L568))</f>
        <v>Bank Transfer</v>
      </c>
      <c r="M568" t="str">
        <f>PROPER(TRIM(sales_data!M568))</f>
        <v>Retail</v>
      </c>
      <c r="N568">
        <f t="shared" si="33"/>
        <v>256.71999999999935</v>
      </c>
      <c r="O568">
        <f t="shared" si="34"/>
        <v>8215.039999999979</v>
      </c>
      <c r="P568" t="str">
        <f t="shared" si="35"/>
        <v>Nov</v>
      </c>
    </row>
    <row r="569" spans="1:16" x14ac:dyDescent="0.25">
      <c r="A569">
        <v>1046</v>
      </c>
      <c r="B569" s="1">
        <v>45153</v>
      </c>
      <c r="C569">
        <f t="shared" si="32"/>
        <v>15049.762000000001</v>
      </c>
      <c r="D569">
        <v>4</v>
      </c>
      <c r="E569">
        <v>4095.1</v>
      </c>
      <c r="F569">
        <v>4134.55</v>
      </c>
      <c r="G569">
        <v>0.09</v>
      </c>
      <c r="H569" t="str">
        <f>PROPER(TRIM(sales_data!C569))</f>
        <v>Alice</v>
      </c>
      <c r="I569" t="str">
        <f>PROPER(TRIM(sales_data!D569))</f>
        <v>South</v>
      </c>
      <c r="J569" t="str">
        <f>PROPER(TRIM(sales_data!G569))</f>
        <v>Furniture</v>
      </c>
      <c r="K569" t="str">
        <f>PROPER(TRIM(sales_data!J569))</f>
        <v>Returning</v>
      </c>
      <c r="L569" t="str">
        <f>PROPER(TRIM(sales_data!L569))</f>
        <v>Bank Transfer</v>
      </c>
      <c r="M569" t="str">
        <f>PROPER(TRIM(sales_data!M569))</f>
        <v>Retail</v>
      </c>
      <c r="N569">
        <f t="shared" si="33"/>
        <v>39.450000000000273</v>
      </c>
      <c r="O569">
        <f t="shared" si="34"/>
        <v>157.80000000000109</v>
      </c>
      <c r="P569" t="str">
        <f t="shared" si="35"/>
        <v>Aug</v>
      </c>
    </row>
    <row r="570" spans="1:16" x14ac:dyDescent="0.25">
      <c r="A570">
        <v>1002</v>
      </c>
      <c r="B570" s="1">
        <v>45096</v>
      </c>
      <c r="C570">
        <f t="shared" si="32"/>
        <v>8508.2544000000016</v>
      </c>
      <c r="D570">
        <v>18</v>
      </c>
      <c r="E570">
        <v>117.63</v>
      </c>
      <c r="F570">
        <v>576.44000000000005</v>
      </c>
      <c r="G570">
        <v>0.18</v>
      </c>
      <c r="H570" t="str">
        <f>PROPER(TRIM(sales_data!C570))</f>
        <v>Eve</v>
      </c>
      <c r="I570" t="str">
        <f>PROPER(TRIM(sales_data!D570))</f>
        <v>West</v>
      </c>
      <c r="J570" t="str">
        <f>PROPER(TRIM(sales_data!G570))</f>
        <v>Food</v>
      </c>
      <c r="K570" t="str">
        <f>PROPER(TRIM(sales_data!J570))</f>
        <v>New</v>
      </c>
      <c r="L570" t="str">
        <f>PROPER(TRIM(sales_data!L570))</f>
        <v>Credit Card</v>
      </c>
      <c r="M570" t="str">
        <f>PROPER(TRIM(sales_data!M570))</f>
        <v>Retail</v>
      </c>
      <c r="N570">
        <f t="shared" si="33"/>
        <v>458.81000000000006</v>
      </c>
      <c r="O570">
        <f t="shared" si="34"/>
        <v>8258.5800000000017</v>
      </c>
      <c r="P570" t="str">
        <f t="shared" si="35"/>
        <v>Jun</v>
      </c>
    </row>
    <row r="571" spans="1:16" x14ac:dyDescent="0.25">
      <c r="A571">
        <v>1035</v>
      </c>
      <c r="B571" s="1">
        <v>44960</v>
      </c>
      <c r="C571">
        <f t="shared" si="32"/>
        <v>18462.366999999998</v>
      </c>
      <c r="D571">
        <v>5</v>
      </c>
      <c r="E571">
        <v>4483.8500000000004</v>
      </c>
      <c r="F571">
        <v>4795.42</v>
      </c>
      <c r="G571">
        <v>0.23</v>
      </c>
      <c r="H571" t="str">
        <f>PROPER(TRIM(sales_data!C571))</f>
        <v>Charlie</v>
      </c>
      <c r="I571" t="str">
        <f>PROPER(TRIM(sales_data!D571))</f>
        <v>North</v>
      </c>
      <c r="J571" t="str">
        <f>PROPER(TRIM(sales_data!G571))</f>
        <v>Food</v>
      </c>
      <c r="K571" t="str">
        <f>PROPER(TRIM(sales_data!J571))</f>
        <v>Returning</v>
      </c>
      <c r="L571" t="str">
        <f>PROPER(TRIM(sales_data!L571))</f>
        <v>Cash</v>
      </c>
      <c r="M571" t="str">
        <f>PROPER(TRIM(sales_data!M571))</f>
        <v>Online</v>
      </c>
      <c r="N571">
        <f t="shared" si="33"/>
        <v>311.56999999999971</v>
      </c>
      <c r="O571">
        <f t="shared" si="34"/>
        <v>1557.8499999999985</v>
      </c>
      <c r="P571" t="str">
        <f t="shared" si="35"/>
        <v>Feb</v>
      </c>
    </row>
    <row r="572" spans="1:16" x14ac:dyDescent="0.25">
      <c r="A572">
        <v>1087</v>
      </c>
      <c r="B572" s="1">
        <v>45177</v>
      </c>
      <c r="C572">
        <f t="shared" si="32"/>
        <v>4643.9639999999999</v>
      </c>
      <c r="D572">
        <v>20</v>
      </c>
      <c r="E572">
        <v>193.27</v>
      </c>
      <c r="F572">
        <v>297.69</v>
      </c>
      <c r="G572">
        <v>0.22</v>
      </c>
      <c r="H572" t="str">
        <f>PROPER(TRIM(sales_data!C572))</f>
        <v>Charlie</v>
      </c>
      <c r="I572" t="str">
        <f>PROPER(TRIM(sales_data!D572))</f>
        <v>North</v>
      </c>
      <c r="J572" t="str">
        <f>PROPER(TRIM(sales_data!G572))</f>
        <v>Clothing</v>
      </c>
      <c r="K572" t="str">
        <f>PROPER(TRIM(sales_data!J572))</f>
        <v>New</v>
      </c>
      <c r="L572" t="str">
        <f>PROPER(TRIM(sales_data!L572))</f>
        <v>Cash</v>
      </c>
      <c r="M572" t="str">
        <f>PROPER(TRIM(sales_data!M572))</f>
        <v>Online</v>
      </c>
      <c r="N572">
        <f t="shared" si="33"/>
        <v>104.41999999999999</v>
      </c>
      <c r="O572">
        <f t="shared" si="34"/>
        <v>2088.3999999999996</v>
      </c>
      <c r="P572" t="str">
        <f t="shared" si="35"/>
        <v>Sep</v>
      </c>
    </row>
    <row r="573" spans="1:16" x14ac:dyDescent="0.25">
      <c r="A573">
        <v>1081</v>
      </c>
      <c r="B573" s="1">
        <v>45173</v>
      </c>
      <c r="C573">
        <f t="shared" si="32"/>
        <v>31947.966000000004</v>
      </c>
      <c r="D573">
        <v>23</v>
      </c>
      <c r="E573">
        <v>1236.25</v>
      </c>
      <c r="F573">
        <v>1543.38</v>
      </c>
      <c r="G573">
        <v>0.1</v>
      </c>
      <c r="H573" t="str">
        <f>PROPER(TRIM(sales_data!C573))</f>
        <v>Alice</v>
      </c>
      <c r="I573" t="str">
        <f>PROPER(TRIM(sales_data!D573))</f>
        <v>North</v>
      </c>
      <c r="J573" t="str">
        <f>PROPER(TRIM(sales_data!G573))</f>
        <v>Electronics</v>
      </c>
      <c r="K573" t="str">
        <f>PROPER(TRIM(sales_data!J573))</f>
        <v>New</v>
      </c>
      <c r="L573" t="str">
        <f>PROPER(TRIM(sales_data!L573))</f>
        <v>Bank Transfer</v>
      </c>
      <c r="M573" t="str">
        <f>PROPER(TRIM(sales_data!M573))</f>
        <v>Online</v>
      </c>
      <c r="N573">
        <f t="shared" si="33"/>
        <v>307.13000000000011</v>
      </c>
      <c r="O573">
        <f t="shared" si="34"/>
        <v>7063.9900000000025</v>
      </c>
      <c r="P573" t="str">
        <f t="shared" si="35"/>
        <v>Sep</v>
      </c>
    </row>
    <row r="574" spans="1:16" x14ac:dyDescent="0.25">
      <c r="A574">
        <v>1090</v>
      </c>
      <c r="B574" s="1">
        <v>45195</v>
      </c>
      <c r="C574">
        <f t="shared" si="32"/>
        <v>4981.6558000000005</v>
      </c>
      <c r="D574">
        <v>11</v>
      </c>
      <c r="E574">
        <v>210.33</v>
      </c>
      <c r="F574">
        <v>552.29</v>
      </c>
      <c r="G574">
        <v>0.18</v>
      </c>
      <c r="H574" t="str">
        <f>PROPER(TRIM(sales_data!C574))</f>
        <v>Eve</v>
      </c>
      <c r="I574" t="str">
        <f>PROPER(TRIM(sales_data!D574))</f>
        <v>North</v>
      </c>
      <c r="J574" t="str">
        <f>PROPER(TRIM(sales_data!G574))</f>
        <v>Electronics</v>
      </c>
      <c r="K574" t="str">
        <f>PROPER(TRIM(sales_data!J574))</f>
        <v>Returning</v>
      </c>
      <c r="L574" t="str">
        <f>PROPER(TRIM(sales_data!L574))</f>
        <v>Cash</v>
      </c>
      <c r="M574" t="str">
        <f>PROPER(TRIM(sales_data!M574))</f>
        <v>Retail</v>
      </c>
      <c r="N574">
        <f t="shared" si="33"/>
        <v>341.95999999999992</v>
      </c>
      <c r="O574">
        <f t="shared" si="34"/>
        <v>3761.559999999999</v>
      </c>
      <c r="P574" t="str">
        <f t="shared" si="35"/>
        <v>Sep</v>
      </c>
    </row>
    <row r="575" spans="1:16" x14ac:dyDescent="0.25">
      <c r="A575">
        <v>1008</v>
      </c>
      <c r="B575" s="1">
        <v>45067</v>
      </c>
      <c r="C575">
        <f t="shared" si="32"/>
        <v>54214.042800000003</v>
      </c>
      <c r="D575">
        <v>37</v>
      </c>
      <c r="E575">
        <v>1712.43</v>
      </c>
      <c r="F575">
        <v>1980.06</v>
      </c>
      <c r="G575">
        <v>0.26</v>
      </c>
      <c r="H575" t="str">
        <f>PROPER(TRIM(sales_data!C575))</f>
        <v>David</v>
      </c>
      <c r="I575" t="str">
        <f>PROPER(TRIM(sales_data!D575))</f>
        <v>East</v>
      </c>
      <c r="J575" t="str">
        <f>PROPER(TRIM(sales_data!G575))</f>
        <v>Furniture</v>
      </c>
      <c r="K575" t="str">
        <f>PROPER(TRIM(sales_data!J575))</f>
        <v>New</v>
      </c>
      <c r="L575" t="str">
        <f>PROPER(TRIM(sales_data!L575))</f>
        <v>Cash</v>
      </c>
      <c r="M575" t="str">
        <f>PROPER(TRIM(sales_data!M575))</f>
        <v>Online</v>
      </c>
      <c r="N575">
        <f t="shared" si="33"/>
        <v>267.62999999999988</v>
      </c>
      <c r="O575">
        <f t="shared" si="34"/>
        <v>9902.3099999999959</v>
      </c>
      <c r="P575" t="str">
        <f t="shared" si="35"/>
        <v>May</v>
      </c>
    </row>
    <row r="576" spans="1:16" x14ac:dyDescent="0.25">
      <c r="A576">
        <v>1093</v>
      </c>
      <c r="B576" s="1">
        <v>45200</v>
      </c>
      <c r="C576">
        <f t="shared" si="32"/>
        <v>65021.219999999783</v>
      </c>
      <c r="D576">
        <v>22</v>
      </c>
      <c r="E576">
        <v>2593.64</v>
      </c>
      <c r="F576">
        <v>2955.5099999999902</v>
      </c>
      <c r="G576">
        <v>0</v>
      </c>
      <c r="H576" t="str">
        <f>PROPER(TRIM(sales_data!C576))</f>
        <v>Eve</v>
      </c>
      <c r="I576" t="str">
        <f>PROPER(TRIM(sales_data!D576))</f>
        <v>East</v>
      </c>
      <c r="J576" t="str">
        <f>PROPER(TRIM(sales_data!G576))</f>
        <v>Electronics</v>
      </c>
      <c r="K576" t="str">
        <f>PROPER(TRIM(sales_data!J576))</f>
        <v>Returning</v>
      </c>
      <c r="L576" t="str">
        <f>PROPER(TRIM(sales_data!L576))</f>
        <v>Bank Transfer</v>
      </c>
      <c r="M576" t="str">
        <f>PROPER(TRIM(sales_data!M576))</f>
        <v>Retail</v>
      </c>
      <c r="N576">
        <f t="shared" si="33"/>
        <v>361.86999999999034</v>
      </c>
      <c r="O576">
        <f t="shared" si="34"/>
        <v>7961.1399999997875</v>
      </c>
      <c r="P576" t="str">
        <f t="shared" si="35"/>
        <v>Oct</v>
      </c>
    </row>
    <row r="577" spans="1:16" x14ac:dyDescent="0.25">
      <c r="A577">
        <v>1026</v>
      </c>
      <c r="B577" s="1">
        <v>45022</v>
      </c>
      <c r="C577">
        <f t="shared" si="32"/>
        <v>14923.284</v>
      </c>
      <c r="D577">
        <v>4</v>
      </c>
      <c r="E577">
        <v>3993.39</v>
      </c>
      <c r="F577">
        <v>4288.3</v>
      </c>
      <c r="G577">
        <v>0.13</v>
      </c>
      <c r="H577" t="str">
        <f>PROPER(TRIM(sales_data!C577))</f>
        <v>Bob</v>
      </c>
      <c r="I577" t="str">
        <f>PROPER(TRIM(sales_data!D577))</f>
        <v>South</v>
      </c>
      <c r="J577" t="str">
        <f>PROPER(TRIM(sales_data!G577))</f>
        <v>Electronics</v>
      </c>
      <c r="K577" t="str">
        <f>PROPER(TRIM(sales_data!J577))</f>
        <v>New</v>
      </c>
      <c r="L577" t="str">
        <f>PROPER(TRIM(sales_data!L577))</f>
        <v>Credit Card</v>
      </c>
      <c r="M577" t="str">
        <f>PROPER(TRIM(sales_data!M577))</f>
        <v>Online</v>
      </c>
      <c r="N577">
        <f t="shared" si="33"/>
        <v>294.91000000000031</v>
      </c>
      <c r="O577">
        <f t="shared" si="34"/>
        <v>1179.6400000000012</v>
      </c>
      <c r="P577" t="str">
        <f t="shared" si="35"/>
        <v>Apr</v>
      </c>
    </row>
    <row r="578" spans="1:16" x14ac:dyDescent="0.25">
      <c r="A578">
        <v>1074</v>
      </c>
      <c r="B578" s="1">
        <v>45153</v>
      </c>
      <c r="C578">
        <f t="shared" ref="C578:C641" si="36">(D578*F578)*(1-G578)</f>
        <v>59264.417399999998</v>
      </c>
      <c r="D578">
        <v>29</v>
      </c>
      <c r="E578">
        <v>1723.01</v>
      </c>
      <c r="F578">
        <v>2197.42</v>
      </c>
      <c r="G578">
        <v>7.0000000000000007E-2</v>
      </c>
      <c r="H578" t="str">
        <f>PROPER(TRIM(sales_data!C578))</f>
        <v>David</v>
      </c>
      <c r="I578" t="str">
        <f>PROPER(TRIM(sales_data!D578))</f>
        <v>West</v>
      </c>
      <c r="J578" t="str">
        <f>PROPER(TRIM(sales_data!G578))</f>
        <v>Furniture</v>
      </c>
      <c r="K578" t="str">
        <f>PROPER(TRIM(sales_data!J578))</f>
        <v>New</v>
      </c>
      <c r="L578" t="str">
        <f>PROPER(TRIM(sales_data!L578))</f>
        <v>Bank Transfer</v>
      </c>
      <c r="M578" t="str">
        <f>PROPER(TRIM(sales_data!M578))</f>
        <v>Retail</v>
      </c>
      <c r="N578">
        <f t="shared" ref="N578:N641" si="37">F578-E578</f>
        <v>474.41000000000008</v>
      </c>
      <c r="O578">
        <f t="shared" ref="O578:O641" si="38">N578*D578</f>
        <v>13757.890000000003</v>
      </c>
      <c r="P578" t="str">
        <f t="shared" ref="P578:P641" si="39">TEXT(B578,"mmm")</f>
        <v>Aug</v>
      </c>
    </row>
    <row r="579" spans="1:16" x14ac:dyDescent="0.25">
      <c r="A579">
        <v>1090</v>
      </c>
      <c r="B579" s="1">
        <v>44965</v>
      </c>
      <c r="C579">
        <f t="shared" si="36"/>
        <v>138559.13279999999</v>
      </c>
      <c r="D579">
        <v>44</v>
      </c>
      <c r="E579">
        <v>3542.18</v>
      </c>
      <c r="F579">
        <v>3578.49</v>
      </c>
      <c r="G579">
        <v>0.12</v>
      </c>
      <c r="H579" t="str">
        <f>PROPER(TRIM(sales_data!C579))</f>
        <v>Charlie</v>
      </c>
      <c r="I579" t="str">
        <f>PROPER(TRIM(sales_data!D579))</f>
        <v>North</v>
      </c>
      <c r="J579" t="str">
        <f>PROPER(TRIM(sales_data!G579))</f>
        <v>Clothing</v>
      </c>
      <c r="K579" t="str">
        <f>PROPER(TRIM(sales_data!J579))</f>
        <v>Returning</v>
      </c>
      <c r="L579" t="str">
        <f>PROPER(TRIM(sales_data!L579))</f>
        <v>Cash</v>
      </c>
      <c r="M579" t="str">
        <f>PROPER(TRIM(sales_data!M579))</f>
        <v>Online</v>
      </c>
      <c r="N579">
        <f t="shared" si="37"/>
        <v>36.309999999999945</v>
      </c>
      <c r="O579">
        <f t="shared" si="38"/>
        <v>1597.6399999999976</v>
      </c>
      <c r="P579" t="str">
        <f t="shared" si="39"/>
        <v>Feb</v>
      </c>
    </row>
    <row r="580" spans="1:16" x14ac:dyDescent="0.25">
      <c r="A580">
        <v>1034</v>
      </c>
      <c r="B580" s="1">
        <v>45228</v>
      </c>
      <c r="C580">
        <f t="shared" si="36"/>
        <v>31123.083200000001</v>
      </c>
      <c r="D580">
        <v>34</v>
      </c>
      <c r="E580">
        <v>978.15</v>
      </c>
      <c r="F580">
        <v>1040.21</v>
      </c>
      <c r="G580">
        <v>0.12</v>
      </c>
      <c r="H580" t="str">
        <f>PROPER(TRIM(sales_data!C580))</f>
        <v>David</v>
      </c>
      <c r="I580" t="str">
        <f>PROPER(TRIM(sales_data!D580))</f>
        <v>North</v>
      </c>
      <c r="J580" t="str">
        <f>PROPER(TRIM(sales_data!G580))</f>
        <v>Food</v>
      </c>
      <c r="K580" t="str">
        <f>PROPER(TRIM(sales_data!J580))</f>
        <v>New</v>
      </c>
      <c r="L580" t="str">
        <f>PROPER(TRIM(sales_data!L580))</f>
        <v>Credit Card</v>
      </c>
      <c r="M580" t="str">
        <f>PROPER(TRIM(sales_data!M580))</f>
        <v>Retail</v>
      </c>
      <c r="N580">
        <f t="shared" si="37"/>
        <v>62.060000000000059</v>
      </c>
      <c r="O580">
        <f t="shared" si="38"/>
        <v>2110.0400000000018</v>
      </c>
      <c r="P580" t="str">
        <f t="shared" si="39"/>
        <v>Oct</v>
      </c>
    </row>
    <row r="581" spans="1:16" x14ac:dyDescent="0.25">
      <c r="A581">
        <v>1007</v>
      </c>
      <c r="B581" s="1">
        <v>44955</v>
      </c>
      <c r="C581">
        <f t="shared" si="36"/>
        <v>39146.078399999999</v>
      </c>
      <c r="D581">
        <v>13</v>
      </c>
      <c r="E581">
        <v>3765.46</v>
      </c>
      <c r="F581">
        <v>3860.56</v>
      </c>
      <c r="G581">
        <v>0.22</v>
      </c>
      <c r="H581" t="str">
        <f>PROPER(TRIM(sales_data!C581))</f>
        <v>Charlie</v>
      </c>
      <c r="I581" t="str">
        <f>PROPER(TRIM(sales_data!D581))</f>
        <v>West</v>
      </c>
      <c r="J581" t="str">
        <f>PROPER(TRIM(sales_data!G581))</f>
        <v>Furniture</v>
      </c>
      <c r="K581" t="str">
        <f>PROPER(TRIM(sales_data!J581))</f>
        <v>Returning</v>
      </c>
      <c r="L581" t="str">
        <f>PROPER(TRIM(sales_data!L581))</f>
        <v>Cash</v>
      </c>
      <c r="M581" t="str">
        <f>PROPER(TRIM(sales_data!M581))</f>
        <v>Retail</v>
      </c>
      <c r="N581">
        <f t="shared" si="37"/>
        <v>95.099999999999909</v>
      </c>
      <c r="O581">
        <f t="shared" si="38"/>
        <v>1236.2999999999988</v>
      </c>
      <c r="P581" t="str">
        <f t="shared" si="39"/>
        <v>Jan</v>
      </c>
    </row>
    <row r="582" spans="1:16" x14ac:dyDescent="0.25">
      <c r="A582">
        <v>1068</v>
      </c>
      <c r="B582" s="1">
        <v>45244</v>
      </c>
      <c r="C582">
        <f t="shared" si="36"/>
        <v>63813.506399999991</v>
      </c>
      <c r="D582">
        <v>42</v>
      </c>
      <c r="E582">
        <v>1218.18</v>
      </c>
      <c r="F582">
        <v>1566.36</v>
      </c>
      <c r="G582">
        <v>0.03</v>
      </c>
      <c r="H582" t="str">
        <f>PROPER(TRIM(sales_data!C582))</f>
        <v>Charlie</v>
      </c>
      <c r="I582" t="str">
        <f>PROPER(TRIM(sales_data!D582))</f>
        <v>West</v>
      </c>
      <c r="J582" t="str">
        <f>PROPER(TRIM(sales_data!G582))</f>
        <v>Clothing</v>
      </c>
      <c r="K582" t="str">
        <f>PROPER(TRIM(sales_data!J582))</f>
        <v>Returning</v>
      </c>
      <c r="L582" t="str">
        <f>PROPER(TRIM(sales_data!L582))</f>
        <v>Credit Card</v>
      </c>
      <c r="M582" t="str">
        <f>PROPER(TRIM(sales_data!M582))</f>
        <v>Retail</v>
      </c>
      <c r="N582">
        <f t="shared" si="37"/>
        <v>348.17999999999984</v>
      </c>
      <c r="O582">
        <f t="shared" si="38"/>
        <v>14623.559999999994</v>
      </c>
      <c r="P582" t="str">
        <f t="shared" si="39"/>
        <v>Nov</v>
      </c>
    </row>
    <row r="583" spans="1:16" x14ac:dyDescent="0.25">
      <c r="A583">
        <v>1058</v>
      </c>
      <c r="B583" s="1">
        <v>45171</v>
      </c>
      <c r="C583">
        <f t="shared" si="36"/>
        <v>8314.7084999999242</v>
      </c>
      <c r="D583">
        <v>9</v>
      </c>
      <c r="E583">
        <v>760.55</v>
      </c>
      <c r="F583">
        <v>1086.8899999999901</v>
      </c>
      <c r="G583">
        <v>0.15</v>
      </c>
      <c r="H583" t="str">
        <f>PROPER(TRIM(sales_data!C583))</f>
        <v>David</v>
      </c>
      <c r="I583" t="str">
        <f>PROPER(TRIM(sales_data!D583))</f>
        <v>South</v>
      </c>
      <c r="J583" t="str">
        <f>PROPER(TRIM(sales_data!G583))</f>
        <v>Furniture</v>
      </c>
      <c r="K583" t="str">
        <f>PROPER(TRIM(sales_data!J583))</f>
        <v>Returning</v>
      </c>
      <c r="L583" t="str">
        <f>PROPER(TRIM(sales_data!L583))</f>
        <v>Cash</v>
      </c>
      <c r="M583" t="str">
        <f>PROPER(TRIM(sales_data!M583))</f>
        <v>Retail</v>
      </c>
      <c r="N583">
        <f t="shared" si="37"/>
        <v>326.33999999999014</v>
      </c>
      <c r="O583">
        <f t="shared" si="38"/>
        <v>2937.0599999999113</v>
      </c>
      <c r="P583" t="str">
        <f t="shared" si="39"/>
        <v>Sep</v>
      </c>
    </row>
    <row r="584" spans="1:16" x14ac:dyDescent="0.25">
      <c r="A584">
        <v>1075</v>
      </c>
      <c r="B584" s="1">
        <v>45162</v>
      </c>
      <c r="C584">
        <f t="shared" si="36"/>
        <v>49322.716800000002</v>
      </c>
      <c r="D584">
        <v>42</v>
      </c>
      <c r="E584">
        <v>967.77</v>
      </c>
      <c r="F584">
        <v>1414.88</v>
      </c>
      <c r="G584">
        <v>0.17</v>
      </c>
      <c r="H584" t="str">
        <f>PROPER(TRIM(sales_data!C584))</f>
        <v>Charlie</v>
      </c>
      <c r="I584" t="str">
        <f>PROPER(TRIM(sales_data!D584))</f>
        <v>West</v>
      </c>
      <c r="J584" t="str">
        <f>PROPER(TRIM(sales_data!G584))</f>
        <v>Clothing</v>
      </c>
      <c r="K584" t="str">
        <f>PROPER(TRIM(sales_data!J584))</f>
        <v>New</v>
      </c>
      <c r="L584" t="str">
        <f>PROPER(TRIM(sales_data!L584))</f>
        <v>Bank Transfer</v>
      </c>
      <c r="M584" t="str">
        <f>PROPER(TRIM(sales_data!M584))</f>
        <v>Online</v>
      </c>
      <c r="N584">
        <f t="shared" si="37"/>
        <v>447.11000000000013</v>
      </c>
      <c r="O584">
        <f t="shared" si="38"/>
        <v>18778.620000000006</v>
      </c>
      <c r="P584" t="str">
        <f t="shared" si="39"/>
        <v>Aug</v>
      </c>
    </row>
    <row r="585" spans="1:16" x14ac:dyDescent="0.25">
      <c r="A585">
        <v>1029</v>
      </c>
      <c r="B585" s="1">
        <v>45111</v>
      </c>
      <c r="C585">
        <f t="shared" si="36"/>
        <v>34790.432000000001</v>
      </c>
      <c r="D585">
        <v>31</v>
      </c>
      <c r="E585">
        <v>951.21</v>
      </c>
      <c r="F585">
        <v>1320.32</v>
      </c>
      <c r="G585">
        <v>0.15</v>
      </c>
      <c r="H585" t="str">
        <f>PROPER(TRIM(sales_data!C585))</f>
        <v>Charlie</v>
      </c>
      <c r="I585" t="str">
        <f>PROPER(TRIM(sales_data!D585))</f>
        <v>North</v>
      </c>
      <c r="J585" t="str">
        <f>PROPER(TRIM(sales_data!G585))</f>
        <v>Furniture</v>
      </c>
      <c r="K585" t="str">
        <f>PROPER(TRIM(sales_data!J585))</f>
        <v>New</v>
      </c>
      <c r="L585" t="str">
        <f>PROPER(TRIM(sales_data!L585))</f>
        <v>Cash</v>
      </c>
      <c r="M585" t="str">
        <f>PROPER(TRIM(sales_data!M585))</f>
        <v>Online</v>
      </c>
      <c r="N585">
        <f t="shared" si="37"/>
        <v>369.1099999999999</v>
      </c>
      <c r="O585">
        <f t="shared" si="38"/>
        <v>11442.409999999996</v>
      </c>
      <c r="P585" t="str">
        <f t="shared" si="39"/>
        <v>Jul</v>
      </c>
    </row>
    <row r="586" spans="1:16" x14ac:dyDescent="0.25">
      <c r="A586">
        <v>1036</v>
      </c>
      <c r="B586" s="1">
        <v>45198</v>
      </c>
      <c r="C586">
        <f t="shared" si="36"/>
        <v>15548.7696</v>
      </c>
      <c r="D586">
        <v>7</v>
      </c>
      <c r="E586">
        <v>2588.67</v>
      </c>
      <c r="F586">
        <v>2847.76</v>
      </c>
      <c r="G586">
        <v>0.22</v>
      </c>
      <c r="H586" t="str">
        <f>PROPER(TRIM(sales_data!C586))</f>
        <v>Bob</v>
      </c>
      <c r="I586" t="str">
        <f>PROPER(TRIM(sales_data!D586))</f>
        <v>North</v>
      </c>
      <c r="J586" t="str">
        <f>PROPER(TRIM(sales_data!G586))</f>
        <v>Clothing</v>
      </c>
      <c r="K586" t="str">
        <f>PROPER(TRIM(sales_data!J586))</f>
        <v>New</v>
      </c>
      <c r="L586" t="str">
        <f>PROPER(TRIM(sales_data!L586))</f>
        <v>Cash</v>
      </c>
      <c r="M586" t="str">
        <f>PROPER(TRIM(sales_data!M586))</f>
        <v>Retail</v>
      </c>
      <c r="N586">
        <f t="shared" si="37"/>
        <v>259.09000000000015</v>
      </c>
      <c r="O586">
        <f t="shared" si="38"/>
        <v>1813.630000000001</v>
      </c>
      <c r="P586" t="str">
        <f t="shared" si="39"/>
        <v>Sep</v>
      </c>
    </row>
    <row r="587" spans="1:16" x14ac:dyDescent="0.25">
      <c r="A587">
        <v>1089</v>
      </c>
      <c r="B587" s="1">
        <v>45162</v>
      </c>
      <c r="C587">
        <f t="shared" si="36"/>
        <v>16641.68</v>
      </c>
      <c r="D587">
        <v>4</v>
      </c>
      <c r="E587">
        <v>4231.75</v>
      </c>
      <c r="F587">
        <v>4727.75</v>
      </c>
      <c r="G587">
        <v>0.12</v>
      </c>
      <c r="H587" t="str">
        <f>PROPER(TRIM(sales_data!C587))</f>
        <v>Eve</v>
      </c>
      <c r="I587" t="str">
        <f>PROPER(TRIM(sales_data!D587))</f>
        <v>North</v>
      </c>
      <c r="J587" t="str">
        <f>PROPER(TRIM(sales_data!G587))</f>
        <v>Furniture</v>
      </c>
      <c r="K587" t="str">
        <f>PROPER(TRIM(sales_data!J587))</f>
        <v>Returning</v>
      </c>
      <c r="L587" t="str">
        <f>PROPER(TRIM(sales_data!L587))</f>
        <v>Credit Card</v>
      </c>
      <c r="M587" t="str">
        <f>PROPER(TRIM(sales_data!M587))</f>
        <v>Retail</v>
      </c>
      <c r="N587">
        <f t="shared" si="37"/>
        <v>496</v>
      </c>
      <c r="O587">
        <f t="shared" si="38"/>
        <v>1984</v>
      </c>
      <c r="P587" t="str">
        <f t="shared" si="39"/>
        <v>Aug</v>
      </c>
    </row>
    <row r="588" spans="1:16" x14ac:dyDescent="0.25">
      <c r="A588">
        <v>1021</v>
      </c>
      <c r="B588" s="1">
        <v>45165</v>
      </c>
      <c r="C588">
        <f t="shared" si="36"/>
        <v>7995.1392000000005</v>
      </c>
      <c r="D588">
        <v>19</v>
      </c>
      <c r="E588">
        <v>444.05</v>
      </c>
      <c r="F588">
        <v>584.44000000000005</v>
      </c>
      <c r="G588">
        <v>0.28000000000000003</v>
      </c>
      <c r="H588" t="str">
        <f>PROPER(TRIM(sales_data!C588))</f>
        <v>Eve</v>
      </c>
      <c r="I588" t="str">
        <f>PROPER(TRIM(sales_data!D588))</f>
        <v>North</v>
      </c>
      <c r="J588" t="str">
        <f>PROPER(TRIM(sales_data!G588))</f>
        <v>Clothing</v>
      </c>
      <c r="K588" t="str">
        <f>PROPER(TRIM(sales_data!J588))</f>
        <v>Returning</v>
      </c>
      <c r="L588" t="str">
        <f>PROPER(TRIM(sales_data!L588))</f>
        <v>Cash</v>
      </c>
      <c r="M588" t="str">
        <f>PROPER(TRIM(sales_data!M588))</f>
        <v>Retail</v>
      </c>
      <c r="N588">
        <f t="shared" si="37"/>
        <v>140.39000000000004</v>
      </c>
      <c r="O588">
        <f t="shared" si="38"/>
        <v>2667.4100000000008</v>
      </c>
      <c r="P588" t="str">
        <f t="shared" si="39"/>
        <v>Aug</v>
      </c>
    </row>
    <row r="589" spans="1:16" x14ac:dyDescent="0.25">
      <c r="A589">
        <v>1036</v>
      </c>
      <c r="B589" s="1">
        <v>45192</v>
      </c>
      <c r="C589">
        <f t="shared" si="36"/>
        <v>143312.96279999963</v>
      </c>
      <c r="D589">
        <v>42</v>
      </c>
      <c r="E589">
        <v>3549.43</v>
      </c>
      <c r="F589">
        <v>3967.6899999999901</v>
      </c>
      <c r="G589">
        <v>0.14000000000000001</v>
      </c>
      <c r="H589" t="str">
        <f>PROPER(TRIM(sales_data!C589))</f>
        <v>Bob</v>
      </c>
      <c r="I589" t="str">
        <f>PROPER(TRIM(sales_data!D589))</f>
        <v>North</v>
      </c>
      <c r="J589" t="str">
        <f>PROPER(TRIM(sales_data!G589))</f>
        <v>Furniture</v>
      </c>
      <c r="K589" t="str">
        <f>PROPER(TRIM(sales_data!J589))</f>
        <v>New</v>
      </c>
      <c r="L589" t="str">
        <f>PROPER(TRIM(sales_data!L589))</f>
        <v>Bank Transfer</v>
      </c>
      <c r="M589" t="str">
        <f>PROPER(TRIM(sales_data!M589))</f>
        <v>Online</v>
      </c>
      <c r="N589">
        <f t="shared" si="37"/>
        <v>418.25999999999021</v>
      </c>
      <c r="O589">
        <f t="shared" si="38"/>
        <v>17566.919999999591</v>
      </c>
      <c r="P589" t="str">
        <f t="shared" si="39"/>
        <v>Sep</v>
      </c>
    </row>
    <row r="590" spans="1:16" x14ac:dyDescent="0.25">
      <c r="A590">
        <v>1010</v>
      </c>
      <c r="B590" s="1">
        <v>45285</v>
      </c>
      <c r="C590">
        <f t="shared" si="36"/>
        <v>87352.685999999987</v>
      </c>
      <c r="D590">
        <v>30</v>
      </c>
      <c r="E590">
        <v>3289.01</v>
      </c>
      <c r="F590">
        <v>3508.14</v>
      </c>
      <c r="G590">
        <v>0.17</v>
      </c>
      <c r="H590" t="str">
        <f>PROPER(TRIM(sales_data!C590))</f>
        <v>David</v>
      </c>
      <c r="I590" t="str">
        <f>PROPER(TRIM(sales_data!D590))</f>
        <v>South</v>
      </c>
      <c r="J590" t="str">
        <f>PROPER(TRIM(sales_data!G590))</f>
        <v>Food</v>
      </c>
      <c r="K590" t="str">
        <f>PROPER(TRIM(sales_data!J590))</f>
        <v>New</v>
      </c>
      <c r="L590" t="str">
        <f>PROPER(TRIM(sales_data!L590))</f>
        <v>Bank Transfer</v>
      </c>
      <c r="M590" t="str">
        <f>PROPER(TRIM(sales_data!M590))</f>
        <v>Retail</v>
      </c>
      <c r="N590">
        <f t="shared" si="37"/>
        <v>219.12999999999965</v>
      </c>
      <c r="O590">
        <f t="shared" si="38"/>
        <v>6573.8999999999896</v>
      </c>
      <c r="P590" t="str">
        <f t="shared" si="39"/>
        <v>Dec</v>
      </c>
    </row>
    <row r="591" spans="1:16" x14ac:dyDescent="0.25">
      <c r="A591">
        <v>1073</v>
      </c>
      <c r="B591" s="1">
        <v>45266</v>
      </c>
      <c r="C591">
        <f t="shared" si="36"/>
        <v>109201.76250000001</v>
      </c>
      <c r="D591">
        <v>31</v>
      </c>
      <c r="E591">
        <v>4368.97</v>
      </c>
      <c r="F591">
        <v>4696.8500000000004</v>
      </c>
      <c r="G591">
        <v>0.25</v>
      </c>
      <c r="H591" t="str">
        <f>PROPER(TRIM(sales_data!C591))</f>
        <v>Alice</v>
      </c>
      <c r="I591" t="str">
        <f>PROPER(TRIM(sales_data!D591))</f>
        <v>North</v>
      </c>
      <c r="J591" t="str">
        <f>PROPER(TRIM(sales_data!G591))</f>
        <v>Food</v>
      </c>
      <c r="K591" t="str">
        <f>PROPER(TRIM(sales_data!J591))</f>
        <v>Returning</v>
      </c>
      <c r="L591" t="str">
        <f>PROPER(TRIM(sales_data!L591))</f>
        <v>Bank Transfer</v>
      </c>
      <c r="M591" t="str">
        <f>PROPER(TRIM(sales_data!M591))</f>
        <v>Retail</v>
      </c>
      <c r="N591">
        <f t="shared" si="37"/>
        <v>327.88000000000011</v>
      </c>
      <c r="O591">
        <f t="shared" si="38"/>
        <v>10164.280000000002</v>
      </c>
      <c r="P591" t="str">
        <f t="shared" si="39"/>
        <v>Dec</v>
      </c>
    </row>
    <row r="592" spans="1:16" x14ac:dyDescent="0.25">
      <c r="A592">
        <v>1024</v>
      </c>
      <c r="B592" s="1">
        <v>44991</v>
      </c>
      <c r="C592">
        <f t="shared" si="36"/>
        <v>52321.457999999686</v>
      </c>
      <c r="D592">
        <v>35</v>
      </c>
      <c r="E592">
        <v>1258.53</v>
      </c>
      <c r="F592">
        <v>1624.8899999999901</v>
      </c>
      <c r="G592">
        <v>0.08</v>
      </c>
      <c r="H592" t="str">
        <f>PROPER(TRIM(sales_data!C592))</f>
        <v>Alice</v>
      </c>
      <c r="I592" t="str">
        <f>PROPER(TRIM(sales_data!D592))</f>
        <v>South</v>
      </c>
      <c r="J592" t="str">
        <f>PROPER(TRIM(sales_data!G592))</f>
        <v>Electronics</v>
      </c>
      <c r="K592" t="str">
        <f>PROPER(TRIM(sales_data!J592))</f>
        <v>New</v>
      </c>
      <c r="L592" t="str">
        <f>PROPER(TRIM(sales_data!L592))</f>
        <v>Credit Card</v>
      </c>
      <c r="M592" t="str">
        <f>PROPER(TRIM(sales_data!M592))</f>
        <v>Online</v>
      </c>
      <c r="N592">
        <f t="shared" si="37"/>
        <v>366.35999999999012</v>
      </c>
      <c r="O592">
        <f t="shared" si="38"/>
        <v>12822.599999999655</v>
      </c>
      <c r="P592" t="str">
        <f t="shared" si="39"/>
        <v>Mar</v>
      </c>
    </row>
    <row r="593" spans="1:16" x14ac:dyDescent="0.25">
      <c r="A593">
        <v>1064</v>
      </c>
      <c r="B593" s="1">
        <v>45103</v>
      </c>
      <c r="C593">
        <f t="shared" si="36"/>
        <v>53478.776400000002</v>
      </c>
      <c r="D593">
        <v>21</v>
      </c>
      <c r="E593">
        <v>2278.04</v>
      </c>
      <c r="F593">
        <v>2598.58</v>
      </c>
      <c r="G593">
        <v>0.02</v>
      </c>
      <c r="H593" t="str">
        <f>PROPER(TRIM(sales_data!C593))</f>
        <v>Alice</v>
      </c>
      <c r="I593" t="str">
        <f>PROPER(TRIM(sales_data!D593))</f>
        <v>North</v>
      </c>
      <c r="J593" t="str">
        <f>PROPER(TRIM(sales_data!G593))</f>
        <v>Clothing</v>
      </c>
      <c r="K593" t="str">
        <f>PROPER(TRIM(sales_data!J593))</f>
        <v>Returning</v>
      </c>
      <c r="L593" t="str">
        <f>PROPER(TRIM(sales_data!L593))</f>
        <v>Credit Card</v>
      </c>
      <c r="M593" t="str">
        <f>PROPER(TRIM(sales_data!M593))</f>
        <v>Retail</v>
      </c>
      <c r="N593">
        <f t="shared" si="37"/>
        <v>320.53999999999996</v>
      </c>
      <c r="O593">
        <f t="shared" si="38"/>
        <v>6731.3399999999992</v>
      </c>
      <c r="P593" t="str">
        <f t="shared" si="39"/>
        <v>Jun</v>
      </c>
    </row>
    <row r="594" spans="1:16" x14ac:dyDescent="0.25">
      <c r="A594">
        <v>1099</v>
      </c>
      <c r="B594" s="1">
        <v>44929</v>
      </c>
      <c r="C594">
        <f t="shared" si="36"/>
        <v>115389.533</v>
      </c>
      <c r="D594">
        <v>31</v>
      </c>
      <c r="E594">
        <v>4632.8500000000004</v>
      </c>
      <c r="F594">
        <v>4711.7</v>
      </c>
      <c r="G594">
        <v>0.21</v>
      </c>
      <c r="H594" t="str">
        <f>PROPER(TRIM(sales_data!C594))</f>
        <v>Bob</v>
      </c>
      <c r="I594" t="str">
        <f>PROPER(TRIM(sales_data!D594))</f>
        <v>East</v>
      </c>
      <c r="J594" t="str">
        <f>PROPER(TRIM(sales_data!G594))</f>
        <v>Furniture</v>
      </c>
      <c r="K594" t="str">
        <f>PROPER(TRIM(sales_data!J594))</f>
        <v>New</v>
      </c>
      <c r="L594" t="str">
        <f>PROPER(TRIM(sales_data!L594))</f>
        <v>Cash</v>
      </c>
      <c r="M594" t="str">
        <f>PROPER(TRIM(sales_data!M594))</f>
        <v>Retail</v>
      </c>
      <c r="N594">
        <f t="shared" si="37"/>
        <v>78.849999999999454</v>
      </c>
      <c r="O594">
        <f t="shared" si="38"/>
        <v>2444.3499999999831</v>
      </c>
      <c r="P594" t="str">
        <f t="shared" si="39"/>
        <v>Jan</v>
      </c>
    </row>
    <row r="595" spans="1:16" x14ac:dyDescent="0.25">
      <c r="A595">
        <v>1049</v>
      </c>
      <c r="B595" s="1">
        <v>45068</v>
      </c>
      <c r="C595">
        <f t="shared" si="36"/>
        <v>57909.286800000002</v>
      </c>
      <c r="D595">
        <v>19</v>
      </c>
      <c r="E595">
        <v>3316.97</v>
      </c>
      <c r="F595">
        <v>3544.02</v>
      </c>
      <c r="G595">
        <v>0.14000000000000001</v>
      </c>
      <c r="H595" t="str">
        <f>PROPER(TRIM(sales_data!C595))</f>
        <v>Bob</v>
      </c>
      <c r="I595" t="str">
        <f>PROPER(TRIM(sales_data!D595))</f>
        <v>East</v>
      </c>
      <c r="J595" t="str">
        <f>PROPER(TRIM(sales_data!G595))</f>
        <v>Clothing</v>
      </c>
      <c r="K595" t="str">
        <f>PROPER(TRIM(sales_data!J595))</f>
        <v>Returning</v>
      </c>
      <c r="L595" t="str">
        <f>PROPER(TRIM(sales_data!L595))</f>
        <v>Cash</v>
      </c>
      <c r="M595" t="str">
        <f>PROPER(TRIM(sales_data!M595))</f>
        <v>Online</v>
      </c>
      <c r="N595">
        <f t="shared" si="37"/>
        <v>227.05000000000018</v>
      </c>
      <c r="O595">
        <f t="shared" si="38"/>
        <v>4313.9500000000035</v>
      </c>
      <c r="P595" t="str">
        <f t="shared" si="39"/>
        <v>May</v>
      </c>
    </row>
    <row r="596" spans="1:16" x14ac:dyDescent="0.25">
      <c r="A596">
        <v>1099</v>
      </c>
      <c r="B596" s="1">
        <v>45084</v>
      </c>
      <c r="C596">
        <f t="shared" si="36"/>
        <v>51132.485000000001</v>
      </c>
      <c r="D596">
        <v>31</v>
      </c>
      <c r="E596">
        <v>1974.4</v>
      </c>
      <c r="F596">
        <v>2259.5</v>
      </c>
      <c r="G596">
        <v>0.27</v>
      </c>
      <c r="H596" t="str">
        <f>PROPER(TRIM(sales_data!C596))</f>
        <v>Charlie</v>
      </c>
      <c r="I596" t="str">
        <f>PROPER(TRIM(sales_data!D596))</f>
        <v>East</v>
      </c>
      <c r="J596" t="str">
        <f>PROPER(TRIM(sales_data!G596))</f>
        <v>Food</v>
      </c>
      <c r="K596" t="str">
        <f>PROPER(TRIM(sales_data!J596))</f>
        <v>New</v>
      </c>
      <c r="L596" t="str">
        <f>PROPER(TRIM(sales_data!L596))</f>
        <v>Cash</v>
      </c>
      <c r="M596" t="str">
        <f>PROPER(TRIM(sales_data!M596))</f>
        <v>Retail</v>
      </c>
      <c r="N596">
        <f t="shared" si="37"/>
        <v>285.09999999999991</v>
      </c>
      <c r="O596">
        <f t="shared" si="38"/>
        <v>8838.0999999999967</v>
      </c>
      <c r="P596" t="str">
        <f t="shared" si="39"/>
        <v>Jun</v>
      </c>
    </row>
    <row r="597" spans="1:16" x14ac:dyDescent="0.25">
      <c r="A597">
        <v>1036</v>
      </c>
      <c r="B597" s="1">
        <v>45250</v>
      </c>
      <c r="C597">
        <f t="shared" si="36"/>
        <v>25594.534399999997</v>
      </c>
      <c r="D597">
        <v>32</v>
      </c>
      <c r="E597">
        <v>700.49</v>
      </c>
      <c r="F597">
        <v>1126.52</v>
      </c>
      <c r="G597">
        <v>0.28999999999999998</v>
      </c>
      <c r="H597" t="str">
        <f>PROPER(TRIM(sales_data!C597))</f>
        <v>Alice</v>
      </c>
      <c r="I597" t="str">
        <f>PROPER(TRIM(sales_data!D597))</f>
        <v>East</v>
      </c>
      <c r="J597" t="str">
        <f>PROPER(TRIM(sales_data!G597))</f>
        <v>Clothing</v>
      </c>
      <c r="K597" t="str">
        <f>PROPER(TRIM(sales_data!J597))</f>
        <v>New</v>
      </c>
      <c r="L597" t="str">
        <f>PROPER(TRIM(sales_data!L597))</f>
        <v>Credit Card</v>
      </c>
      <c r="M597" t="str">
        <f>PROPER(TRIM(sales_data!M597))</f>
        <v>Retail</v>
      </c>
      <c r="N597">
        <f t="shared" si="37"/>
        <v>426.03</v>
      </c>
      <c r="O597">
        <f t="shared" si="38"/>
        <v>13632.96</v>
      </c>
      <c r="P597" t="str">
        <f t="shared" si="39"/>
        <v>Nov</v>
      </c>
    </row>
    <row r="598" spans="1:16" x14ac:dyDescent="0.25">
      <c r="A598">
        <v>1082</v>
      </c>
      <c r="B598" s="1">
        <v>45072</v>
      </c>
      <c r="C598">
        <f t="shared" si="36"/>
        <v>2774.9744000000001</v>
      </c>
      <c r="D598">
        <v>2</v>
      </c>
      <c r="E598">
        <v>1349.3</v>
      </c>
      <c r="F598">
        <v>1576.69</v>
      </c>
      <c r="G598">
        <v>0.12</v>
      </c>
      <c r="H598" t="str">
        <f>PROPER(TRIM(sales_data!C598))</f>
        <v>David</v>
      </c>
      <c r="I598" t="str">
        <f>PROPER(TRIM(sales_data!D598))</f>
        <v>South</v>
      </c>
      <c r="J598" t="str">
        <f>PROPER(TRIM(sales_data!G598))</f>
        <v>Furniture</v>
      </c>
      <c r="K598" t="str">
        <f>PROPER(TRIM(sales_data!J598))</f>
        <v>Returning</v>
      </c>
      <c r="L598" t="str">
        <f>PROPER(TRIM(sales_data!L598))</f>
        <v>Credit Card</v>
      </c>
      <c r="M598" t="str">
        <f>PROPER(TRIM(sales_data!M598))</f>
        <v>Online</v>
      </c>
      <c r="N598">
        <f t="shared" si="37"/>
        <v>227.3900000000001</v>
      </c>
      <c r="O598">
        <f t="shared" si="38"/>
        <v>454.7800000000002</v>
      </c>
      <c r="P598" t="str">
        <f t="shared" si="39"/>
        <v>May</v>
      </c>
    </row>
    <row r="599" spans="1:16" x14ac:dyDescent="0.25">
      <c r="A599">
        <v>1096</v>
      </c>
      <c r="B599" s="1">
        <v>45219</v>
      </c>
      <c r="C599">
        <f t="shared" si="36"/>
        <v>29807.448</v>
      </c>
      <c r="D599">
        <v>10</v>
      </c>
      <c r="E599">
        <v>2927.02</v>
      </c>
      <c r="F599">
        <v>3387.21</v>
      </c>
      <c r="G599">
        <v>0.12</v>
      </c>
      <c r="H599" t="str">
        <f>PROPER(TRIM(sales_data!C599))</f>
        <v>David</v>
      </c>
      <c r="I599" t="str">
        <f>PROPER(TRIM(sales_data!D599))</f>
        <v>South</v>
      </c>
      <c r="J599" t="str">
        <f>PROPER(TRIM(sales_data!G599))</f>
        <v>Clothing</v>
      </c>
      <c r="K599" t="str">
        <f>PROPER(TRIM(sales_data!J599))</f>
        <v>Returning</v>
      </c>
      <c r="L599" t="str">
        <f>PROPER(TRIM(sales_data!L599))</f>
        <v>Cash</v>
      </c>
      <c r="M599" t="str">
        <f>PROPER(TRIM(sales_data!M599))</f>
        <v>Retail</v>
      </c>
      <c r="N599">
        <f t="shared" si="37"/>
        <v>460.19000000000005</v>
      </c>
      <c r="O599">
        <f t="shared" si="38"/>
        <v>4601.9000000000005</v>
      </c>
      <c r="P599" t="str">
        <f t="shared" si="39"/>
        <v>Oct</v>
      </c>
    </row>
    <row r="600" spans="1:16" x14ac:dyDescent="0.25">
      <c r="A600">
        <v>1024</v>
      </c>
      <c r="B600" s="1">
        <v>45079</v>
      </c>
      <c r="C600">
        <f t="shared" si="36"/>
        <v>6742.0496000000003</v>
      </c>
      <c r="D600">
        <v>2</v>
      </c>
      <c r="E600">
        <v>3604.93</v>
      </c>
      <c r="F600">
        <v>3830.71</v>
      </c>
      <c r="G600">
        <v>0.12</v>
      </c>
      <c r="H600" t="str">
        <f>PROPER(TRIM(sales_data!C600))</f>
        <v>Alice</v>
      </c>
      <c r="I600" t="str">
        <f>PROPER(TRIM(sales_data!D600))</f>
        <v>West</v>
      </c>
      <c r="J600" t="str">
        <f>PROPER(TRIM(sales_data!G600))</f>
        <v>Furniture</v>
      </c>
      <c r="K600" t="str">
        <f>PROPER(TRIM(sales_data!J600))</f>
        <v>Returning</v>
      </c>
      <c r="L600" t="str">
        <f>PROPER(TRIM(sales_data!L600))</f>
        <v>Credit Card</v>
      </c>
      <c r="M600" t="str">
        <f>PROPER(TRIM(sales_data!M600))</f>
        <v>Online</v>
      </c>
      <c r="N600">
        <f t="shared" si="37"/>
        <v>225.7800000000002</v>
      </c>
      <c r="O600">
        <f t="shared" si="38"/>
        <v>451.5600000000004</v>
      </c>
      <c r="P600" t="str">
        <f t="shared" si="39"/>
        <v>Jun</v>
      </c>
    </row>
    <row r="601" spans="1:16" x14ac:dyDescent="0.25">
      <c r="A601">
        <v>1023</v>
      </c>
      <c r="B601" s="1">
        <v>45119</v>
      </c>
      <c r="C601">
        <f t="shared" si="36"/>
        <v>1700.6220000000001</v>
      </c>
      <c r="D601">
        <v>2</v>
      </c>
      <c r="E601">
        <v>665.89</v>
      </c>
      <c r="F601">
        <v>944.79</v>
      </c>
      <c r="G601">
        <v>0.1</v>
      </c>
      <c r="H601" t="str">
        <f>PROPER(TRIM(sales_data!C601))</f>
        <v>Alice</v>
      </c>
      <c r="I601" t="str">
        <f>PROPER(TRIM(sales_data!D601))</f>
        <v>North</v>
      </c>
      <c r="J601" t="str">
        <f>PROPER(TRIM(sales_data!G601))</f>
        <v>Food</v>
      </c>
      <c r="K601" t="str">
        <f>PROPER(TRIM(sales_data!J601))</f>
        <v>New</v>
      </c>
      <c r="L601" t="str">
        <f>PROPER(TRIM(sales_data!L601))</f>
        <v>Credit Card</v>
      </c>
      <c r="M601" t="str">
        <f>PROPER(TRIM(sales_data!M601))</f>
        <v>Retail</v>
      </c>
      <c r="N601">
        <f t="shared" si="37"/>
        <v>278.89999999999998</v>
      </c>
      <c r="O601">
        <f t="shared" si="38"/>
        <v>557.79999999999995</v>
      </c>
      <c r="P601" t="str">
        <f t="shared" si="39"/>
        <v>Jul</v>
      </c>
    </row>
    <row r="602" spans="1:16" x14ac:dyDescent="0.25">
      <c r="A602">
        <v>1062</v>
      </c>
      <c r="B602" s="1">
        <v>44999</v>
      </c>
      <c r="C602">
        <f t="shared" si="36"/>
        <v>63168.1512</v>
      </c>
      <c r="D602">
        <v>24</v>
      </c>
      <c r="E602">
        <v>3018.01</v>
      </c>
      <c r="F602">
        <v>3418.19</v>
      </c>
      <c r="G602">
        <v>0.23</v>
      </c>
      <c r="H602" t="str">
        <f>PROPER(TRIM(sales_data!C602))</f>
        <v>Alice</v>
      </c>
      <c r="I602" t="str">
        <f>PROPER(TRIM(sales_data!D602))</f>
        <v>East</v>
      </c>
      <c r="J602" t="str">
        <f>PROPER(TRIM(sales_data!G602))</f>
        <v>Food</v>
      </c>
      <c r="K602" t="str">
        <f>PROPER(TRIM(sales_data!J602))</f>
        <v>Returning</v>
      </c>
      <c r="L602" t="str">
        <f>PROPER(TRIM(sales_data!L602))</f>
        <v>Bank Transfer</v>
      </c>
      <c r="M602" t="str">
        <f>PROPER(TRIM(sales_data!M602))</f>
        <v>Retail</v>
      </c>
      <c r="N602">
        <f t="shared" si="37"/>
        <v>400.17999999999984</v>
      </c>
      <c r="O602">
        <f t="shared" si="38"/>
        <v>9604.3199999999961</v>
      </c>
      <c r="P602" t="str">
        <f t="shared" si="39"/>
        <v>Mar</v>
      </c>
    </row>
    <row r="603" spans="1:16" x14ac:dyDescent="0.25">
      <c r="A603">
        <v>1096</v>
      </c>
      <c r="B603" s="1">
        <v>45231</v>
      </c>
      <c r="C603">
        <f t="shared" si="36"/>
        <v>40185.514599999871</v>
      </c>
      <c r="D603">
        <v>17</v>
      </c>
      <c r="E603">
        <v>2774.24</v>
      </c>
      <c r="F603">
        <v>3069.9399999999901</v>
      </c>
      <c r="G603">
        <v>0.23</v>
      </c>
      <c r="H603" t="str">
        <f>PROPER(TRIM(sales_data!C603))</f>
        <v>Bob</v>
      </c>
      <c r="I603" t="str">
        <f>PROPER(TRIM(sales_data!D603))</f>
        <v>South</v>
      </c>
      <c r="J603" t="str">
        <f>PROPER(TRIM(sales_data!G603))</f>
        <v>Food</v>
      </c>
      <c r="K603" t="str">
        <f>PROPER(TRIM(sales_data!J603))</f>
        <v>Returning</v>
      </c>
      <c r="L603" t="str">
        <f>PROPER(TRIM(sales_data!L603))</f>
        <v>Bank Transfer</v>
      </c>
      <c r="M603" t="str">
        <f>PROPER(TRIM(sales_data!M603))</f>
        <v>Retail</v>
      </c>
      <c r="N603">
        <f t="shared" si="37"/>
        <v>295.69999999999027</v>
      </c>
      <c r="O603">
        <f t="shared" si="38"/>
        <v>5026.8999999998341</v>
      </c>
      <c r="P603" t="str">
        <f t="shared" si="39"/>
        <v>Nov</v>
      </c>
    </row>
    <row r="604" spans="1:16" x14ac:dyDescent="0.25">
      <c r="A604">
        <v>1037</v>
      </c>
      <c r="B604" s="1">
        <v>45270</v>
      </c>
      <c r="C604">
        <f t="shared" si="36"/>
        <v>84612.716800000009</v>
      </c>
      <c r="D604">
        <v>32</v>
      </c>
      <c r="E604">
        <v>2594.08</v>
      </c>
      <c r="F604">
        <v>3074.59</v>
      </c>
      <c r="G604">
        <v>0.14000000000000001</v>
      </c>
      <c r="H604" t="str">
        <f>PROPER(TRIM(sales_data!C604))</f>
        <v>Bob</v>
      </c>
      <c r="I604" t="str">
        <f>PROPER(TRIM(sales_data!D604))</f>
        <v>North</v>
      </c>
      <c r="J604" t="str">
        <f>PROPER(TRIM(sales_data!G604))</f>
        <v>Electronics</v>
      </c>
      <c r="K604" t="str">
        <f>PROPER(TRIM(sales_data!J604))</f>
        <v>New</v>
      </c>
      <c r="L604" t="str">
        <f>PROPER(TRIM(sales_data!L604))</f>
        <v>Cash</v>
      </c>
      <c r="M604" t="str">
        <f>PROPER(TRIM(sales_data!M604))</f>
        <v>Retail</v>
      </c>
      <c r="N604">
        <f t="shared" si="37"/>
        <v>480.51000000000022</v>
      </c>
      <c r="O604">
        <f t="shared" si="38"/>
        <v>15376.320000000007</v>
      </c>
      <c r="P604" t="str">
        <f t="shared" si="39"/>
        <v>Dec</v>
      </c>
    </row>
    <row r="605" spans="1:16" x14ac:dyDescent="0.25">
      <c r="A605">
        <v>1012</v>
      </c>
      <c r="B605" s="1">
        <v>45066</v>
      </c>
      <c r="C605">
        <f t="shared" si="36"/>
        <v>60186.772799999999</v>
      </c>
      <c r="D605">
        <v>16</v>
      </c>
      <c r="E605">
        <v>3466.11</v>
      </c>
      <c r="F605">
        <v>3799.67</v>
      </c>
      <c r="G605">
        <v>0.01</v>
      </c>
      <c r="H605" t="str">
        <f>PROPER(TRIM(sales_data!C605))</f>
        <v>Bob</v>
      </c>
      <c r="I605" t="str">
        <f>PROPER(TRIM(sales_data!D605))</f>
        <v>North</v>
      </c>
      <c r="J605" t="str">
        <f>PROPER(TRIM(sales_data!G605))</f>
        <v>Food</v>
      </c>
      <c r="K605" t="str">
        <f>PROPER(TRIM(sales_data!J605))</f>
        <v>Returning</v>
      </c>
      <c r="L605" t="str">
        <f>PROPER(TRIM(sales_data!L605))</f>
        <v>Cash</v>
      </c>
      <c r="M605" t="str">
        <f>PROPER(TRIM(sales_data!M605))</f>
        <v>Retail</v>
      </c>
      <c r="N605">
        <f t="shared" si="37"/>
        <v>333.55999999999995</v>
      </c>
      <c r="O605">
        <f t="shared" si="38"/>
        <v>5336.9599999999991</v>
      </c>
      <c r="P605" t="str">
        <f t="shared" si="39"/>
        <v>May</v>
      </c>
    </row>
    <row r="606" spans="1:16" x14ac:dyDescent="0.25">
      <c r="A606">
        <v>1055</v>
      </c>
      <c r="B606" s="1">
        <v>45113</v>
      </c>
      <c r="C606">
        <f t="shared" si="36"/>
        <v>64959.585600000006</v>
      </c>
      <c r="D606">
        <v>16</v>
      </c>
      <c r="E606">
        <v>4195.38</v>
      </c>
      <c r="F606">
        <v>4461.51</v>
      </c>
      <c r="G606">
        <v>0.09</v>
      </c>
      <c r="H606" t="str">
        <f>PROPER(TRIM(sales_data!C606))</f>
        <v>Eve</v>
      </c>
      <c r="I606" t="str">
        <f>PROPER(TRIM(sales_data!D606))</f>
        <v>South</v>
      </c>
      <c r="J606" t="str">
        <f>PROPER(TRIM(sales_data!G606))</f>
        <v>Clothing</v>
      </c>
      <c r="K606" t="str">
        <f>PROPER(TRIM(sales_data!J606))</f>
        <v>Returning</v>
      </c>
      <c r="L606" t="str">
        <f>PROPER(TRIM(sales_data!L606))</f>
        <v>Bank Transfer</v>
      </c>
      <c r="M606" t="str">
        <f>PROPER(TRIM(sales_data!M606))</f>
        <v>Online</v>
      </c>
      <c r="N606">
        <f t="shared" si="37"/>
        <v>266.13000000000011</v>
      </c>
      <c r="O606">
        <f t="shared" si="38"/>
        <v>4258.0800000000017</v>
      </c>
      <c r="P606" t="str">
        <f t="shared" si="39"/>
        <v>Jul</v>
      </c>
    </row>
    <row r="607" spans="1:16" x14ac:dyDescent="0.25">
      <c r="A607">
        <v>1013</v>
      </c>
      <c r="B607" s="1">
        <v>45219</v>
      </c>
      <c r="C607">
        <f t="shared" si="36"/>
        <v>69921.2696</v>
      </c>
      <c r="D607">
        <v>46</v>
      </c>
      <c r="E607">
        <v>1648.8</v>
      </c>
      <c r="F607">
        <v>1670.36</v>
      </c>
      <c r="G607">
        <v>0.09</v>
      </c>
      <c r="H607" t="str">
        <f>PROPER(TRIM(sales_data!C607))</f>
        <v>David</v>
      </c>
      <c r="I607" t="str">
        <f>PROPER(TRIM(sales_data!D607))</f>
        <v>East</v>
      </c>
      <c r="J607" t="str">
        <f>PROPER(TRIM(sales_data!G607))</f>
        <v>Electronics</v>
      </c>
      <c r="K607" t="str">
        <f>PROPER(TRIM(sales_data!J607))</f>
        <v>Returning</v>
      </c>
      <c r="L607" t="str">
        <f>PROPER(TRIM(sales_data!L607))</f>
        <v>Credit Card</v>
      </c>
      <c r="M607" t="str">
        <f>PROPER(TRIM(sales_data!M607))</f>
        <v>Retail</v>
      </c>
      <c r="N607">
        <f t="shared" si="37"/>
        <v>21.559999999999945</v>
      </c>
      <c r="O607">
        <f t="shared" si="38"/>
        <v>991.75999999999749</v>
      </c>
      <c r="P607" t="str">
        <f t="shared" si="39"/>
        <v>Oct</v>
      </c>
    </row>
    <row r="608" spans="1:16" x14ac:dyDescent="0.25">
      <c r="A608">
        <v>1023</v>
      </c>
      <c r="B608" s="1">
        <v>44987</v>
      </c>
      <c r="C608">
        <f t="shared" si="36"/>
        <v>138221.39759999971</v>
      </c>
      <c r="D608">
        <v>39</v>
      </c>
      <c r="E608">
        <v>4450.6099999999997</v>
      </c>
      <c r="F608">
        <v>4663.3399999999901</v>
      </c>
      <c r="G608">
        <v>0.24</v>
      </c>
      <c r="H608" t="str">
        <f>PROPER(TRIM(sales_data!C608))</f>
        <v>David</v>
      </c>
      <c r="I608" t="str">
        <f>PROPER(TRIM(sales_data!D608))</f>
        <v>West</v>
      </c>
      <c r="J608" t="str">
        <f>PROPER(TRIM(sales_data!G608))</f>
        <v>Food</v>
      </c>
      <c r="K608" t="str">
        <f>PROPER(TRIM(sales_data!J608))</f>
        <v>New</v>
      </c>
      <c r="L608" t="str">
        <f>PROPER(TRIM(sales_data!L608))</f>
        <v>Cash</v>
      </c>
      <c r="M608" t="str">
        <f>PROPER(TRIM(sales_data!M608))</f>
        <v>Retail</v>
      </c>
      <c r="N608">
        <f t="shared" si="37"/>
        <v>212.72999999999047</v>
      </c>
      <c r="O608">
        <f t="shared" si="38"/>
        <v>8296.4699999996283</v>
      </c>
      <c r="P608" t="str">
        <f t="shared" si="39"/>
        <v>Mar</v>
      </c>
    </row>
    <row r="609" spans="1:16" x14ac:dyDescent="0.25">
      <c r="A609">
        <v>1089</v>
      </c>
      <c r="B609" s="1">
        <v>45124</v>
      </c>
      <c r="C609">
        <f t="shared" si="36"/>
        <v>30123.223899999997</v>
      </c>
      <c r="D609">
        <v>31</v>
      </c>
      <c r="E609">
        <v>845.14</v>
      </c>
      <c r="F609">
        <v>1001.77</v>
      </c>
      <c r="G609">
        <v>0.03</v>
      </c>
      <c r="H609" t="str">
        <f>PROPER(TRIM(sales_data!C609))</f>
        <v>Charlie</v>
      </c>
      <c r="I609" t="str">
        <f>PROPER(TRIM(sales_data!D609))</f>
        <v>North</v>
      </c>
      <c r="J609" t="str">
        <f>PROPER(TRIM(sales_data!G609))</f>
        <v>Clothing</v>
      </c>
      <c r="K609" t="str">
        <f>PROPER(TRIM(sales_data!J609))</f>
        <v>New</v>
      </c>
      <c r="L609" t="str">
        <f>PROPER(TRIM(sales_data!L609))</f>
        <v>Cash</v>
      </c>
      <c r="M609" t="str">
        <f>PROPER(TRIM(sales_data!M609))</f>
        <v>Online</v>
      </c>
      <c r="N609">
        <f t="shared" si="37"/>
        <v>156.63</v>
      </c>
      <c r="O609">
        <f t="shared" si="38"/>
        <v>4855.53</v>
      </c>
      <c r="P609" t="str">
        <f t="shared" si="39"/>
        <v>Jul</v>
      </c>
    </row>
    <row r="610" spans="1:16" x14ac:dyDescent="0.25">
      <c r="A610">
        <v>1099</v>
      </c>
      <c r="B610" s="1">
        <v>45221</v>
      </c>
      <c r="C610">
        <f t="shared" si="36"/>
        <v>41929.747199999998</v>
      </c>
      <c r="D610">
        <v>43</v>
      </c>
      <c r="E610">
        <v>906.47</v>
      </c>
      <c r="F610">
        <v>1283.04</v>
      </c>
      <c r="G610">
        <v>0.24</v>
      </c>
      <c r="H610" t="str">
        <f>PROPER(TRIM(sales_data!C610))</f>
        <v>Bob</v>
      </c>
      <c r="I610" t="str">
        <f>PROPER(TRIM(sales_data!D610))</f>
        <v>West</v>
      </c>
      <c r="J610" t="str">
        <f>PROPER(TRIM(sales_data!G610))</f>
        <v>Clothing</v>
      </c>
      <c r="K610" t="str">
        <f>PROPER(TRIM(sales_data!J610))</f>
        <v>New</v>
      </c>
      <c r="L610" t="str">
        <f>PROPER(TRIM(sales_data!L610))</f>
        <v>Cash</v>
      </c>
      <c r="M610" t="str">
        <f>PROPER(TRIM(sales_data!M610))</f>
        <v>Online</v>
      </c>
      <c r="N610">
        <f t="shared" si="37"/>
        <v>376.56999999999994</v>
      </c>
      <c r="O610">
        <f t="shared" si="38"/>
        <v>16192.509999999997</v>
      </c>
      <c r="P610" t="str">
        <f t="shared" si="39"/>
        <v>Oct</v>
      </c>
    </row>
    <row r="611" spans="1:16" x14ac:dyDescent="0.25">
      <c r="A611">
        <v>1030</v>
      </c>
      <c r="B611" s="1">
        <v>45245</v>
      </c>
      <c r="C611">
        <f t="shared" si="36"/>
        <v>28465.536</v>
      </c>
      <c r="D611">
        <v>24</v>
      </c>
      <c r="E611">
        <v>1370.52</v>
      </c>
      <c r="F611">
        <v>1482.58</v>
      </c>
      <c r="G611">
        <v>0.2</v>
      </c>
      <c r="H611" t="str">
        <f>PROPER(TRIM(sales_data!C611))</f>
        <v>Eve</v>
      </c>
      <c r="I611" t="str">
        <f>PROPER(TRIM(sales_data!D611))</f>
        <v>East</v>
      </c>
      <c r="J611" t="str">
        <f>PROPER(TRIM(sales_data!G611))</f>
        <v>Clothing</v>
      </c>
      <c r="K611" t="str">
        <f>PROPER(TRIM(sales_data!J611))</f>
        <v>Returning</v>
      </c>
      <c r="L611" t="str">
        <f>PROPER(TRIM(sales_data!L611))</f>
        <v>Credit Card</v>
      </c>
      <c r="M611" t="str">
        <f>PROPER(TRIM(sales_data!M611))</f>
        <v>Retail</v>
      </c>
      <c r="N611">
        <f t="shared" si="37"/>
        <v>112.05999999999995</v>
      </c>
      <c r="O611">
        <f t="shared" si="38"/>
        <v>2689.4399999999987</v>
      </c>
      <c r="P611" t="str">
        <f t="shared" si="39"/>
        <v>Nov</v>
      </c>
    </row>
    <row r="612" spans="1:16" x14ac:dyDescent="0.25">
      <c r="A612">
        <v>1017</v>
      </c>
      <c r="B612" s="1">
        <v>45228</v>
      </c>
      <c r="C612">
        <f t="shared" si="36"/>
        <v>586.74720000000002</v>
      </c>
      <c r="D612">
        <v>1</v>
      </c>
      <c r="E612">
        <v>641.67999999999995</v>
      </c>
      <c r="F612">
        <v>752.24</v>
      </c>
      <c r="G612">
        <v>0.22</v>
      </c>
      <c r="H612" t="str">
        <f>PROPER(TRIM(sales_data!C612))</f>
        <v>Eve</v>
      </c>
      <c r="I612" t="str">
        <f>PROPER(TRIM(sales_data!D612))</f>
        <v>East</v>
      </c>
      <c r="J612" t="str">
        <f>PROPER(TRIM(sales_data!G612))</f>
        <v>Furniture</v>
      </c>
      <c r="K612" t="str">
        <f>PROPER(TRIM(sales_data!J612))</f>
        <v>New</v>
      </c>
      <c r="L612" t="str">
        <f>PROPER(TRIM(sales_data!L612))</f>
        <v>Bank Transfer</v>
      </c>
      <c r="M612" t="str">
        <f>PROPER(TRIM(sales_data!M612))</f>
        <v>Online</v>
      </c>
      <c r="N612">
        <f t="shared" si="37"/>
        <v>110.56000000000006</v>
      </c>
      <c r="O612">
        <f t="shared" si="38"/>
        <v>110.56000000000006</v>
      </c>
      <c r="P612" t="str">
        <f t="shared" si="39"/>
        <v>Oct</v>
      </c>
    </row>
    <row r="613" spans="1:16" x14ac:dyDescent="0.25">
      <c r="A613">
        <v>1062</v>
      </c>
      <c r="B613" s="1">
        <v>45270</v>
      </c>
      <c r="C613">
        <f t="shared" si="36"/>
        <v>12373.435799999905</v>
      </c>
      <c r="D613">
        <v>11</v>
      </c>
      <c r="E613">
        <v>1190.08</v>
      </c>
      <c r="F613">
        <v>1292.9399999999901</v>
      </c>
      <c r="G613">
        <v>0.13</v>
      </c>
      <c r="H613" t="str">
        <f>PROPER(TRIM(sales_data!C613))</f>
        <v>David</v>
      </c>
      <c r="I613" t="str">
        <f>PROPER(TRIM(sales_data!D613))</f>
        <v>West</v>
      </c>
      <c r="J613" t="str">
        <f>PROPER(TRIM(sales_data!G613))</f>
        <v>Electronics</v>
      </c>
      <c r="K613" t="str">
        <f>PROPER(TRIM(sales_data!J613))</f>
        <v>Returning</v>
      </c>
      <c r="L613" t="str">
        <f>PROPER(TRIM(sales_data!L613))</f>
        <v>Cash</v>
      </c>
      <c r="M613" t="str">
        <f>PROPER(TRIM(sales_data!M613))</f>
        <v>Retail</v>
      </c>
      <c r="N613">
        <f t="shared" si="37"/>
        <v>102.85999999999012</v>
      </c>
      <c r="O613">
        <f t="shared" si="38"/>
        <v>1131.4599999998914</v>
      </c>
      <c r="P613" t="str">
        <f t="shared" si="39"/>
        <v>Dec</v>
      </c>
    </row>
    <row r="614" spans="1:16" x14ac:dyDescent="0.25">
      <c r="A614">
        <v>1084</v>
      </c>
      <c r="B614" s="1">
        <v>44937</v>
      </c>
      <c r="C614">
        <f t="shared" si="36"/>
        <v>10891.272000000001</v>
      </c>
      <c r="D614">
        <v>21</v>
      </c>
      <c r="E614">
        <v>576.74</v>
      </c>
      <c r="F614">
        <v>648.29</v>
      </c>
      <c r="G614">
        <v>0.2</v>
      </c>
      <c r="H614" t="str">
        <f>PROPER(TRIM(sales_data!C614))</f>
        <v>Bob</v>
      </c>
      <c r="I614" t="str">
        <f>PROPER(TRIM(sales_data!D614))</f>
        <v>East</v>
      </c>
      <c r="J614" t="str">
        <f>PROPER(TRIM(sales_data!G614))</f>
        <v>Clothing</v>
      </c>
      <c r="K614" t="str">
        <f>PROPER(TRIM(sales_data!J614))</f>
        <v>Returning</v>
      </c>
      <c r="L614" t="str">
        <f>PROPER(TRIM(sales_data!L614))</f>
        <v>Bank Transfer</v>
      </c>
      <c r="M614" t="str">
        <f>PROPER(TRIM(sales_data!M614))</f>
        <v>Online</v>
      </c>
      <c r="N614">
        <f t="shared" si="37"/>
        <v>71.549999999999955</v>
      </c>
      <c r="O614">
        <f t="shared" si="38"/>
        <v>1502.549999999999</v>
      </c>
      <c r="P614" t="str">
        <f t="shared" si="39"/>
        <v>Jan</v>
      </c>
    </row>
    <row r="615" spans="1:16" x14ac:dyDescent="0.25">
      <c r="A615">
        <v>1089</v>
      </c>
      <c r="B615" s="1">
        <v>44988</v>
      </c>
      <c r="C615">
        <f t="shared" si="36"/>
        <v>14038.596800000003</v>
      </c>
      <c r="D615">
        <v>4</v>
      </c>
      <c r="E615">
        <v>4117.67</v>
      </c>
      <c r="F615">
        <v>4280.0600000000004</v>
      </c>
      <c r="G615">
        <v>0.18</v>
      </c>
      <c r="H615" t="str">
        <f>PROPER(TRIM(sales_data!C615))</f>
        <v>Charlie</v>
      </c>
      <c r="I615" t="str">
        <f>PROPER(TRIM(sales_data!D615))</f>
        <v>North</v>
      </c>
      <c r="J615" t="str">
        <f>PROPER(TRIM(sales_data!G615))</f>
        <v>Furniture</v>
      </c>
      <c r="K615" t="str">
        <f>PROPER(TRIM(sales_data!J615))</f>
        <v>Returning</v>
      </c>
      <c r="L615" t="str">
        <f>PROPER(TRIM(sales_data!L615))</f>
        <v>Bank Transfer</v>
      </c>
      <c r="M615" t="str">
        <f>PROPER(TRIM(sales_data!M615))</f>
        <v>Online</v>
      </c>
      <c r="N615">
        <f t="shared" si="37"/>
        <v>162.39000000000033</v>
      </c>
      <c r="O615">
        <f t="shared" si="38"/>
        <v>649.56000000000131</v>
      </c>
      <c r="P615" t="str">
        <f t="shared" si="39"/>
        <v>Mar</v>
      </c>
    </row>
    <row r="616" spans="1:16" x14ac:dyDescent="0.25">
      <c r="A616">
        <v>1086</v>
      </c>
      <c r="B616" s="1">
        <v>45259</v>
      </c>
      <c r="C616">
        <f t="shared" si="36"/>
        <v>6370.9800000000005</v>
      </c>
      <c r="D616">
        <v>7</v>
      </c>
      <c r="E616">
        <v>737.9</v>
      </c>
      <c r="F616">
        <v>1182</v>
      </c>
      <c r="G616">
        <v>0.23</v>
      </c>
      <c r="H616" t="str">
        <f>PROPER(TRIM(sales_data!C616))</f>
        <v>Bob</v>
      </c>
      <c r="I616" t="str">
        <f>PROPER(TRIM(sales_data!D616))</f>
        <v>West</v>
      </c>
      <c r="J616" t="str">
        <f>PROPER(TRIM(sales_data!G616))</f>
        <v>Food</v>
      </c>
      <c r="K616" t="str">
        <f>PROPER(TRIM(sales_data!J616))</f>
        <v>New</v>
      </c>
      <c r="L616" t="str">
        <f>PROPER(TRIM(sales_data!L616))</f>
        <v>Credit Card</v>
      </c>
      <c r="M616" t="str">
        <f>PROPER(TRIM(sales_data!M616))</f>
        <v>Retail</v>
      </c>
      <c r="N616">
        <f t="shared" si="37"/>
        <v>444.1</v>
      </c>
      <c r="O616">
        <f t="shared" si="38"/>
        <v>3108.7000000000003</v>
      </c>
      <c r="P616" t="str">
        <f t="shared" si="39"/>
        <v>Nov</v>
      </c>
    </row>
    <row r="617" spans="1:16" x14ac:dyDescent="0.25">
      <c r="A617">
        <v>1013</v>
      </c>
      <c r="B617" s="1">
        <v>45152</v>
      </c>
      <c r="C617">
        <f t="shared" si="36"/>
        <v>93620.334600000002</v>
      </c>
      <c r="D617">
        <v>26</v>
      </c>
      <c r="E617">
        <v>3749.12</v>
      </c>
      <c r="F617">
        <v>4138.83</v>
      </c>
      <c r="G617">
        <v>0.13</v>
      </c>
      <c r="H617" t="str">
        <f>PROPER(TRIM(sales_data!C617))</f>
        <v>Alice</v>
      </c>
      <c r="I617" t="str">
        <f>PROPER(TRIM(sales_data!D617))</f>
        <v>East</v>
      </c>
      <c r="J617" t="str">
        <f>PROPER(TRIM(sales_data!G617))</f>
        <v>Clothing</v>
      </c>
      <c r="K617" t="str">
        <f>PROPER(TRIM(sales_data!J617))</f>
        <v>New</v>
      </c>
      <c r="L617" t="str">
        <f>PROPER(TRIM(sales_data!L617))</f>
        <v>Credit Card</v>
      </c>
      <c r="M617" t="str">
        <f>PROPER(TRIM(sales_data!M617))</f>
        <v>Online</v>
      </c>
      <c r="N617">
        <f t="shared" si="37"/>
        <v>389.71000000000004</v>
      </c>
      <c r="O617">
        <f t="shared" si="38"/>
        <v>10132.460000000001</v>
      </c>
      <c r="P617" t="str">
        <f t="shared" si="39"/>
        <v>Aug</v>
      </c>
    </row>
    <row r="618" spans="1:16" x14ac:dyDescent="0.25">
      <c r="A618">
        <v>1059</v>
      </c>
      <c r="B618" s="1">
        <v>45079</v>
      </c>
      <c r="C618">
        <f t="shared" si="36"/>
        <v>26573.724800000004</v>
      </c>
      <c r="D618">
        <v>47</v>
      </c>
      <c r="E618">
        <v>287.17</v>
      </c>
      <c r="F618">
        <v>657.44</v>
      </c>
      <c r="G618">
        <v>0.14000000000000001</v>
      </c>
      <c r="H618" t="str">
        <f>PROPER(TRIM(sales_data!C618))</f>
        <v>Bob</v>
      </c>
      <c r="I618" t="str">
        <f>PROPER(TRIM(sales_data!D618))</f>
        <v>West</v>
      </c>
      <c r="J618" t="str">
        <f>PROPER(TRIM(sales_data!G618))</f>
        <v>Furniture</v>
      </c>
      <c r="K618" t="str">
        <f>PROPER(TRIM(sales_data!J618))</f>
        <v>Returning</v>
      </c>
      <c r="L618" t="str">
        <f>PROPER(TRIM(sales_data!L618))</f>
        <v>Credit Card</v>
      </c>
      <c r="M618" t="str">
        <f>PROPER(TRIM(sales_data!M618))</f>
        <v>Retail</v>
      </c>
      <c r="N618">
        <f t="shared" si="37"/>
        <v>370.27000000000004</v>
      </c>
      <c r="O618">
        <f t="shared" si="38"/>
        <v>17402.690000000002</v>
      </c>
      <c r="P618" t="str">
        <f t="shared" si="39"/>
        <v>Jun</v>
      </c>
    </row>
    <row r="619" spans="1:16" x14ac:dyDescent="0.25">
      <c r="A619">
        <v>1019</v>
      </c>
      <c r="B619" s="1">
        <v>45125</v>
      </c>
      <c r="C619">
        <f t="shared" si="36"/>
        <v>50017.953600000001</v>
      </c>
      <c r="D619">
        <v>12</v>
      </c>
      <c r="E619">
        <v>4745.18</v>
      </c>
      <c r="F619">
        <v>5145.88</v>
      </c>
      <c r="G619">
        <v>0.19</v>
      </c>
      <c r="H619" t="str">
        <f>PROPER(TRIM(sales_data!C619))</f>
        <v>Alice</v>
      </c>
      <c r="I619" t="str">
        <f>PROPER(TRIM(sales_data!D619))</f>
        <v>North</v>
      </c>
      <c r="J619" t="str">
        <f>PROPER(TRIM(sales_data!G619))</f>
        <v>Clothing</v>
      </c>
      <c r="K619" t="str">
        <f>PROPER(TRIM(sales_data!J619))</f>
        <v>Returning</v>
      </c>
      <c r="L619" t="str">
        <f>PROPER(TRIM(sales_data!L619))</f>
        <v>Credit Card</v>
      </c>
      <c r="M619" t="str">
        <f>PROPER(TRIM(sales_data!M619))</f>
        <v>Online</v>
      </c>
      <c r="N619">
        <f t="shared" si="37"/>
        <v>400.69999999999982</v>
      </c>
      <c r="O619">
        <f t="shared" si="38"/>
        <v>4808.3999999999978</v>
      </c>
      <c r="P619" t="str">
        <f t="shared" si="39"/>
        <v>Jul</v>
      </c>
    </row>
    <row r="620" spans="1:16" x14ac:dyDescent="0.25">
      <c r="A620">
        <v>1049</v>
      </c>
      <c r="B620" s="1">
        <v>44978</v>
      </c>
      <c r="C620">
        <f t="shared" si="36"/>
        <v>111627.3575</v>
      </c>
      <c r="D620">
        <v>31</v>
      </c>
      <c r="E620">
        <v>3570.24</v>
      </c>
      <c r="F620">
        <v>3712.25</v>
      </c>
      <c r="G620">
        <v>0.03</v>
      </c>
      <c r="H620" t="str">
        <f>PROPER(TRIM(sales_data!C620))</f>
        <v>Alice</v>
      </c>
      <c r="I620" t="str">
        <f>PROPER(TRIM(sales_data!D620))</f>
        <v>East</v>
      </c>
      <c r="J620" t="str">
        <f>PROPER(TRIM(sales_data!G620))</f>
        <v>Electronics</v>
      </c>
      <c r="K620" t="str">
        <f>PROPER(TRIM(sales_data!J620))</f>
        <v>New</v>
      </c>
      <c r="L620" t="str">
        <f>PROPER(TRIM(sales_data!L620))</f>
        <v>Credit Card</v>
      </c>
      <c r="M620" t="str">
        <f>PROPER(TRIM(sales_data!M620))</f>
        <v>Online</v>
      </c>
      <c r="N620">
        <f t="shared" si="37"/>
        <v>142.01000000000022</v>
      </c>
      <c r="O620">
        <f t="shared" si="38"/>
        <v>4402.3100000000068</v>
      </c>
      <c r="P620" t="str">
        <f t="shared" si="39"/>
        <v>Feb</v>
      </c>
    </row>
    <row r="621" spans="1:16" x14ac:dyDescent="0.25">
      <c r="A621">
        <v>1100</v>
      </c>
      <c r="B621" s="1">
        <v>45186</v>
      </c>
      <c r="C621">
        <f t="shared" si="36"/>
        <v>7816.3670999999995</v>
      </c>
      <c r="D621">
        <v>17</v>
      </c>
      <c r="E621">
        <v>83.64</v>
      </c>
      <c r="F621">
        <v>528.49</v>
      </c>
      <c r="G621">
        <v>0.13</v>
      </c>
      <c r="H621" t="str">
        <f>PROPER(TRIM(sales_data!C621))</f>
        <v>Charlie</v>
      </c>
      <c r="I621" t="str">
        <f>PROPER(TRIM(sales_data!D621))</f>
        <v>North</v>
      </c>
      <c r="J621" t="str">
        <f>PROPER(TRIM(sales_data!G621))</f>
        <v>Electronics</v>
      </c>
      <c r="K621" t="str">
        <f>PROPER(TRIM(sales_data!J621))</f>
        <v>New</v>
      </c>
      <c r="L621" t="str">
        <f>PROPER(TRIM(sales_data!L621))</f>
        <v>Credit Card</v>
      </c>
      <c r="M621" t="str">
        <f>PROPER(TRIM(sales_data!M621))</f>
        <v>Online</v>
      </c>
      <c r="N621">
        <f t="shared" si="37"/>
        <v>444.85</v>
      </c>
      <c r="O621">
        <f t="shared" si="38"/>
        <v>7562.4500000000007</v>
      </c>
      <c r="P621" t="str">
        <f t="shared" si="39"/>
        <v>Sep</v>
      </c>
    </row>
    <row r="622" spans="1:16" x14ac:dyDescent="0.25">
      <c r="A622">
        <v>1012</v>
      </c>
      <c r="B622" s="1">
        <v>44985</v>
      </c>
      <c r="C622">
        <f t="shared" si="36"/>
        <v>91573.109099999987</v>
      </c>
      <c r="D622">
        <v>33</v>
      </c>
      <c r="E622">
        <v>3831.09</v>
      </c>
      <c r="F622">
        <v>3908.37</v>
      </c>
      <c r="G622">
        <v>0.28999999999999998</v>
      </c>
      <c r="H622" t="str">
        <f>PROPER(TRIM(sales_data!C622))</f>
        <v>David</v>
      </c>
      <c r="I622" t="str">
        <f>PROPER(TRIM(sales_data!D622))</f>
        <v>East</v>
      </c>
      <c r="J622" t="str">
        <f>PROPER(TRIM(sales_data!G622))</f>
        <v>Food</v>
      </c>
      <c r="K622" t="str">
        <f>PROPER(TRIM(sales_data!J622))</f>
        <v>New</v>
      </c>
      <c r="L622" t="str">
        <f>PROPER(TRIM(sales_data!L622))</f>
        <v>Cash</v>
      </c>
      <c r="M622" t="str">
        <f>PROPER(TRIM(sales_data!M622))</f>
        <v>Retail</v>
      </c>
      <c r="N622">
        <f t="shared" si="37"/>
        <v>77.279999999999745</v>
      </c>
      <c r="O622">
        <f t="shared" si="38"/>
        <v>2550.2399999999916</v>
      </c>
      <c r="P622" t="str">
        <f t="shared" si="39"/>
        <v>Feb</v>
      </c>
    </row>
    <row r="623" spans="1:16" x14ac:dyDescent="0.25">
      <c r="A623">
        <v>1061</v>
      </c>
      <c r="B623" s="1">
        <v>44998</v>
      </c>
      <c r="C623">
        <f t="shared" si="36"/>
        <v>30160.072800000002</v>
      </c>
      <c r="D623">
        <v>11</v>
      </c>
      <c r="E623">
        <v>2594.71</v>
      </c>
      <c r="F623">
        <v>2769.52</v>
      </c>
      <c r="G623">
        <v>0.01</v>
      </c>
      <c r="H623" t="str">
        <f>PROPER(TRIM(sales_data!C623))</f>
        <v>Bob</v>
      </c>
      <c r="I623" t="str">
        <f>PROPER(TRIM(sales_data!D623))</f>
        <v>South</v>
      </c>
      <c r="J623" t="str">
        <f>PROPER(TRIM(sales_data!G623))</f>
        <v>Clothing</v>
      </c>
      <c r="K623" t="str">
        <f>PROPER(TRIM(sales_data!J623))</f>
        <v>Returning</v>
      </c>
      <c r="L623" t="str">
        <f>PROPER(TRIM(sales_data!L623))</f>
        <v>Bank Transfer</v>
      </c>
      <c r="M623" t="str">
        <f>PROPER(TRIM(sales_data!M623))</f>
        <v>Retail</v>
      </c>
      <c r="N623">
        <f t="shared" si="37"/>
        <v>174.80999999999995</v>
      </c>
      <c r="O623">
        <f t="shared" si="38"/>
        <v>1922.9099999999994</v>
      </c>
      <c r="P623" t="str">
        <f t="shared" si="39"/>
        <v>Mar</v>
      </c>
    </row>
    <row r="624" spans="1:16" x14ac:dyDescent="0.25">
      <c r="A624">
        <v>1019</v>
      </c>
      <c r="B624" s="1">
        <v>45074</v>
      </c>
      <c r="C624">
        <f t="shared" si="36"/>
        <v>107152.8276</v>
      </c>
      <c r="D624">
        <v>28</v>
      </c>
      <c r="E624">
        <v>3907.86</v>
      </c>
      <c r="F624">
        <v>4205.37</v>
      </c>
      <c r="G624">
        <v>0.09</v>
      </c>
      <c r="H624" t="str">
        <f>PROPER(TRIM(sales_data!C624))</f>
        <v>Alice</v>
      </c>
      <c r="I624" t="str">
        <f>PROPER(TRIM(sales_data!D624))</f>
        <v>East</v>
      </c>
      <c r="J624" t="str">
        <f>PROPER(TRIM(sales_data!G624))</f>
        <v>Furniture</v>
      </c>
      <c r="K624" t="str">
        <f>PROPER(TRIM(sales_data!J624))</f>
        <v>New</v>
      </c>
      <c r="L624" t="str">
        <f>PROPER(TRIM(sales_data!L624))</f>
        <v>Credit Card</v>
      </c>
      <c r="M624" t="str">
        <f>PROPER(TRIM(sales_data!M624))</f>
        <v>Online</v>
      </c>
      <c r="N624">
        <f t="shared" si="37"/>
        <v>297.50999999999976</v>
      </c>
      <c r="O624">
        <f t="shared" si="38"/>
        <v>8330.2799999999934</v>
      </c>
      <c r="P624" t="str">
        <f t="shared" si="39"/>
        <v>May</v>
      </c>
    </row>
    <row r="625" spans="1:16" x14ac:dyDescent="0.25">
      <c r="A625">
        <v>1076</v>
      </c>
      <c r="B625" s="1">
        <v>45275</v>
      </c>
      <c r="C625">
        <f t="shared" si="36"/>
        <v>78530.233600000007</v>
      </c>
      <c r="D625">
        <v>32</v>
      </c>
      <c r="E625">
        <v>2636.36</v>
      </c>
      <c r="F625">
        <v>2696.78</v>
      </c>
      <c r="G625">
        <v>0.09</v>
      </c>
      <c r="H625" t="str">
        <f>PROPER(TRIM(sales_data!C625))</f>
        <v>Bob</v>
      </c>
      <c r="I625" t="str">
        <f>PROPER(TRIM(sales_data!D625))</f>
        <v>West</v>
      </c>
      <c r="J625" t="str">
        <f>PROPER(TRIM(sales_data!G625))</f>
        <v>Food</v>
      </c>
      <c r="K625" t="str">
        <f>PROPER(TRIM(sales_data!J625))</f>
        <v>New</v>
      </c>
      <c r="L625" t="str">
        <f>PROPER(TRIM(sales_data!L625))</f>
        <v>Cash</v>
      </c>
      <c r="M625" t="str">
        <f>PROPER(TRIM(sales_data!M625))</f>
        <v>Retail</v>
      </c>
      <c r="N625">
        <f t="shared" si="37"/>
        <v>60.420000000000073</v>
      </c>
      <c r="O625">
        <f t="shared" si="38"/>
        <v>1933.4400000000023</v>
      </c>
      <c r="P625" t="str">
        <f t="shared" si="39"/>
        <v>Dec</v>
      </c>
    </row>
    <row r="626" spans="1:16" x14ac:dyDescent="0.25">
      <c r="A626">
        <v>1009</v>
      </c>
      <c r="B626" s="1">
        <v>44989</v>
      </c>
      <c r="C626">
        <f t="shared" si="36"/>
        <v>2908.5723000000003</v>
      </c>
      <c r="D626">
        <v>1</v>
      </c>
      <c r="E626">
        <v>3223.07</v>
      </c>
      <c r="F626">
        <v>3590.83</v>
      </c>
      <c r="G626">
        <v>0.19</v>
      </c>
      <c r="H626" t="str">
        <f>PROPER(TRIM(sales_data!C626))</f>
        <v>David</v>
      </c>
      <c r="I626" t="str">
        <f>PROPER(TRIM(sales_data!D626))</f>
        <v>East</v>
      </c>
      <c r="J626" t="str">
        <f>PROPER(TRIM(sales_data!G626))</f>
        <v>Clothing</v>
      </c>
      <c r="K626" t="str">
        <f>PROPER(TRIM(sales_data!J626))</f>
        <v>New</v>
      </c>
      <c r="L626" t="str">
        <f>PROPER(TRIM(sales_data!L626))</f>
        <v>Bank Transfer</v>
      </c>
      <c r="M626" t="str">
        <f>PROPER(TRIM(sales_data!M626))</f>
        <v>Retail</v>
      </c>
      <c r="N626">
        <f t="shared" si="37"/>
        <v>367.75999999999976</v>
      </c>
      <c r="O626">
        <f t="shared" si="38"/>
        <v>367.75999999999976</v>
      </c>
      <c r="P626" t="str">
        <f t="shared" si="39"/>
        <v>Mar</v>
      </c>
    </row>
    <row r="627" spans="1:16" x14ac:dyDescent="0.25">
      <c r="A627">
        <v>1071</v>
      </c>
      <c r="B627" s="1">
        <v>45236</v>
      </c>
      <c r="C627">
        <f t="shared" si="36"/>
        <v>188837.88310000001</v>
      </c>
      <c r="D627">
        <v>47</v>
      </c>
      <c r="E627">
        <v>3942.34</v>
      </c>
      <c r="F627">
        <v>4142.09</v>
      </c>
      <c r="G627">
        <v>0.03</v>
      </c>
      <c r="H627" t="str">
        <f>PROPER(TRIM(sales_data!C627))</f>
        <v>David</v>
      </c>
      <c r="I627" t="str">
        <f>PROPER(TRIM(sales_data!D627))</f>
        <v>North</v>
      </c>
      <c r="J627" t="str">
        <f>PROPER(TRIM(sales_data!G627))</f>
        <v>Food</v>
      </c>
      <c r="K627" t="str">
        <f>PROPER(TRIM(sales_data!J627))</f>
        <v>Returning</v>
      </c>
      <c r="L627" t="str">
        <f>PROPER(TRIM(sales_data!L627))</f>
        <v>Credit Card</v>
      </c>
      <c r="M627" t="str">
        <f>PROPER(TRIM(sales_data!M627))</f>
        <v>Retail</v>
      </c>
      <c r="N627">
        <f t="shared" si="37"/>
        <v>199.75</v>
      </c>
      <c r="O627">
        <f t="shared" si="38"/>
        <v>9388.25</v>
      </c>
      <c r="P627" t="str">
        <f t="shared" si="39"/>
        <v>Nov</v>
      </c>
    </row>
    <row r="628" spans="1:16" x14ac:dyDescent="0.25">
      <c r="A628">
        <v>1028</v>
      </c>
      <c r="B628" s="1">
        <v>45169</v>
      </c>
      <c r="C628">
        <f t="shared" si="36"/>
        <v>55557.835200000001</v>
      </c>
      <c r="D628">
        <v>28</v>
      </c>
      <c r="E628">
        <v>2055.2800000000002</v>
      </c>
      <c r="F628">
        <v>2449.64</v>
      </c>
      <c r="G628">
        <v>0.19</v>
      </c>
      <c r="H628" t="str">
        <f>PROPER(TRIM(sales_data!C628))</f>
        <v>Eve</v>
      </c>
      <c r="I628" t="str">
        <f>PROPER(TRIM(sales_data!D628))</f>
        <v>North</v>
      </c>
      <c r="J628" t="str">
        <f>PROPER(TRIM(sales_data!G628))</f>
        <v>Furniture</v>
      </c>
      <c r="K628" t="str">
        <f>PROPER(TRIM(sales_data!J628))</f>
        <v>New</v>
      </c>
      <c r="L628" t="str">
        <f>PROPER(TRIM(sales_data!L628))</f>
        <v>Credit Card</v>
      </c>
      <c r="M628" t="str">
        <f>PROPER(TRIM(sales_data!M628))</f>
        <v>Online</v>
      </c>
      <c r="N628">
        <f t="shared" si="37"/>
        <v>394.35999999999967</v>
      </c>
      <c r="O628">
        <f t="shared" si="38"/>
        <v>11042.079999999991</v>
      </c>
      <c r="P628" t="str">
        <f t="shared" si="39"/>
        <v>Aug</v>
      </c>
    </row>
    <row r="629" spans="1:16" x14ac:dyDescent="0.25">
      <c r="A629">
        <v>1078</v>
      </c>
      <c r="B629" s="1">
        <v>45292</v>
      </c>
      <c r="C629">
        <f t="shared" si="36"/>
        <v>12830.2482</v>
      </c>
      <c r="D629">
        <v>42</v>
      </c>
      <c r="E629">
        <v>63.41</v>
      </c>
      <c r="F629">
        <v>314.93</v>
      </c>
      <c r="G629">
        <v>0.03</v>
      </c>
      <c r="H629" t="str">
        <f>PROPER(TRIM(sales_data!C629))</f>
        <v>David</v>
      </c>
      <c r="I629" t="str">
        <f>PROPER(TRIM(sales_data!D629))</f>
        <v>East</v>
      </c>
      <c r="J629" t="str">
        <f>PROPER(TRIM(sales_data!G629))</f>
        <v>Food</v>
      </c>
      <c r="K629" t="str">
        <f>PROPER(TRIM(sales_data!J629))</f>
        <v>Returning</v>
      </c>
      <c r="L629" t="str">
        <f>PROPER(TRIM(sales_data!L629))</f>
        <v>Cash</v>
      </c>
      <c r="M629" t="str">
        <f>PROPER(TRIM(sales_data!M629))</f>
        <v>Retail</v>
      </c>
      <c r="N629">
        <f t="shared" si="37"/>
        <v>251.52</v>
      </c>
      <c r="O629">
        <f t="shared" si="38"/>
        <v>10563.84</v>
      </c>
      <c r="P629" t="str">
        <f t="shared" si="39"/>
        <v>Jan</v>
      </c>
    </row>
    <row r="630" spans="1:16" x14ac:dyDescent="0.25">
      <c r="A630">
        <v>1095</v>
      </c>
      <c r="B630" s="1">
        <v>45256</v>
      </c>
      <c r="C630">
        <f t="shared" si="36"/>
        <v>29576.3573</v>
      </c>
      <c r="D630">
        <v>7</v>
      </c>
      <c r="E630">
        <v>4257.24</v>
      </c>
      <c r="F630">
        <v>4355.87</v>
      </c>
      <c r="G630">
        <v>0.03</v>
      </c>
      <c r="H630" t="str">
        <f>PROPER(TRIM(sales_data!C630))</f>
        <v>Charlie</v>
      </c>
      <c r="I630" t="str">
        <f>PROPER(TRIM(sales_data!D630))</f>
        <v>West</v>
      </c>
      <c r="J630" t="str">
        <f>PROPER(TRIM(sales_data!G630))</f>
        <v>Food</v>
      </c>
      <c r="K630" t="str">
        <f>PROPER(TRIM(sales_data!J630))</f>
        <v>Returning</v>
      </c>
      <c r="L630" t="str">
        <f>PROPER(TRIM(sales_data!L630))</f>
        <v>Bank Transfer</v>
      </c>
      <c r="M630" t="str">
        <f>PROPER(TRIM(sales_data!M630))</f>
        <v>Online</v>
      </c>
      <c r="N630">
        <f t="shared" si="37"/>
        <v>98.630000000000109</v>
      </c>
      <c r="O630">
        <f t="shared" si="38"/>
        <v>690.41000000000076</v>
      </c>
      <c r="P630" t="str">
        <f t="shared" si="39"/>
        <v>Nov</v>
      </c>
    </row>
    <row r="631" spans="1:16" x14ac:dyDescent="0.25">
      <c r="A631">
        <v>1052</v>
      </c>
      <c r="B631" s="1">
        <v>45033</v>
      </c>
      <c r="C631">
        <f t="shared" si="36"/>
        <v>3596.4864000000002</v>
      </c>
      <c r="D631">
        <v>2</v>
      </c>
      <c r="E631">
        <v>1935.41</v>
      </c>
      <c r="F631">
        <v>2305.44</v>
      </c>
      <c r="G631">
        <v>0.22</v>
      </c>
      <c r="H631" t="str">
        <f>PROPER(TRIM(sales_data!C631))</f>
        <v>Alice</v>
      </c>
      <c r="I631" t="str">
        <f>PROPER(TRIM(sales_data!D631))</f>
        <v>South</v>
      </c>
      <c r="J631" t="str">
        <f>PROPER(TRIM(sales_data!G631))</f>
        <v>Food</v>
      </c>
      <c r="K631" t="str">
        <f>PROPER(TRIM(sales_data!J631))</f>
        <v>Returning</v>
      </c>
      <c r="L631" t="str">
        <f>PROPER(TRIM(sales_data!L631))</f>
        <v>Credit Card</v>
      </c>
      <c r="M631" t="str">
        <f>PROPER(TRIM(sales_data!M631))</f>
        <v>Online</v>
      </c>
      <c r="N631">
        <f t="shared" si="37"/>
        <v>370.03</v>
      </c>
      <c r="O631">
        <f t="shared" si="38"/>
        <v>740.06</v>
      </c>
      <c r="P631" t="str">
        <f t="shared" si="39"/>
        <v>Apr</v>
      </c>
    </row>
    <row r="632" spans="1:16" x14ac:dyDescent="0.25">
      <c r="A632">
        <v>1083</v>
      </c>
      <c r="B632" s="1">
        <v>45152</v>
      </c>
      <c r="C632">
        <f t="shared" si="36"/>
        <v>99752.688000000009</v>
      </c>
      <c r="D632">
        <v>42</v>
      </c>
      <c r="E632">
        <v>2505.41</v>
      </c>
      <c r="F632">
        <v>2638.96</v>
      </c>
      <c r="G632">
        <v>0.1</v>
      </c>
      <c r="H632" t="str">
        <f>PROPER(TRIM(sales_data!C632))</f>
        <v>Eve</v>
      </c>
      <c r="I632" t="str">
        <f>PROPER(TRIM(sales_data!D632))</f>
        <v>West</v>
      </c>
      <c r="J632" t="str">
        <f>PROPER(TRIM(sales_data!G632))</f>
        <v>Clothing</v>
      </c>
      <c r="K632" t="str">
        <f>PROPER(TRIM(sales_data!J632))</f>
        <v>New</v>
      </c>
      <c r="L632" t="str">
        <f>PROPER(TRIM(sales_data!L632))</f>
        <v>Bank Transfer</v>
      </c>
      <c r="M632" t="str">
        <f>PROPER(TRIM(sales_data!M632))</f>
        <v>Online</v>
      </c>
      <c r="N632">
        <f t="shared" si="37"/>
        <v>133.55000000000018</v>
      </c>
      <c r="O632">
        <f t="shared" si="38"/>
        <v>5609.1000000000076</v>
      </c>
      <c r="P632" t="str">
        <f t="shared" si="39"/>
        <v>Aug</v>
      </c>
    </row>
    <row r="633" spans="1:16" x14ac:dyDescent="0.25">
      <c r="A633">
        <v>1016</v>
      </c>
      <c r="B633" s="1">
        <v>45239</v>
      </c>
      <c r="C633">
        <f t="shared" si="36"/>
        <v>5775.5375999999997</v>
      </c>
      <c r="D633">
        <v>24</v>
      </c>
      <c r="E633">
        <v>88.44</v>
      </c>
      <c r="F633">
        <v>338.94</v>
      </c>
      <c r="G633">
        <v>0.28999999999999998</v>
      </c>
      <c r="H633" t="str">
        <f>PROPER(TRIM(sales_data!C633))</f>
        <v>Charlie</v>
      </c>
      <c r="I633" t="str">
        <f>PROPER(TRIM(sales_data!D633))</f>
        <v>South</v>
      </c>
      <c r="J633" t="str">
        <f>PROPER(TRIM(sales_data!G633))</f>
        <v>Furniture</v>
      </c>
      <c r="K633" t="str">
        <f>PROPER(TRIM(sales_data!J633))</f>
        <v>New</v>
      </c>
      <c r="L633" t="str">
        <f>PROPER(TRIM(sales_data!L633))</f>
        <v>Cash</v>
      </c>
      <c r="M633" t="str">
        <f>PROPER(TRIM(sales_data!M633))</f>
        <v>Online</v>
      </c>
      <c r="N633">
        <f t="shared" si="37"/>
        <v>250.5</v>
      </c>
      <c r="O633">
        <f t="shared" si="38"/>
        <v>6012</v>
      </c>
      <c r="P633" t="str">
        <f t="shared" si="39"/>
        <v>Nov</v>
      </c>
    </row>
    <row r="634" spans="1:16" x14ac:dyDescent="0.25">
      <c r="A634">
        <v>1069</v>
      </c>
      <c r="B634" s="1">
        <v>45144</v>
      </c>
      <c r="C634">
        <f t="shared" si="36"/>
        <v>10030.165199999999</v>
      </c>
      <c r="D634">
        <v>4</v>
      </c>
      <c r="E634">
        <v>2485.86</v>
      </c>
      <c r="F634">
        <v>2532.87</v>
      </c>
      <c r="G634">
        <v>0.01</v>
      </c>
      <c r="H634" t="str">
        <f>PROPER(TRIM(sales_data!C634))</f>
        <v>Bob</v>
      </c>
      <c r="I634" t="str">
        <f>PROPER(TRIM(sales_data!D634))</f>
        <v>North</v>
      </c>
      <c r="J634" t="str">
        <f>PROPER(TRIM(sales_data!G634))</f>
        <v>Electronics</v>
      </c>
      <c r="K634" t="str">
        <f>PROPER(TRIM(sales_data!J634))</f>
        <v>New</v>
      </c>
      <c r="L634" t="str">
        <f>PROPER(TRIM(sales_data!L634))</f>
        <v>Credit Card</v>
      </c>
      <c r="M634" t="str">
        <f>PROPER(TRIM(sales_data!M634))</f>
        <v>Online</v>
      </c>
      <c r="N634">
        <f t="shared" si="37"/>
        <v>47.009999999999764</v>
      </c>
      <c r="O634">
        <f t="shared" si="38"/>
        <v>188.03999999999905</v>
      </c>
      <c r="P634" t="str">
        <f t="shared" si="39"/>
        <v>Aug</v>
      </c>
    </row>
    <row r="635" spans="1:16" x14ac:dyDescent="0.25">
      <c r="A635">
        <v>1099</v>
      </c>
      <c r="B635" s="1">
        <v>45167</v>
      </c>
      <c r="C635">
        <f t="shared" si="36"/>
        <v>200811.5208</v>
      </c>
      <c r="D635">
        <v>44</v>
      </c>
      <c r="E635">
        <v>4933.1099999999997</v>
      </c>
      <c r="F635">
        <v>5245.86</v>
      </c>
      <c r="G635">
        <v>0.13</v>
      </c>
      <c r="H635" t="str">
        <f>PROPER(TRIM(sales_data!C635))</f>
        <v>Alice</v>
      </c>
      <c r="I635" t="str">
        <f>PROPER(TRIM(sales_data!D635))</f>
        <v>West</v>
      </c>
      <c r="J635" t="str">
        <f>PROPER(TRIM(sales_data!G635))</f>
        <v>Clothing</v>
      </c>
      <c r="K635" t="str">
        <f>PROPER(TRIM(sales_data!J635))</f>
        <v>Returning</v>
      </c>
      <c r="L635" t="str">
        <f>PROPER(TRIM(sales_data!L635))</f>
        <v>Bank Transfer</v>
      </c>
      <c r="M635" t="str">
        <f>PROPER(TRIM(sales_data!M635))</f>
        <v>Retail</v>
      </c>
      <c r="N635">
        <f t="shared" si="37"/>
        <v>312.75</v>
      </c>
      <c r="O635">
        <f t="shared" si="38"/>
        <v>13761</v>
      </c>
      <c r="P635" t="str">
        <f t="shared" si="39"/>
        <v>Aug</v>
      </c>
    </row>
    <row r="636" spans="1:16" x14ac:dyDescent="0.25">
      <c r="A636">
        <v>1012</v>
      </c>
      <c r="B636" s="1">
        <v>45185</v>
      </c>
      <c r="C636">
        <f t="shared" si="36"/>
        <v>32504.806700000001</v>
      </c>
      <c r="D636">
        <v>19</v>
      </c>
      <c r="E636">
        <v>1427.42</v>
      </c>
      <c r="F636">
        <v>1763.69</v>
      </c>
      <c r="G636">
        <v>0.03</v>
      </c>
      <c r="H636" t="str">
        <f>PROPER(TRIM(sales_data!C636))</f>
        <v>David</v>
      </c>
      <c r="I636" t="str">
        <f>PROPER(TRIM(sales_data!D636))</f>
        <v>South</v>
      </c>
      <c r="J636" t="str">
        <f>PROPER(TRIM(sales_data!G636))</f>
        <v>Electronics</v>
      </c>
      <c r="K636" t="str">
        <f>PROPER(TRIM(sales_data!J636))</f>
        <v>New</v>
      </c>
      <c r="L636" t="str">
        <f>PROPER(TRIM(sales_data!L636))</f>
        <v>Cash</v>
      </c>
      <c r="M636" t="str">
        <f>PROPER(TRIM(sales_data!M636))</f>
        <v>Retail</v>
      </c>
      <c r="N636">
        <f t="shared" si="37"/>
        <v>336.27</v>
      </c>
      <c r="O636">
        <f t="shared" si="38"/>
        <v>6389.1299999999992</v>
      </c>
      <c r="P636" t="str">
        <f t="shared" si="39"/>
        <v>Sep</v>
      </c>
    </row>
    <row r="637" spans="1:16" x14ac:dyDescent="0.25">
      <c r="A637">
        <v>1025</v>
      </c>
      <c r="B637" s="1">
        <v>45188</v>
      </c>
      <c r="C637">
        <f t="shared" si="36"/>
        <v>50974.411799999994</v>
      </c>
      <c r="D637">
        <v>26</v>
      </c>
      <c r="E637">
        <v>2007.32</v>
      </c>
      <c r="F637">
        <v>2202.87</v>
      </c>
      <c r="G637">
        <v>0.11</v>
      </c>
      <c r="H637" t="str">
        <f>PROPER(TRIM(sales_data!C637))</f>
        <v>Alice</v>
      </c>
      <c r="I637" t="str">
        <f>PROPER(TRIM(sales_data!D637))</f>
        <v>East</v>
      </c>
      <c r="J637" t="str">
        <f>PROPER(TRIM(sales_data!G637))</f>
        <v>Electronics</v>
      </c>
      <c r="K637" t="str">
        <f>PROPER(TRIM(sales_data!J637))</f>
        <v>Returning</v>
      </c>
      <c r="L637" t="str">
        <f>PROPER(TRIM(sales_data!L637))</f>
        <v>Cash</v>
      </c>
      <c r="M637" t="str">
        <f>PROPER(TRIM(sales_data!M637))</f>
        <v>Online</v>
      </c>
      <c r="N637">
        <f t="shared" si="37"/>
        <v>195.54999999999995</v>
      </c>
      <c r="O637">
        <f t="shared" si="38"/>
        <v>5084.2999999999993</v>
      </c>
      <c r="P637" t="str">
        <f t="shared" si="39"/>
        <v>Sep</v>
      </c>
    </row>
    <row r="638" spans="1:16" x14ac:dyDescent="0.25">
      <c r="A638">
        <v>1052</v>
      </c>
      <c r="B638" s="1">
        <v>44931</v>
      </c>
      <c r="C638">
        <f t="shared" si="36"/>
        <v>30255.302</v>
      </c>
      <c r="D638">
        <v>11</v>
      </c>
      <c r="E638">
        <v>3451.59</v>
      </c>
      <c r="F638">
        <v>3929.26</v>
      </c>
      <c r="G638">
        <v>0.3</v>
      </c>
      <c r="H638" t="str">
        <f>PROPER(TRIM(sales_data!C638))</f>
        <v>Bob</v>
      </c>
      <c r="I638" t="str">
        <f>PROPER(TRIM(sales_data!D638))</f>
        <v>North</v>
      </c>
      <c r="J638" t="str">
        <f>PROPER(TRIM(sales_data!G638))</f>
        <v>Clothing</v>
      </c>
      <c r="K638" t="str">
        <f>PROPER(TRIM(sales_data!J638))</f>
        <v>New</v>
      </c>
      <c r="L638" t="str">
        <f>PROPER(TRIM(sales_data!L638))</f>
        <v>Credit Card</v>
      </c>
      <c r="M638" t="str">
        <f>PROPER(TRIM(sales_data!M638))</f>
        <v>Retail</v>
      </c>
      <c r="N638">
        <f t="shared" si="37"/>
        <v>477.67000000000007</v>
      </c>
      <c r="O638">
        <f t="shared" si="38"/>
        <v>5254.3700000000008</v>
      </c>
      <c r="P638" t="str">
        <f t="shared" si="39"/>
        <v>Jan</v>
      </c>
    </row>
    <row r="639" spans="1:16" x14ac:dyDescent="0.25">
      <c r="A639">
        <v>1085</v>
      </c>
      <c r="B639" s="1">
        <v>45187</v>
      </c>
      <c r="C639">
        <f t="shared" si="36"/>
        <v>132029.84399999998</v>
      </c>
      <c r="D639">
        <v>40</v>
      </c>
      <c r="E639">
        <v>4083.23</v>
      </c>
      <c r="F639">
        <v>4521.57</v>
      </c>
      <c r="G639">
        <v>0.27</v>
      </c>
      <c r="H639" t="str">
        <f>PROPER(TRIM(sales_data!C639))</f>
        <v>Eve</v>
      </c>
      <c r="I639" t="str">
        <f>PROPER(TRIM(sales_data!D639))</f>
        <v>East</v>
      </c>
      <c r="J639" t="str">
        <f>PROPER(TRIM(sales_data!G639))</f>
        <v>Clothing</v>
      </c>
      <c r="K639" t="str">
        <f>PROPER(TRIM(sales_data!J639))</f>
        <v>New</v>
      </c>
      <c r="L639" t="str">
        <f>PROPER(TRIM(sales_data!L639))</f>
        <v>Bank Transfer</v>
      </c>
      <c r="M639" t="str">
        <f>PROPER(TRIM(sales_data!M639))</f>
        <v>Retail</v>
      </c>
      <c r="N639">
        <f t="shared" si="37"/>
        <v>438.33999999999969</v>
      </c>
      <c r="O639">
        <f t="shared" si="38"/>
        <v>17533.599999999988</v>
      </c>
      <c r="P639" t="str">
        <f t="shared" si="39"/>
        <v>Sep</v>
      </c>
    </row>
    <row r="640" spans="1:16" x14ac:dyDescent="0.25">
      <c r="A640">
        <v>1100</v>
      </c>
      <c r="B640" s="1">
        <v>44980</v>
      </c>
      <c r="C640">
        <f t="shared" si="36"/>
        <v>105274.7586</v>
      </c>
      <c r="D640">
        <v>43</v>
      </c>
      <c r="E640">
        <v>2116.09</v>
      </c>
      <c r="F640">
        <v>2472.98</v>
      </c>
      <c r="G640">
        <v>0.01</v>
      </c>
      <c r="H640" t="str">
        <f>PROPER(TRIM(sales_data!C640))</f>
        <v>Eve</v>
      </c>
      <c r="I640" t="str">
        <f>PROPER(TRIM(sales_data!D640))</f>
        <v>North</v>
      </c>
      <c r="J640" t="str">
        <f>PROPER(TRIM(sales_data!G640))</f>
        <v>Furniture</v>
      </c>
      <c r="K640" t="str">
        <f>PROPER(TRIM(sales_data!J640))</f>
        <v>New</v>
      </c>
      <c r="L640" t="str">
        <f>PROPER(TRIM(sales_data!L640))</f>
        <v>Credit Card</v>
      </c>
      <c r="M640" t="str">
        <f>PROPER(TRIM(sales_data!M640))</f>
        <v>Retail</v>
      </c>
      <c r="N640">
        <f t="shared" si="37"/>
        <v>356.88999999999987</v>
      </c>
      <c r="O640">
        <f t="shared" si="38"/>
        <v>15346.269999999995</v>
      </c>
      <c r="P640" t="str">
        <f t="shared" si="39"/>
        <v>Feb</v>
      </c>
    </row>
    <row r="641" spans="1:16" x14ac:dyDescent="0.25">
      <c r="A641">
        <v>1053</v>
      </c>
      <c r="B641" s="1">
        <v>44973</v>
      </c>
      <c r="C641">
        <f t="shared" si="36"/>
        <v>17735.481499999998</v>
      </c>
      <c r="D641">
        <v>11</v>
      </c>
      <c r="E641">
        <v>1582.86</v>
      </c>
      <c r="F641">
        <v>1942.55</v>
      </c>
      <c r="G641">
        <v>0.17</v>
      </c>
      <c r="H641" t="str">
        <f>PROPER(TRIM(sales_data!C641))</f>
        <v>Eve</v>
      </c>
      <c r="I641" t="str">
        <f>PROPER(TRIM(sales_data!D641))</f>
        <v>West</v>
      </c>
      <c r="J641" t="str">
        <f>PROPER(TRIM(sales_data!G641))</f>
        <v>Furniture</v>
      </c>
      <c r="K641" t="str">
        <f>PROPER(TRIM(sales_data!J641))</f>
        <v>New</v>
      </c>
      <c r="L641" t="str">
        <f>PROPER(TRIM(sales_data!L641))</f>
        <v>Credit Card</v>
      </c>
      <c r="M641" t="str">
        <f>PROPER(TRIM(sales_data!M641))</f>
        <v>Retail</v>
      </c>
      <c r="N641">
        <f t="shared" si="37"/>
        <v>359.69000000000005</v>
      </c>
      <c r="O641">
        <f t="shared" si="38"/>
        <v>3956.5900000000006</v>
      </c>
      <c r="P641" t="str">
        <f t="shared" si="39"/>
        <v>Feb</v>
      </c>
    </row>
    <row r="642" spans="1:16" x14ac:dyDescent="0.25">
      <c r="A642">
        <v>1023</v>
      </c>
      <c r="B642" s="1">
        <v>45141</v>
      </c>
      <c r="C642">
        <f t="shared" ref="C642:C705" si="40">(D642*F642)*(1-G642)</f>
        <v>175904.78400000001</v>
      </c>
      <c r="D642">
        <v>45</v>
      </c>
      <c r="E642">
        <v>4692.24</v>
      </c>
      <c r="F642">
        <v>4825.92</v>
      </c>
      <c r="G642">
        <v>0.19</v>
      </c>
      <c r="H642" t="str">
        <f>PROPER(TRIM(sales_data!C642))</f>
        <v>David</v>
      </c>
      <c r="I642" t="str">
        <f>PROPER(TRIM(sales_data!D642))</f>
        <v>West</v>
      </c>
      <c r="J642" t="str">
        <f>PROPER(TRIM(sales_data!G642))</f>
        <v>Food</v>
      </c>
      <c r="K642" t="str">
        <f>PROPER(TRIM(sales_data!J642))</f>
        <v>Returning</v>
      </c>
      <c r="L642" t="str">
        <f>PROPER(TRIM(sales_data!L642))</f>
        <v>Bank Transfer</v>
      </c>
      <c r="M642" t="str">
        <f>PROPER(TRIM(sales_data!M642))</f>
        <v>Retail</v>
      </c>
      <c r="N642">
        <f t="shared" ref="N642:N705" si="41">F642-E642</f>
        <v>133.68000000000029</v>
      </c>
      <c r="O642">
        <f t="shared" ref="O642:O705" si="42">N642*D642</f>
        <v>6015.6000000000131</v>
      </c>
      <c r="P642" t="str">
        <f t="shared" ref="P642:P705" si="43">TEXT(B642,"mmm")</f>
        <v>Aug</v>
      </c>
    </row>
    <row r="643" spans="1:16" x14ac:dyDescent="0.25">
      <c r="A643">
        <v>1016</v>
      </c>
      <c r="B643" s="1">
        <v>45103</v>
      </c>
      <c r="C643">
        <f t="shared" si="40"/>
        <v>10529.0622</v>
      </c>
      <c r="D643">
        <v>3</v>
      </c>
      <c r="E643">
        <v>3401.87</v>
      </c>
      <c r="F643">
        <v>3733.71</v>
      </c>
      <c r="G643">
        <v>0.06</v>
      </c>
      <c r="H643" t="str">
        <f>PROPER(TRIM(sales_data!C643))</f>
        <v>Charlie</v>
      </c>
      <c r="I643" t="str">
        <f>PROPER(TRIM(sales_data!D643))</f>
        <v>North</v>
      </c>
      <c r="J643" t="str">
        <f>PROPER(TRIM(sales_data!G643))</f>
        <v>Electronics</v>
      </c>
      <c r="K643" t="str">
        <f>PROPER(TRIM(sales_data!J643))</f>
        <v>Returning</v>
      </c>
      <c r="L643" t="str">
        <f>PROPER(TRIM(sales_data!L643))</f>
        <v>Bank Transfer</v>
      </c>
      <c r="M643" t="str">
        <f>PROPER(TRIM(sales_data!M643))</f>
        <v>Retail</v>
      </c>
      <c r="N643">
        <f t="shared" si="41"/>
        <v>331.84000000000015</v>
      </c>
      <c r="O643">
        <f t="shared" si="42"/>
        <v>995.52000000000044</v>
      </c>
      <c r="P643" t="str">
        <f t="shared" si="43"/>
        <v>Jun</v>
      </c>
    </row>
    <row r="644" spans="1:16" x14ac:dyDescent="0.25">
      <c r="A644">
        <v>1057</v>
      </c>
      <c r="B644" s="1">
        <v>44935</v>
      </c>
      <c r="C644">
        <f t="shared" si="40"/>
        <v>8597.1455999999998</v>
      </c>
      <c r="D644">
        <v>12</v>
      </c>
      <c r="E644">
        <v>639.16</v>
      </c>
      <c r="F644">
        <v>746.28</v>
      </c>
      <c r="G644">
        <v>0.04</v>
      </c>
      <c r="H644" t="str">
        <f>PROPER(TRIM(sales_data!C644))</f>
        <v>Charlie</v>
      </c>
      <c r="I644" t="str">
        <f>PROPER(TRIM(sales_data!D644))</f>
        <v>North</v>
      </c>
      <c r="J644" t="str">
        <f>PROPER(TRIM(sales_data!G644))</f>
        <v>Furniture</v>
      </c>
      <c r="K644" t="str">
        <f>PROPER(TRIM(sales_data!J644))</f>
        <v>Returning</v>
      </c>
      <c r="L644" t="str">
        <f>PROPER(TRIM(sales_data!L644))</f>
        <v>Bank Transfer</v>
      </c>
      <c r="M644" t="str">
        <f>PROPER(TRIM(sales_data!M644))</f>
        <v>Retail</v>
      </c>
      <c r="N644">
        <f t="shared" si="41"/>
        <v>107.12</v>
      </c>
      <c r="O644">
        <f t="shared" si="42"/>
        <v>1285.44</v>
      </c>
      <c r="P644" t="str">
        <f t="shared" si="43"/>
        <v>Jan</v>
      </c>
    </row>
    <row r="645" spans="1:16" x14ac:dyDescent="0.25">
      <c r="A645">
        <v>1039</v>
      </c>
      <c r="B645" s="1">
        <v>45025</v>
      </c>
      <c r="C645">
        <f t="shared" si="40"/>
        <v>1033.1324999999999</v>
      </c>
      <c r="D645">
        <v>3</v>
      </c>
      <c r="E645">
        <v>391.19</v>
      </c>
      <c r="F645">
        <v>471.75</v>
      </c>
      <c r="G645">
        <v>0.27</v>
      </c>
      <c r="H645" t="str">
        <f>PROPER(TRIM(sales_data!C645))</f>
        <v>Alice</v>
      </c>
      <c r="I645" t="str">
        <f>PROPER(TRIM(sales_data!D645))</f>
        <v>North</v>
      </c>
      <c r="J645" t="str">
        <f>PROPER(TRIM(sales_data!G645))</f>
        <v>Food</v>
      </c>
      <c r="K645" t="str">
        <f>PROPER(TRIM(sales_data!J645))</f>
        <v>Returning</v>
      </c>
      <c r="L645" t="str">
        <f>PROPER(TRIM(sales_data!L645))</f>
        <v>Cash</v>
      </c>
      <c r="M645" t="str">
        <f>PROPER(TRIM(sales_data!M645))</f>
        <v>Online</v>
      </c>
      <c r="N645">
        <f t="shared" si="41"/>
        <v>80.56</v>
      </c>
      <c r="O645">
        <f t="shared" si="42"/>
        <v>241.68</v>
      </c>
      <c r="P645" t="str">
        <f t="shared" si="43"/>
        <v>Apr</v>
      </c>
    </row>
    <row r="646" spans="1:16" x14ac:dyDescent="0.25">
      <c r="A646">
        <v>1053</v>
      </c>
      <c r="B646" s="1">
        <v>44946</v>
      </c>
      <c r="C646">
        <f t="shared" si="40"/>
        <v>87769.504199999996</v>
      </c>
      <c r="D646">
        <v>42</v>
      </c>
      <c r="E646">
        <v>2443.5700000000002</v>
      </c>
      <c r="F646">
        <v>2943.31</v>
      </c>
      <c r="G646">
        <v>0.28999999999999998</v>
      </c>
      <c r="H646" t="str">
        <f>PROPER(TRIM(sales_data!C646))</f>
        <v>David</v>
      </c>
      <c r="I646" t="str">
        <f>PROPER(TRIM(sales_data!D646))</f>
        <v>West</v>
      </c>
      <c r="J646" t="str">
        <f>PROPER(TRIM(sales_data!G646))</f>
        <v>Furniture</v>
      </c>
      <c r="K646" t="str">
        <f>PROPER(TRIM(sales_data!J646))</f>
        <v>New</v>
      </c>
      <c r="L646" t="str">
        <f>PROPER(TRIM(sales_data!L646))</f>
        <v>Cash</v>
      </c>
      <c r="M646" t="str">
        <f>PROPER(TRIM(sales_data!M646))</f>
        <v>Online</v>
      </c>
      <c r="N646">
        <f t="shared" si="41"/>
        <v>499.73999999999978</v>
      </c>
      <c r="O646">
        <f t="shared" si="42"/>
        <v>20989.079999999991</v>
      </c>
      <c r="P646" t="str">
        <f t="shared" si="43"/>
        <v>Jan</v>
      </c>
    </row>
    <row r="647" spans="1:16" x14ac:dyDescent="0.25">
      <c r="A647">
        <v>1042</v>
      </c>
      <c r="B647" s="1">
        <v>45167</v>
      </c>
      <c r="C647">
        <f t="shared" si="40"/>
        <v>27488.348999999998</v>
      </c>
      <c r="D647">
        <v>27</v>
      </c>
      <c r="E647">
        <v>1139.45</v>
      </c>
      <c r="F647">
        <v>1454.41</v>
      </c>
      <c r="G647">
        <v>0.3</v>
      </c>
      <c r="H647" t="str">
        <f>PROPER(TRIM(sales_data!C647))</f>
        <v>Eve</v>
      </c>
      <c r="I647" t="str">
        <f>PROPER(TRIM(sales_data!D647))</f>
        <v>South</v>
      </c>
      <c r="J647" t="str">
        <f>PROPER(TRIM(sales_data!G647))</f>
        <v>Clothing</v>
      </c>
      <c r="K647" t="str">
        <f>PROPER(TRIM(sales_data!J647))</f>
        <v>Returning</v>
      </c>
      <c r="L647" t="str">
        <f>PROPER(TRIM(sales_data!L647))</f>
        <v>Bank Transfer</v>
      </c>
      <c r="M647" t="str">
        <f>PROPER(TRIM(sales_data!M647))</f>
        <v>Online</v>
      </c>
      <c r="N647">
        <f t="shared" si="41"/>
        <v>314.96000000000004</v>
      </c>
      <c r="O647">
        <f t="shared" si="42"/>
        <v>8503.9200000000019</v>
      </c>
      <c r="P647" t="str">
        <f t="shared" si="43"/>
        <v>Aug</v>
      </c>
    </row>
    <row r="648" spans="1:16" x14ac:dyDescent="0.25">
      <c r="A648">
        <v>1058</v>
      </c>
      <c r="B648" s="1">
        <v>44987</v>
      </c>
      <c r="C648">
        <f t="shared" si="40"/>
        <v>56917.616000000002</v>
      </c>
      <c r="D648">
        <v>49</v>
      </c>
      <c r="E648">
        <v>1307.22</v>
      </c>
      <c r="F648">
        <v>1528.4</v>
      </c>
      <c r="G648">
        <v>0.24</v>
      </c>
      <c r="H648" t="str">
        <f>PROPER(TRIM(sales_data!C648))</f>
        <v>Eve</v>
      </c>
      <c r="I648" t="str">
        <f>PROPER(TRIM(sales_data!D648))</f>
        <v>East</v>
      </c>
      <c r="J648" t="str">
        <f>PROPER(TRIM(sales_data!G648))</f>
        <v>Furniture</v>
      </c>
      <c r="K648" t="str">
        <f>PROPER(TRIM(sales_data!J648))</f>
        <v>Returning</v>
      </c>
      <c r="L648" t="str">
        <f>PROPER(TRIM(sales_data!L648))</f>
        <v>Cash</v>
      </c>
      <c r="M648" t="str">
        <f>PROPER(TRIM(sales_data!M648))</f>
        <v>Retail</v>
      </c>
      <c r="N648">
        <f t="shared" si="41"/>
        <v>221.18000000000006</v>
      </c>
      <c r="O648">
        <f t="shared" si="42"/>
        <v>10837.820000000003</v>
      </c>
      <c r="P648" t="str">
        <f t="shared" si="43"/>
        <v>Mar</v>
      </c>
    </row>
    <row r="649" spans="1:16" x14ac:dyDescent="0.25">
      <c r="A649">
        <v>1039</v>
      </c>
      <c r="B649" s="1">
        <v>45104</v>
      </c>
      <c r="C649">
        <f t="shared" si="40"/>
        <v>7273.2479999999996</v>
      </c>
      <c r="D649">
        <v>2</v>
      </c>
      <c r="E649">
        <v>4394.58</v>
      </c>
      <c r="F649">
        <v>4545.78</v>
      </c>
      <c r="G649">
        <v>0.2</v>
      </c>
      <c r="H649" t="str">
        <f>PROPER(TRIM(sales_data!C649))</f>
        <v>Bob</v>
      </c>
      <c r="I649" t="str">
        <f>PROPER(TRIM(sales_data!D649))</f>
        <v>East</v>
      </c>
      <c r="J649" t="str">
        <f>PROPER(TRIM(sales_data!G649))</f>
        <v>Electronics</v>
      </c>
      <c r="K649" t="str">
        <f>PROPER(TRIM(sales_data!J649))</f>
        <v>Returning</v>
      </c>
      <c r="L649" t="str">
        <f>PROPER(TRIM(sales_data!L649))</f>
        <v>Credit Card</v>
      </c>
      <c r="M649" t="str">
        <f>PROPER(TRIM(sales_data!M649))</f>
        <v>Retail</v>
      </c>
      <c r="N649">
        <f t="shared" si="41"/>
        <v>151.19999999999982</v>
      </c>
      <c r="O649">
        <f t="shared" si="42"/>
        <v>302.39999999999964</v>
      </c>
      <c r="P649" t="str">
        <f t="shared" si="43"/>
        <v>Jun</v>
      </c>
    </row>
    <row r="650" spans="1:16" x14ac:dyDescent="0.25">
      <c r="A650">
        <v>1014</v>
      </c>
      <c r="B650" s="1">
        <v>45264</v>
      </c>
      <c r="C650">
        <f t="shared" si="40"/>
        <v>35247.807000000001</v>
      </c>
      <c r="D650">
        <v>49</v>
      </c>
      <c r="E650">
        <v>493.35</v>
      </c>
      <c r="F650">
        <v>799.27</v>
      </c>
      <c r="G650">
        <v>0.1</v>
      </c>
      <c r="H650" t="str">
        <f>PROPER(TRIM(sales_data!C650))</f>
        <v>Bob</v>
      </c>
      <c r="I650" t="str">
        <f>PROPER(TRIM(sales_data!D650))</f>
        <v>West</v>
      </c>
      <c r="J650" t="str">
        <f>PROPER(TRIM(sales_data!G650))</f>
        <v>Furniture</v>
      </c>
      <c r="K650" t="str">
        <f>PROPER(TRIM(sales_data!J650))</f>
        <v>New</v>
      </c>
      <c r="L650" t="str">
        <f>PROPER(TRIM(sales_data!L650))</f>
        <v>Bank Transfer</v>
      </c>
      <c r="M650" t="str">
        <f>PROPER(TRIM(sales_data!M650))</f>
        <v>Online</v>
      </c>
      <c r="N650">
        <f t="shared" si="41"/>
        <v>305.91999999999996</v>
      </c>
      <c r="O650">
        <f t="shared" si="42"/>
        <v>14990.079999999998</v>
      </c>
      <c r="P650" t="str">
        <f t="shared" si="43"/>
        <v>Dec</v>
      </c>
    </row>
    <row r="651" spans="1:16" x14ac:dyDescent="0.25">
      <c r="A651">
        <v>1095</v>
      </c>
      <c r="B651" s="1">
        <v>44988</v>
      </c>
      <c r="C651">
        <f t="shared" si="40"/>
        <v>55105.319999999992</v>
      </c>
      <c r="D651">
        <v>16</v>
      </c>
      <c r="E651">
        <v>3591.05</v>
      </c>
      <c r="F651">
        <v>3625.35</v>
      </c>
      <c r="G651">
        <v>0.05</v>
      </c>
      <c r="H651" t="str">
        <f>PROPER(TRIM(sales_data!C651))</f>
        <v>Eve</v>
      </c>
      <c r="I651" t="str">
        <f>PROPER(TRIM(sales_data!D651))</f>
        <v>East</v>
      </c>
      <c r="J651" t="str">
        <f>PROPER(TRIM(sales_data!G651))</f>
        <v>Electronics</v>
      </c>
      <c r="K651" t="str">
        <f>PROPER(TRIM(sales_data!J651))</f>
        <v>Returning</v>
      </c>
      <c r="L651" t="str">
        <f>PROPER(TRIM(sales_data!L651))</f>
        <v>Credit Card</v>
      </c>
      <c r="M651" t="str">
        <f>PROPER(TRIM(sales_data!M651))</f>
        <v>Retail</v>
      </c>
      <c r="N651">
        <f t="shared" si="41"/>
        <v>34.299999999999727</v>
      </c>
      <c r="O651">
        <f t="shared" si="42"/>
        <v>548.79999999999563</v>
      </c>
      <c r="P651" t="str">
        <f t="shared" si="43"/>
        <v>Mar</v>
      </c>
    </row>
    <row r="652" spans="1:16" x14ac:dyDescent="0.25">
      <c r="A652">
        <v>1005</v>
      </c>
      <c r="B652" s="1">
        <v>45071</v>
      </c>
      <c r="C652">
        <f t="shared" si="40"/>
        <v>2839.1383999999998</v>
      </c>
      <c r="D652">
        <v>2</v>
      </c>
      <c r="E652">
        <v>1392.15</v>
      </c>
      <c r="F652">
        <v>1448.54</v>
      </c>
      <c r="G652">
        <v>0.02</v>
      </c>
      <c r="H652" t="str">
        <f>PROPER(TRIM(sales_data!C652))</f>
        <v>Eve</v>
      </c>
      <c r="I652" t="str">
        <f>PROPER(TRIM(sales_data!D652))</f>
        <v>North</v>
      </c>
      <c r="J652" t="str">
        <f>PROPER(TRIM(sales_data!G652))</f>
        <v>Clothing</v>
      </c>
      <c r="K652" t="str">
        <f>PROPER(TRIM(sales_data!J652))</f>
        <v>Returning</v>
      </c>
      <c r="L652" t="str">
        <f>PROPER(TRIM(sales_data!L652))</f>
        <v>Bank Transfer</v>
      </c>
      <c r="M652" t="str">
        <f>PROPER(TRIM(sales_data!M652))</f>
        <v>Retail</v>
      </c>
      <c r="N652">
        <f t="shared" si="41"/>
        <v>56.389999999999873</v>
      </c>
      <c r="O652">
        <f t="shared" si="42"/>
        <v>112.77999999999975</v>
      </c>
      <c r="P652" t="str">
        <f t="shared" si="43"/>
        <v>May</v>
      </c>
    </row>
    <row r="653" spans="1:16" x14ac:dyDescent="0.25">
      <c r="A653">
        <v>1035</v>
      </c>
      <c r="B653" s="1">
        <v>45142</v>
      </c>
      <c r="C653">
        <f t="shared" si="40"/>
        <v>91001.364000000001</v>
      </c>
      <c r="D653">
        <v>30</v>
      </c>
      <c r="E653">
        <v>3813.62</v>
      </c>
      <c r="F653">
        <v>3839.72</v>
      </c>
      <c r="G653">
        <v>0.21</v>
      </c>
      <c r="H653" t="str">
        <f>PROPER(TRIM(sales_data!C653))</f>
        <v>David</v>
      </c>
      <c r="I653" t="str">
        <f>PROPER(TRIM(sales_data!D653))</f>
        <v>South</v>
      </c>
      <c r="J653" t="str">
        <f>PROPER(TRIM(sales_data!G653))</f>
        <v>Electronics</v>
      </c>
      <c r="K653" t="str">
        <f>PROPER(TRIM(sales_data!J653))</f>
        <v>New</v>
      </c>
      <c r="L653" t="str">
        <f>PROPER(TRIM(sales_data!L653))</f>
        <v>Credit Card</v>
      </c>
      <c r="M653" t="str">
        <f>PROPER(TRIM(sales_data!M653))</f>
        <v>Online</v>
      </c>
      <c r="N653">
        <f t="shared" si="41"/>
        <v>26.099999999999909</v>
      </c>
      <c r="O653">
        <f t="shared" si="42"/>
        <v>782.99999999999727</v>
      </c>
      <c r="P653" t="str">
        <f t="shared" si="43"/>
        <v>Aug</v>
      </c>
    </row>
    <row r="654" spans="1:16" x14ac:dyDescent="0.25">
      <c r="A654">
        <v>1087</v>
      </c>
      <c r="B654" s="1">
        <v>44929</v>
      </c>
      <c r="C654">
        <f t="shared" si="40"/>
        <v>58984.056000000004</v>
      </c>
      <c r="D654">
        <v>20</v>
      </c>
      <c r="E654">
        <v>3625.94</v>
      </c>
      <c r="F654">
        <v>3880.53</v>
      </c>
      <c r="G654">
        <v>0.24</v>
      </c>
      <c r="H654" t="str">
        <f>PROPER(TRIM(sales_data!C654))</f>
        <v>Charlie</v>
      </c>
      <c r="I654" t="str">
        <f>PROPER(TRIM(sales_data!D654))</f>
        <v>East</v>
      </c>
      <c r="J654" t="str">
        <f>PROPER(TRIM(sales_data!G654))</f>
        <v>Furniture</v>
      </c>
      <c r="K654" t="str">
        <f>PROPER(TRIM(sales_data!J654))</f>
        <v>New</v>
      </c>
      <c r="L654" t="str">
        <f>PROPER(TRIM(sales_data!L654))</f>
        <v>Bank Transfer</v>
      </c>
      <c r="M654" t="str">
        <f>PROPER(TRIM(sales_data!M654))</f>
        <v>Online</v>
      </c>
      <c r="N654">
        <f t="shared" si="41"/>
        <v>254.59000000000015</v>
      </c>
      <c r="O654">
        <f t="shared" si="42"/>
        <v>5091.8000000000029</v>
      </c>
      <c r="P654" t="str">
        <f t="shared" si="43"/>
        <v>Jan</v>
      </c>
    </row>
    <row r="655" spans="1:16" x14ac:dyDescent="0.25">
      <c r="A655">
        <v>1093</v>
      </c>
      <c r="B655" s="1">
        <v>45086</v>
      </c>
      <c r="C655">
        <f t="shared" si="40"/>
        <v>11140.365</v>
      </c>
      <c r="D655">
        <v>38</v>
      </c>
      <c r="E655">
        <v>86.59</v>
      </c>
      <c r="F655">
        <v>390.89</v>
      </c>
      <c r="G655">
        <v>0.25</v>
      </c>
      <c r="H655" t="str">
        <f>PROPER(TRIM(sales_data!C655))</f>
        <v>Bob</v>
      </c>
      <c r="I655" t="str">
        <f>PROPER(TRIM(sales_data!D655))</f>
        <v>South</v>
      </c>
      <c r="J655" t="str">
        <f>PROPER(TRIM(sales_data!G655))</f>
        <v>Food</v>
      </c>
      <c r="K655" t="str">
        <f>PROPER(TRIM(sales_data!J655))</f>
        <v>Returning</v>
      </c>
      <c r="L655" t="str">
        <f>PROPER(TRIM(sales_data!L655))</f>
        <v>Credit Card</v>
      </c>
      <c r="M655" t="str">
        <f>PROPER(TRIM(sales_data!M655))</f>
        <v>Online</v>
      </c>
      <c r="N655">
        <f t="shared" si="41"/>
        <v>304.29999999999995</v>
      </c>
      <c r="O655">
        <f t="shared" si="42"/>
        <v>11563.399999999998</v>
      </c>
      <c r="P655" t="str">
        <f t="shared" si="43"/>
        <v>Jun</v>
      </c>
    </row>
    <row r="656" spans="1:16" x14ac:dyDescent="0.25">
      <c r="A656">
        <v>1075</v>
      </c>
      <c r="B656" s="1">
        <v>45153</v>
      </c>
      <c r="C656">
        <f t="shared" si="40"/>
        <v>53365.569599999799</v>
      </c>
      <c r="D656">
        <v>28</v>
      </c>
      <c r="E656">
        <v>2570.2199999999998</v>
      </c>
      <c r="F656">
        <v>2610.8399999999901</v>
      </c>
      <c r="G656">
        <v>0.27</v>
      </c>
      <c r="H656" t="str">
        <f>PROPER(TRIM(sales_data!C656))</f>
        <v>Charlie</v>
      </c>
      <c r="I656" t="str">
        <f>PROPER(TRIM(sales_data!D656))</f>
        <v>North</v>
      </c>
      <c r="J656" t="str">
        <f>PROPER(TRIM(sales_data!G656))</f>
        <v>Clothing</v>
      </c>
      <c r="K656" t="str">
        <f>PROPER(TRIM(sales_data!J656))</f>
        <v>Returning</v>
      </c>
      <c r="L656" t="str">
        <f>PROPER(TRIM(sales_data!L656))</f>
        <v>Bank Transfer</v>
      </c>
      <c r="M656" t="str">
        <f>PROPER(TRIM(sales_data!M656))</f>
        <v>Retail</v>
      </c>
      <c r="N656">
        <f t="shared" si="41"/>
        <v>40.619999999990341</v>
      </c>
      <c r="O656">
        <f t="shared" si="42"/>
        <v>1137.3599999997296</v>
      </c>
      <c r="P656" t="str">
        <f t="shared" si="43"/>
        <v>Aug</v>
      </c>
    </row>
    <row r="657" spans="1:16" x14ac:dyDescent="0.25">
      <c r="A657">
        <v>1018</v>
      </c>
      <c r="B657" s="1">
        <v>45195</v>
      </c>
      <c r="C657">
        <f t="shared" si="40"/>
        <v>20406.055</v>
      </c>
      <c r="D657">
        <v>25</v>
      </c>
      <c r="E657">
        <v>739.63</v>
      </c>
      <c r="F657">
        <v>1103.03</v>
      </c>
      <c r="G657">
        <v>0.26</v>
      </c>
      <c r="H657" t="str">
        <f>PROPER(TRIM(sales_data!C657))</f>
        <v>David</v>
      </c>
      <c r="I657" t="str">
        <f>PROPER(TRIM(sales_data!D657))</f>
        <v>East</v>
      </c>
      <c r="J657" t="str">
        <f>PROPER(TRIM(sales_data!G657))</f>
        <v>Furniture</v>
      </c>
      <c r="K657" t="str">
        <f>PROPER(TRIM(sales_data!J657))</f>
        <v>New</v>
      </c>
      <c r="L657" t="str">
        <f>PROPER(TRIM(sales_data!L657))</f>
        <v>Bank Transfer</v>
      </c>
      <c r="M657" t="str">
        <f>PROPER(TRIM(sales_data!M657))</f>
        <v>Retail</v>
      </c>
      <c r="N657">
        <f t="shared" si="41"/>
        <v>363.4</v>
      </c>
      <c r="O657">
        <f t="shared" si="42"/>
        <v>9085</v>
      </c>
      <c r="P657" t="str">
        <f t="shared" si="43"/>
        <v>Sep</v>
      </c>
    </row>
    <row r="658" spans="1:16" x14ac:dyDescent="0.25">
      <c r="A658">
        <v>1076</v>
      </c>
      <c r="B658" s="1">
        <v>45046</v>
      </c>
      <c r="C658">
        <f t="shared" si="40"/>
        <v>99919.903999999995</v>
      </c>
      <c r="D658">
        <v>32</v>
      </c>
      <c r="E658">
        <v>4337.82</v>
      </c>
      <c r="F658">
        <v>4460.71</v>
      </c>
      <c r="G658">
        <v>0.3</v>
      </c>
      <c r="H658" t="str">
        <f>PROPER(TRIM(sales_data!C658))</f>
        <v>Eve</v>
      </c>
      <c r="I658" t="str">
        <f>PROPER(TRIM(sales_data!D658))</f>
        <v>West</v>
      </c>
      <c r="J658" t="str">
        <f>PROPER(TRIM(sales_data!G658))</f>
        <v>Clothing</v>
      </c>
      <c r="K658" t="str">
        <f>PROPER(TRIM(sales_data!J658))</f>
        <v>Returning</v>
      </c>
      <c r="L658" t="str">
        <f>PROPER(TRIM(sales_data!L658))</f>
        <v>Cash</v>
      </c>
      <c r="M658" t="str">
        <f>PROPER(TRIM(sales_data!M658))</f>
        <v>Retail</v>
      </c>
      <c r="N658">
        <f t="shared" si="41"/>
        <v>122.89000000000033</v>
      </c>
      <c r="O658">
        <f t="shared" si="42"/>
        <v>3932.4800000000105</v>
      </c>
      <c r="P658" t="str">
        <f t="shared" si="43"/>
        <v>Apr</v>
      </c>
    </row>
    <row r="659" spans="1:16" x14ac:dyDescent="0.25">
      <c r="A659">
        <v>1009</v>
      </c>
      <c r="B659" s="1">
        <v>45015</v>
      </c>
      <c r="C659">
        <f t="shared" si="40"/>
        <v>43803.93</v>
      </c>
      <c r="D659">
        <v>10</v>
      </c>
      <c r="E659">
        <v>4364.3500000000004</v>
      </c>
      <c r="F659">
        <v>4710.1000000000004</v>
      </c>
      <c r="G659">
        <v>7.0000000000000007E-2</v>
      </c>
      <c r="H659" t="str">
        <f>PROPER(TRIM(sales_data!C659))</f>
        <v>Charlie</v>
      </c>
      <c r="I659" t="str">
        <f>PROPER(TRIM(sales_data!D659))</f>
        <v>South</v>
      </c>
      <c r="J659" t="str">
        <f>PROPER(TRIM(sales_data!G659))</f>
        <v>Clothing</v>
      </c>
      <c r="K659" t="str">
        <f>PROPER(TRIM(sales_data!J659))</f>
        <v>New</v>
      </c>
      <c r="L659" t="str">
        <f>PROPER(TRIM(sales_data!L659))</f>
        <v>Credit Card</v>
      </c>
      <c r="M659" t="str">
        <f>PROPER(TRIM(sales_data!M659))</f>
        <v>Online</v>
      </c>
      <c r="N659">
        <f t="shared" si="41"/>
        <v>345.75</v>
      </c>
      <c r="O659">
        <f t="shared" si="42"/>
        <v>3457.5</v>
      </c>
      <c r="P659" t="str">
        <f t="shared" si="43"/>
        <v>Mar</v>
      </c>
    </row>
    <row r="660" spans="1:16" x14ac:dyDescent="0.25">
      <c r="A660">
        <v>1074</v>
      </c>
      <c r="B660" s="1">
        <v>45255</v>
      </c>
      <c r="C660">
        <f t="shared" si="40"/>
        <v>84470.139599999995</v>
      </c>
      <c r="D660">
        <v>42</v>
      </c>
      <c r="E660">
        <v>2120.81</v>
      </c>
      <c r="F660">
        <v>2611.94</v>
      </c>
      <c r="G660">
        <v>0.23</v>
      </c>
      <c r="H660" t="str">
        <f>PROPER(TRIM(sales_data!C660))</f>
        <v>Eve</v>
      </c>
      <c r="I660" t="str">
        <f>PROPER(TRIM(sales_data!D660))</f>
        <v>North</v>
      </c>
      <c r="J660" t="str">
        <f>PROPER(TRIM(sales_data!G660))</f>
        <v>Furniture</v>
      </c>
      <c r="K660" t="str">
        <f>PROPER(TRIM(sales_data!J660))</f>
        <v>Returning</v>
      </c>
      <c r="L660" t="str">
        <f>PROPER(TRIM(sales_data!L660))</f>
        <v>Cash</v>
      </c>
      <c r="M660" t="str">
        <f>PROPER(TRIM(sales_data!M660))</f>
        <v>Online</v>
      </c>
      <c r="N660">
        <f t="shared" si="41"/>
        <v>491.13000000000011</v>
      </c>
      <c r="O660">
        <f t="shared" si="42"/>
        <v>20627.460000000006</v>
      </c>
      <c r="P660" t="str">
        <f t="shared" si="43"/>
        <v>Nov</v>
      </c>
    </row>
    <row r="661" spans="1:16" x14ac:dyDescent="0.25">
      <c r="A661">
        <v>1058</v>
      </c>
      <c r="B661" s="1">
        <v>44994</v>
      </c>
      <c r="C661">
        <f t="shared" si="40"/>
        <v>85227.520000000004</v>
      </c>
      <c r="D661">
        <v>40</v>
      </c>
      <c r="E661">
        <v>2249.7600000000002</v>
      </c>
      <c r="F661">
        <v>2598.4</v>
      </c>
      <c r="G661">
        <v>0.18</v>
      </c>
      <c r="H661" t="str">
        <f>PROPER(TRIM(sales_data!C661))</f>
        <v>Eve</v>
      </c>
      <c r="I661" t="str">
        <f>PROPER(TRIM(sales_data!D661))</f>
        <v>South</v>
      </c>
      <c r="J661" t="str">
        <f>PROPER(TRIM(sales_data!G661))</f>
        <v>Furniture</v>
      </c>
      <c r="K661" t="str">
        <f>PROPER(TRIM(sales_data!J661))</f>
        <v>Returning</v>
      </c>
      <c r="L661" t="str">
        <f>PROPER(TRIM(sales_data!L661))</f>
        <v>Credit Card</v>
      </c>
      <c r="M661" t="str">
        <f>PROPER(TRIM(sales_data!M661))</f>
        <v>Retail</v>
      </c>
      <c r="N661">
        <f t="shared" si="41"/>
        <v>348.63999999999987</v>
      </c>
      <c r="O661">
        <f t="shared" si="42"/>
        <v>13945.599999999995</v>
      </c>
      <c r="P661" t="str">
        <f t="shared" si="43"/>
        <v>Mar</v>
      </c>
    </row>
    <row r="662" spans="1:16" x14ac:dyDescent="0.25">
      <c r="A662">
        <v>1017</v>
      </c>
      <c r="B662" s="1">
        <v>45283</v>
      </c>
      <c r="C662">
        <f t="shared" si="40"/>
        <v>60538.143600000003</v>
      </c>
      <c r="D662">
        <v>33</v>
      </c>
      <c r="E662">
        <v>1551.25</v>
      </c>
      <c r="F662">
        <v>1994.01</v>
      </c>
      <c r="G662">
        <v>0.08</v>
      </c>
      <c r="H662" t="str">
        <f>PROPER(TRIM(sales_data!C662))</f>
        <v>Alice</v>
      </c>
      <c r="I662" t="str">
        <f>PROPER(TRIM(sales_data!D662))</f>
        <v>East</v>
      </c>
      <c r="J662" t="str">
        <f>PROPER(TRIM(sales_data!G662))</f>
        <v>Food</v>
      </c>
      <c r="K662" t="str">
        <f>PROPER(TRIM(sales_data!J662))</f>
        <v>Returning</v>
      </c>
      <c r="L662" t="str">
        <f>PROPER(TRIM(sales_data!L662))</f>
        <v>Cash</v>
      </c>
      <c r="M662" t="str">
        <f>PROPER(TRIM(sales_data!M662))</f>
        <v>Online</v>
      </c>
      <c r="N662">
        <f t="shared" si="41"/>
        <v>442.76</v>
      </c>
      <c r="O662">
        <f t="shared" si="42"/>
        <v>14611.08</v>
      </c>
      <c r="P662" t="str">
        <f t="shared" si="43"/>
        <v>Dec</v>
      </c>
    </row>
    <row r="663" spans="1:16" x14ac:dyDescent="0.25">
      <c r="A663">
        <v>1007</v>
      </c>
      <c r="B663" s="1">
        <v>45024</v>
      </c>
      <c r="C663">
        <f t="shared" si="40"/>
        <v>37582.898599999906</v>
      </c>
      <c r="D663">
        <v>13</v>
      </c>
      <c r="E663">
        <v>3597.2</v>
      </c>
      <c r="F663">
        <v>4071.8199999999902</v>
      </c>
      <c r="G663">
        <v>0.28999999999999998</v>
      </c>
      <c r="H663" t="str">
        <f>PROPER(TRIM(sales_data!C663))</f>
        <v>Charlie</v>
      </c>
      <c r="I663" t="str">
        <f>PROPER(TRIM(sales_data!D663))</f>
        <v>East</v>
      </c>
      <c r="J663" t="str">
        <f>PROPER(TRIM(sales_data!G663))</f>
        <v>Clothing</v>
      </c>
      <c r="K663" t="str">
        <f>PROPER(TRIM(sales_data!J663))</f>
        <v>Returning</v>
      </c>
      <c r="L663" t="str">
        <f>PROPER(TRIM(sales_data!L663))</f>
        <v>Bank Transfer</v>
      </c>
      <c r="M663" t="str">
        <f>PROPER(TRIM(sales_data!M663))</f>
        <v>Online</v>
      </c>
      <c r="N663">
        <f t="shared" si="41"/>
        <v>474.61999999999034</v>
      </c>
      <c r="O663">
        <f t="shared" si="42"/>
        <v>6170.059999999874</v>
      </c>
      <c r="P663" t="str">
        <f t="shared" si="43"/>
        <v>Apr</v>
      </c>
    </row>
    <row r="664" spans="1:16" x14ac:dyDescent="0.25">
      <c r="A664">
        <v>1046</v>
      </c>
      <c r="B664" s="1">
        <v>45193</v>
      </c>
      <c r="C664">
        <f t="shared" si="40"/>
        <v>62071.2284</v>
      </c>
      <c r="D664">
        <v>41</v>
      </c>
      <c r="E664">
        <v>1825.37</v>
      </c>
      <c r="F664">
        <v>2073.88</v>
      </c>
      <c r="G664">
        <v>0.27</v>
      </c>
      <c r="H664" t="str">
        <f>PROPER(TRIM(sales_data!C664))</f>
        <v>Charlie</v>
      </c>
      <c r="I664" t="str">
        <f>PROPER(TRIM(sales_data!D664))</f>
        <v>West</v>
      </c>
      <c r="J664" t="str">
        <f>PROPER(TRIM(sales_data!G664))</f>
        <v>Clothing</v>
      </c>
      <c r="K664" t="str">
        <f>PROPER(TRIM(sales_data!J664))</f>
        <v>Returning</v>
      </c>
      <c r="L664" t="str">
        <f>PROPER(TRIM(sales_data!L664))</f>
        <v>Cash</v>
      </c>
      <c r="M664" t="str">
        <f>PROPER(TRIM(sales_data!M664))</f>
        <v>Retail</v>
      </c>
      <c r="N664">
        <f t="shared" si="41"/>
        <v>248.51000000000022</v>
      </c>
      <c r="O664">
        <f t="shared" si="42"/>
        <v>10188.910000000009</v>
      </c>
      <c r="P664" t="str">
        <f t="shared" si="43"/>
        <v>Sep</v>
      </c>
    </row>
    <row r="665" spans="1:16" x14ac:dyDescent="0.25">
      <c r="A665">
        <v>1013</v>
      </c>
      <c r="B665" s="1">
        <v>45031</v>
      </c>
      <c r="C665">
        <f t="shared" si="40"/>
        <v>69741.907200000001</v>
      </c>
      <c r="D665">
        <v>42</v>
      </c>
      <c r="E665">
        <v>1375.57</v>
      </c>
      <c r="F665">
        <v>1729.71</v>
      </c>
      <c r="G665">
        <v>0.04</v>
      </c>
      <c r="H665" t="str">
        <f>PROPER(TRIM(sales_data!C665))</f>
        <v>Eve</v>
      </c>
      <c r="I665" t="str">
        <f>PROPER(TRIM(sales_data!D665))</f>
        <v>North</v>
      </c>
      <c r="J665" t="str">
        <f>PROPER(TRIM(sales_data!G665))</f>
        <v>Furniture</v>
      </c>
      <c r="K665" t="str">
        <f>PROPER(TRIM(sales_data!J665))</f>
        <v>New</v>
      </c>
      <c r="L665" t="str">
        <f>PROPER(TRIM(sales_data!L665))</f>
        <v>Cash</v>
      </c>
      <c r="M665" t="str">
        <f>PROPER(TRIM(sales_data!M665))</f>
        <v>Online</v>
      </c>
      <c r="N665">
        <f t="shared" si="41"/>
        <v>354.1400000000001</v>
      </c>
      <c r="O665">
        <f t="shared" si="42"/>
        <v>14873.880000000005</v>
      </c>
      <c r="P665" t="str">
        <f t="shared" si="43"/>
        <v>Apr</v>
      </c>
    </row>
    <row r="666" spans="1:16" x14ac:dyDescent="0.25">
      <c r="A666">
        <v>1040</v>
      </c>
      <c r="B666" s="1">
        <v>45249</v>
      </c>
      <c r="C666">
        <f t="shared" si="40"/>
        <v>121769.01</v>
      </c>
      <c r="D666">
        <v>47</v>
      </c>
      <c r="E666">
        <v>2189.54</v>
      </c>
      <c r="F666">
        <v>2617</v>
      </c>
      <c r="G666">
        <v>0.01</v>
      </c>
      <c r="H666" t="str">
        <f>PROPER(TRIM(sales_data!C666))</f>
        <v>David</v>
      </c>
      <c r="I666" t="str">
        <f>PROPER(TRIM(sales_data!D666))</f>
        <v>North</v>
      </c>
      <c r="J666" t="str">
        <f>PROPER(TRIM(sales_data!G666))</f>
        <v>Electronics</v>
      </c>
      <c r="K666" t="str">
        <f>PROPER(TRIM(sales_data!J666))</f>
        <v>New</v>
      </c>
      <c r="L666" t="str">
        <f>PROPER(TRIM(sales_data!L666))</f>
        <v>Bank Transfer</v>
      </c>
      <c r="M666" t="str">
        <f>PROPER(TRIM(sales_data!M666))</f>
        <v>Online</v>
      </c>
      <c r="N666">
        <f t="shared" si="41"/>
        <v>427.46000000000004</v>
      </c>
      <c r="O666">
        <f t="shared" si="42"/>
        <v>20090.620000000003</v>
      </c>
      <c r="P666" t="str">
        <f t="shared" si="43"/>
        <v>Nov</v>
      </c>
    </row>
    <row r="667" spans="1:16" x14ac:dyDescent="0.25">
      <c r="A667">
        <v>1042</v>
      </c>
      <c r="B667" s="1">
        <v>45049</v>
      </c>
      <c r="C667">
        <f t="shared" si="40"/>
        <v>20098.548000000003</v>
      </c>
      <c r="D667">
        <v>37</v>
      </c>
      <c r="E667">
        <v>502.86</v>
      </c>
      <c r="F667">
        <v>687.6</v>
      </c>
      <c r="G667">
        <v>0.21</v>
      </c>
      <c r="H667" t="str">
        <f>PROPER(TRIM(sales_data!C667))</f>
        <v>Alice</v>
      </c>
      <c r="I667" t="str">
        <f>PROPER(TRIM(sales_data!D667))</f>
        <v>West</v>
      </c>
      <c r="J667" t="str">
        <f>PROPER(TRIM(sales_data!G667))</f>
        <v>Furniture</v>
      </c>
      <c r="K667" t="str">
        <f>PROPER(TRIM(sales_data!J667))</f>
        <v>Returning</v>
      </c>
      <c r="L667" t="str">
        <f>PROPER(TRIM(sales_data!L667))</f>
        <v>Cash</v>
      </c>
      <c r="M667" t="str">
        <f>PROPER(TRIM(sales_data!M667))</f>
        <v>Online</v>
      </c>
      <c r="N667">
        <f t="shared" si="41"/>
        <v>184.74</v>
      </c>
      <c r="O667">
        <f t="shared" si="42"/>
        <v>6835.38</v>
      </c>
      <c r="P667" t="str">
        <f t="shared" si="43"/>
        <v>May</v>
      </c>
    </row>
    <row r="668" spans="1:16" x14ac:dyDescent="0.25">
      <c r="A668">
        <v>1009</v>
      </c>
      <c r="B668" s="1">
        <v>44955</v>
      </c>
      <c r="C668">
        <f t="shared" si="40"/>
        <v>50955.062400000003</v>
      </c>
      <c r="D668">
        <v>16</v>
      </c>
      <c r="E668">
        <v>3745.69</v>
      </c>
      <c r="F668">
        <v>3883.77</v>
      </c>
      <c r="G668">
        <v>0.18</v>
      </c>
      <c r="H668" t="str">
        <f>PROPER(TRIM(sales_data!C668))</f>
        <v>Eve</v>
      </c>
      <c r="I668" t="str">
        <f>PROPER(TRIM(sales_data!D668))</f>
        <v>West</v>
      </c>
      <c r="J668" t="str">
        <f>PROPER(TRIM(sales_data!G668))</f>
        <v>Clothing</v>
      </c>
      <c r="K668" t="str">
        <f>PROPER(TRIM(sales_data!J668))</f>
        <v>Returning</v>
      </c>
      <c r="L668" t="str">
        <f>PROPER(TRIM(sales_data!L668))</f>
        <v>Bank Transfer</v>
      </c>
      <c r="M668" t="str">
        <f>PROPER(TRIM(sales_data!M668))</f>
        <v>Retail</v>
      </c>
      <c r="N668">
        <f t="shared" si="41"/>
        <v>138.07999999999993</v>
      </c>
      <c r="O668">
        <f t="shared" si="42"/>
        <v>2209.2799999999988</v>
      </c>
      <c r="P668" t="str">
        <f t="shared" si="43"/>
        <v>Jan</v>
      </c>
    </row>
    <row r="669" spans="1:16" x14ac:dyDescent="0.25">
      <c r="A669">
        <v>1050</v>
      </c>
      <c r="B669" s="1">
        <v>45063</v>
      </c>
      <c r="C669">
        <f t="shared" si="40"/>
        <v>18992.232</v>
      </c>
      <c r="D669">
        <v>45</v>
      </c>
      <c r="E669">
        <v>112.35</v>
      </c>
      <c r="F669">
        <v>586.17999999999995</v>
      </c>
      <c r="G669">
        <v>0.28000000000000003</v>
      </c>
      <c r="H669" t="str">
        <f>PROPER(TRIM(sales_data!C669))</f>
        <v>Bob</v>
      </c>
      <c r="I669" t="str">
        <f>PROPER(TRIM(sales_data!D669))</f>
        <v>North</v>
      </c>
      <c r="J669" t="str">
        <f>PROPER(TRIM(sales_data!G669))</f>
        <v>Furniture</v>
      </c>
      <c r="K669" t="str">
        <f>PROPER(TRIM(sales_data!J669))</f>
        <v>Returning</v>
      </c>
      <c r="L669" t="str">
        <f>PROPER(TRIM(sales_data!L669))</f>
        <v>Credit Card</v>
      </c>
      <c r="M669" t="str">
        <f>PROPER(TRIM(sales_data!M669))</f>
        <v>Retail</v>
      </c>
      <c r="N669">
        <f t="shared" si="41"/>
        <v>473.82999999999993</v>
      </c>
      <c r="O669">
        <f t="shared" si="42"/>
        <v>21322.35</v>
      </c>
      <c r="P669" t="str">
        <f t="shared" si="43"/>
        <v>May</v>
      </c>
    </row>
    <row r="670" spans="1:16" x14ac:dyDescent="0.25">
      <c r="A670">
        <v>1027</v>
      </c>
      <c r="B670" s="1">
        <v>45121</v>
      </c>
      <c r="C670">
        <f t="shared" si="40"/>
        <v>73780.601399999781</v>
      </c>
      <c r="D670">
        <v>22</v>
      </c>
      <c r="E670">
        <v>3240.2</v>
      </c>
      <c r="F670">
        <v>3606.0899999999901</v>
      </c>
      <c r="G670">
        <v>7.0000000000000007E-2</v>
      </c>
      <c r="H670" t="str">
        <f>PROPER(TRIM(sales_data!C670))</f>
        <v>Bob</v>
      </c>
      <c r="I670" t="str">
        <f>PROPER(TRIM(sales_data!D670))</f>
        <v>South</v>
      </c>
      <c r="J670" t="str">
        <f>PROPER(TRIM(sales_data!G670))</f>
        <v>Food</v>
      </c>
      <c r="K670" t="str">
        <f>PROPER(TRIM(sales_data!J670))</f>
        <v>New</v>
      </c>
      <c r="L670" t="str">
        <f>PROPER(TRIM(sales_data!L670))</f>
        <v>Cash</v>
      </c>
      <c r="M670" t="str">
        <f>PROPER(TRIM(sales_data!M670))</f>
        <v>Online</v>
      </c>
      <c r="N670">
        <f t="shared" si="41"/>
        <v>365.88999999999032</v>
      </c>
      <c r="O670">
        <f t="shared" si="42"/>
        <v>8049.5799999997871</v>
      </c>
      <c r="P670" t="str">
        <f t="shared" si="43"/>
        <v>Jul</v>
      </c>
    </row>
    <row r="671" spans="1:16" x14ac:dyDescent="0.25">
      <c r="A671">
        <v>1066</v>
      </c>
      <c r="B671" s="1">
        <v>45152</v>
      </c>
      <c r="C671">
        <f t="shared" si="40"/>
        <v>20812.707999999999</v>
      </c>
      <c r="D671">
        <v>20</v>
      </c>
      <c r="E671">
        <v>955.18</v>
      </c>
      <c r="F671">
        <v>1072.82</v>
      </c>
      <c r="G671">
        <v>0.03</v>
      </c>
      <c r="H671" t="str">
        <f>PROPER(TRIM(sales_data!C671))</f>
        <v>Alice</v>
      </c>
      <c r="I671" t="str">
        <f>PROPER(TRIM(sales_data!D671))</f>
        <v>South</v>
      </c>
      <c r="J671" t="str">
        <f>PROPER(TRIM(sales_data!G671))</f>
        <v>Electronics</v>
      </c>
      <c r="K671" t="str">
        <f>PROPER(TRIM(sales_data!J671))</f>
        <v>New</v>
      </c>
      <c r="L671" t="str">
        <f>PROPER(TRIM(sales_data!L671))</f>
        <v>Bank Transfer</v>
      </c>
      <c r="M671" t="str">
        <f>PROPER(TRIM(sales_data!M671))</f>
        <v>Retail</v>
      </c>
      <c r="N671">
        <f t="shared" si="41"/>
        <v>117.63999999999999</v>
      </c>
      <c r="O671">
        <f t="shared" si="42"/>
        <v>2352.7999999999997</v>
      </c>
      <c r="P671" t="str">
        <f t="shared" si="43"/>
        <v>Aug</v>
      </c>
    </row>
    <row r="672" spans="1:16" x14ac:dyDescent="0.25">
      <c r="A672">
        <v>1005</v>
      </c>
      <c r="B672" s="1">
        <v>45258</v>
      </c>
      <c r="C672">
        <f t="shared" si="40"/>
        <v>56588.601999999999</v>
      </c>
      <c r="D672">
        <v>43</v>
      </c>
      <c r="E672">
        <v>1200.4000000000001</v>
      </c>
      <c r="F672">
        <v>1430.45</v>
      </c>
      <c r="G672">
        <v>0.08</v>
      </c>
      <c r="H672" t="str">
        <f>PROPER(TRIM(sales_data!C672))</f>
        <v>David</v>
      </c>
      <c r="I672" t="str">
        <f>PROPER(TRIM(sales_data!D672))</f>
        <v>West</v>
      </c>
      <c r="J672" t="str">
        <f>PROPER(TRIM(sales_data!G672))</f>
        <v>Furniture</v>
      </c>
      <c r="K672" t="str">
        <f>PROPER(TRIM(sales_data!J672))</f>
        <v>New</v>
      </c>
      <c r="L672" t="str">
        <f>PROPER(TRIM(sales_data!L672))</f>
        <v>Bank Transfer</v>
      </c>
      <c r="M672" t="str">
        <f>PROPER(TRIM(sales_data!M672))</f>
        <v>Retail</v>
      </c>
      <c r="N672">
        <f t="shared" si="41"/>
        <v>230.04999999999995</v>
      </c>
      <c r="O672">
        <f t="shared" si="42"/>
        <v>9892.1499999999978</v>
      </c>
      <c r="P672" t="str">
        <f t="shared" si="43"/>
        <v>Nov</v>
      </c>
    </row>
    <row r="673" spans="1:16" x14ac:dyDescent="0.25">
      <c r="A673">
        <v>1029</v>
      </c>
      <c r="B673" s="1">
        <v>45096</v>
      </c>
      <c r="C673">
        <f t="shared" si="40"/>
        <v>96138.1872</v>
      </c>
      <c r="D673">
        <v>27</v>
      </c>
      <c r="E673">
        <v>3196.38</v>
      </c>
      <c r="F673">
        <v>3596.64</v>
      </c>
      <c r="G673">
        <v>0.01</v>
      </c>
      <c r="H673" t="str">
        <f>PROPER(TRIM(sales_data!C673))</f>
        <v>Eve</v>
      </c>
      <c r="I673" t="str">
        <f>PROPER(TRIM(sales_data!D673))</f>
        <v>South</v>
      </c>
      <c r="J673" t="str">
        <f>PROPER(TRIM(sales_data!G673))</f>
        <v>Food</v>
      </c>
      <c r="K673" t="str">
        <f>PROPER(TRIM(sales_data!J673))</f>
        <v>New</v>
      </c>
      <c r="L673" t="str">
        <f>PROPER(TRIM(sales_data!L673))</f>
        <v>Cash</v>
      </c>
      <c r="M673" t="str">
        <f>PROPER(TRIM(sales_data!M673))</f>
        <v>Retail</v>
      </c>
      <c r="N673">
        <f t="shared" si="41"/>
        <v>400.25999999999976</v>
      </c>
      <c r="O673">
        <f t="shared" si="42"/>
        <v>10807.019999999993</v>
      </c>
      <c r="P673" t="str">
        <f t="shared" si="43"/>
        <v>Jun</v>
      </c>
    </row>
    <row r="674" spans="1:16" x14ac:dyDescent="0.25">
      <c r="A674">
        <v>1037</v>
      </c>
      <c r="B674" s="1">
        <v>44935</v>
      </c>
      <c r="C674">
        <f t="shared" si="40"/>
        <v>212818.64670000001</v>
      </c>
      <c r="D674">
        <v>41</v>
      </c>
      <c r="E674">
        <v>4965.07</v>
      </c>
      <c r="F674">
        <v>5243.13</v>
      </c>
      <c r="G674">
        <v>0.01</v>
      </c>
      <c r="H674" t="str">
        <f>PROPER(TRIM(sales_data!C674))</f>
        <v>Charlie</v>
      </c>
      <c r="I674" t="str">
        <f>PROPER(TRIM(sales_data!D674))</f>
        <v>North</v>
      </c>
      <c r="J674" t="str">
        <f>PROPER(TRIM(sales_data!G674))</f>
        <v>Clothing</v>
      </c>
      <c r="K674" t="str">
        <f>PROPER(TRIM(sales_data!J674))</f>
        <v>New</v>
      </c>
      <c r="L674" t="str">
        <f>PROPER(TRIM(sales_data!L674))</f>
        <v>Credit Card</v>
      </c>
      <c r="M674" t="str">
        <f>PROPER(TRIM(sales_data!M674))</f>
        <v>Online</v>
      </c>
      <c r="N674">
        <f t="shared" si="41"/>
        <v>278.0600000000004</v>
      </c>
      <c r="O674">
        <f t="shared" si="42"/>
        <v>11400.460000000017</v>
      </c>
      <c r="P674" t="str">
        <f t="shared" si="43"/>
        <v>Jan</v>
      </c>
    </row>
    <row r="675" spans="1:16" x14ac:dyDescent="0.25">
      <c r="A675">
        <v>1038</v>
      </c>
      <c r="B675" s="1">
        <v>44966</v>
      </c>
      <c r="C675">
        <f t="shared" si="40"/>
        <v>49385.142400000004</v>
      </c>
      <c r="D675">
        <v>16</v>
      </c>
      <c r="E675">
        <v>3899.7</v>
      </c>
      <c r="F675">
        <v>4228.18</v>
      </c>
      <c r="G675">
        <v>0.27</v>
      </c>
      <c r="H675" t="str">
        <f>PROPER(TRIM(sales_data!C675))</f>
        <v>Alice</v>
      </c>
      <c r="I675" t="str">
        <f>PROPER(TRIM(sales_data!D675))</f>
        <v>East</v>
      </c>
      <c r="J675" t="str">
        <f>PROPER(TRIM(sales_data!G675))</f>
        <v>Furniture</v>
      </c>
      <c r="K675" t="str">
        <f>PROPER(TRIM(sales_data!J675))</f>
        <v>New</v>
      </c>
      <c r="L675" t="str">
        <f>PROPER(TRIM(sales_data!L675))</f>
        <v>Cash</v>
      </c>
      <c r="M675" t="str">
        <f>PROPER(TRIM(sales_data!M675))</f>
        <v>Retail</v>
      </c>
      <c r="N675">
        <f t="shared" si="41"/>
        <v>328.48000000000047</v>
      </c>
      <c r="O675">
        <f t="shared" si="42"/>
        <v>5255.6800000000076</v>
      </c>
      <c r="P675" t="str">
        <f t="shared" si="43"/>
        <v>Feb</v>
      </c>
    </row>
    <row r="676" spans="1:16" x14ac:dyDescent="0.25">
      <c r="A676">
        <v>1083</v>
      </c>
      <c r="B676" s="1">
        <v>44951</v>
      </c>
      <c r="C676">
        <f t="shared" si="40"/>
        <v>46820.087599999999</v>
      </c>
      <c r="D676">
        <v>34</v>
      </c>
      <c r="E676">
        <v>1167.9100000000001</v>
      </c>
      <c r="F676">
        <v>1547.26</v>
      </c>
      <c r="G676">
        <v>0.11</v>
      </c>
      <c r="H676" t="str">
        <f>PROPER(TRIM(sales_data!C676))</f>
        <v>David</v>
      </c>
      <c r="I676" t="str">
        <f>PROPER(TRIM(sales_data!D676))</f>
        <v>East</v>
      </c>
      <c r="J676" t="str">
        <f>PROPER(TRIM(sales_data!G676))</f>
        <v>Clothing</v>
      </c>
      <c r="K676" t="str">
        <f>PROPER(TRIM(sales_data!J676))</f>
        <v>New</v>
      </c>
      <c r="L676" t="str">
        <f>PROPER(TRIM(sales_data!L676))</f>
        <v>Bank Transfer</v>
      </c>
      <c r="M676" t="str">
        <f>PROPER(TRIM(sales_data!M676))</f>
        <v>Online</v>
      </c>
      <c r="N676">
        <f t="shared" si="41"/>
        <v>379.34999999999991</v>
      </c>
      <c r="O676">
        <f t="shared" si="42"/>
        <v>12897.899999999998</v>
      </c>
      <c r="P676" t="str">
        <f t="shared" si="43"/>
        <v>Jan</v>
      </c>
    </row>
    <row r="677" spans="1:16" x14ac:dyDescent="0.25">
      <c r="A677">
        <v>1008</v>
      </c>
      <c r="B677" s="1">
        <v>45187</v>
      </c>
      <c r="C677">
        <f t="shared" si="40"/>
        <v>34808.576000000001</v>
      </c>
      <c r="D677">
        <v>32</v>
      </c>
      <c r="E677">
        <v>921.32</v>
      </c>
      <c r="F677">
        <v>1236.0999999999999</v>
      </c>
      <c r="G677">
        <v>0.12</v>
      </c>
      <c r="H677" t="str">
        <f>PROPER(TRIM(sales_data!C677))</f>
        <v>Charlie</v>
      </c>
      <c r="I677" t="str">
        <f>PROPER(TRIM(sales_data!D677))</f>
        <v>South</v>
      </c>
      <c r="J677" t="str">
        <f>PROPER(TRIM(sales_data!G677))</f>
        <v>Food</v>
      </c>
      <c r="K677" t="str">
        <f>PROPER(TRIM(sales_data!J677))</f>
        <v>New</v>
      </c>
      <c r="L677" t="str">
        <f>PROPER(TRIM(sales_data!L677))</f>
        <v>Credit Card</v>
      </c>
      <c r="M677" t="str">
        <f>PROPER(TRIM(sales_data!M677))</f>
        <v>Online</v>
      </c>
      <c r="N677">
        <f t="shared" si="41"/>
        <v>314.77999999999986</v>
      </c>
      <c r="O677">
        <f t="shared" si="42"/>
        <v>10072.959999999995</v>
      </c>
      <c r="P677" t="str">
        <f t="shared" si="43"/>
        <v>Sep</v>
      </c>
    </row>
    <row r="678" spans="1:16" x14ac:dyDescent="0.25">
      <c r="A678">
        <v>1065</v>
      </c>
      <c r="B678" s="1">
        <v>45152</v>
      </c>
      <c r="C678">
        <f t="shared" si="40"/>
        <v>118725.49259999998</v>
      </c>
      <c r="D678">
        <v>26</v>
      </c>
      <c r="E678">
        <v>4337.8500000000004</v>
      </c>
      <c r="F678">
        <v>4612.49</v>
      </c>
      <c r="G678">
        <v>0.01</v>
      </c>
      <c r="H678" t="str">
        <f>PROPER(TRIM(sales_data!C678))</f>
        <v>Bob</v>
      </c>
      <c r="I678" t="str">
        <f>PROPER(TRIM(sales_data!D678))</f>
        <v>West</v>
      </c>
      <c r="J678" t="str">
        <f>PROPER(TRIM(sales_data!G678))</f>
        <v>Clothing</v>
      </c>
      <c r="K678" t="str">
        <f>PROPER(TRIM(sales_data!J678))</f>
        <v>Returning</v>
      </c>
      <c r="L678" t="str">
        <f>PROPER(TRIM(sales_data!L678))</f>
        <v>Cash</v>
      </c>
      <c r="M678" t="str">
        <f>PROPER(TRIM(sales_data!M678))</f>
        <v>Retail</v>
      </c>
      <c r="N678">
        <f t="shared" si="41"/>
        <v>274.63999999999942</v>
      </c>
      <c r="O678">
        <f t="shared" si="42"/>
        <v>7140.6399999999849</v>
      </c>
      <c r="P678" t="str">
        <f t="shared" si="43"/>
        <v>Aug</v>
      </c>
    </row>
    <row r="679" spans="1:16" x14ac:dyDescent="0.25">
      <c r="A679">
        <v>1086</v>
      </c>
      <c r="B679" s="1">
        <v>45050</v>
      </c>
      <c r="C679">
        <f t="shared" si="40"/>
        <v>60398.46</v>
      </c>
      <c r="D679">
        <v>25</v>
      </c>
      <c r="E679">
        <v>2248.71</v>
      </c>
      <c r="F679">
        <v>2626.02</v>
      </c>
      <c r="G679">
        <v>0.08</v>
      </c>
      <c r="H679" t="str">
        <f>PROPER(TRIM(sales_data!C679))</f>
        <v>Bob</v>
      </c>
      <c r="I679" t="str">
        <f>PROPER(TRIM(sales_data!D679))</f>
        <v>West</v>
      </c>
      <c r="J679" t="str">
        <f>PROPER(TRIM(sales_data!G679))</f>
        <v>Food</v>
      </c>
      <c r="K679" t="str">
        <f>PROPER(TRIM(sales_data!J679))</f>
        <v>New</v>
      </c>
      <c r="L679" t="str">
        <f>PROPER(TRIM(sales_data!L679))</f>
        <v>Bank Transfer</v>
      </c>
      <c r="M679" t="str">
        <f>PROPER(TRIM(sales_data!M679))</f>
        <v>Online</v>
      </c>
      <c r="N679">
        <f t="shared" si="41"/>
        <v>377.30999999999995</v>
      </c>
      <c r="O679">
        <f t="shared" si="42"/>
        <v>9432.7499999999982</v>
      </c>
      <c r="P679" t="str">
        <f t="shared" si="43"/>
        <v>May</v>
      </c>
    </row>
    <row r="680" spans="1:16" x14ac:dyDescent="0.25">
      <c r="A680">
        <v>1017</v>
      </c>
      <c r="B680" s="1">
        <v>44964</v>
      </c>
      <c r="C680">
        <f t="shared" si="40"/>
        <v>1664.2784000000001</v>
      </c>
      <c r="D680">
        <v>2</v>
      </c>
      <c r="E680">
        <v>728.41</v>
      </c>
      <c r="F680">
        <v>1094.92</v>
      </c>
      <c r="G680">
        <v>0.24</v>
      </c>
      <c r="H680" t="str">
        <f>PROPER(TRIM(sales_data!C680))</f>
        <v>Charlie</v>
      </c>
      <c r="I680" t="str">
        <f>PROPER(TRIM(sales_data!D680))</f>
        <v>West</v>
      </c>
      <c r="J680" t="str">
        <f>PROPER(TRIM(sales_data!G680))</f>
        <v>Food</v>
      </c>
      <c r="K680" t="str">
        <f>PROPER(TRIM(sales_data!J680))</f>
        <v>New</v>
      </c>
      <c r="L680" t="str">
        <f>PROPER(TRIM(sales_data!L680))</f>
        <v>Cash</v>
      </c>
      <c r="M680" t="str">
        <f>PROPER(TRIM(sales_data!M680))</f>
        <v>Retail</v>
      </c>
      <c r="N680">
        <f t="shared" si="41"/>
        <v>366.5100000000001</v>
      </c>
      <c r="O680">
        <f t="shared" si="42"/>
        <v>733.02000000000021</v>
      </c>
      <c r="P680" t="str">
        <f t="shared" si="43"/>
        <v>Feb</v>
      </c>
    </row>
    <row r="681" spans="1:16" x14ac:dyDescent="0.25">
      <c r="A681">
        <v>1071</v>
      </c>
      <c r="B681" s="1">
        <v>45254</v>
      </c>
      <c r="C681">
        <f t="shared" si="40"/>
        <v>45624.045600000005</v>
      </c>
      <c r="D681">
        <v>12</v>
      </c>
      <c r="E681">
        <v>4317.95</v>
      </c>
      <c r="F681">
        <v>4636.59</v>
      </c>
      <c r="G681">
        <v>0.18</v>
      </c>
      <c r="H681" t="str">
        <f>PROPER(TRIM(sales_data!C681))</f>
        <v>Alice</v>
      </c>
      <c r="I681" t="str">
        <f>PROPER(TRIM(sales_data!D681))</f>
        <v>West</v>
      </c>
      <c r="J681" t="str">
        <f>PROPER(TRIM(sales_data!G681))</f>
        <v>Food</v>
      </c>
      <c r="K681" t="str">
        <f>PROPER(TRIM(sales_data!J681))</f>
        <v>New</v>
      </c>
      <c r="L681" t="str">
        <f>PROPER(TRIM(sales_data!L681))</f>
        <v>Credit Card</v>
      </c>
      <c r="M681" t="str">
        <f>PROPER(TRIM(sales_data!M681))</f>
        <v>Retail</v>
      </c>
      <c r="N681">
        <f t="shared" si="41"/>
        <v>318.64000000000033</v>
      </c>
      <c r="O681">
        <f t="shared" si="42"/>
        <v>3823.6800000000039</v>
      </c>
      <c r="P681" t="str">
        <f t="shared" si="43"/>
        <v>Nov</v>
      </c>
    </row>
    <row r="682" spans="1:16" x14ac:dyDescent="0.25">
      <c r="A682">
        <v>1089</v>
      </c>
      <c r="B682" s="1">
        <v>45177</v>
      </c>
      <c r="C682">
        <f t="shared" si="40"/>
        <v>131699.568</v>
      </c>
      <c r="D682">
        <v>40</v>
      </c>
      <c r="E682">
        <v>4089.66</v>
      </c>
      <c r="F682">
        <v>4275.96</v>
      </c>
      <c r="G682">
        <v>0.23</v>
      </c>
      <c r="H682" t="str">
        <f>PROPER(TRIM(sales_data!C682))</f>
        <v>Bob</v>
      </c>
      <c r="I682" t="str">
        <f>PROPER(TRIM(sales_data!D682))</f>
        <v>West</v>
      </c>
      <c r="J682" t="str">
        <f>PROPER(TRIM(sales_data!G682))</f>
        <v>Furniture</v>
      </c>
      <c r="K682" t="str">
        <f>PROPER(TRIM(sales_data!J682))</f>
        <v>New</v>
      </c>
      <c r="L682" t="str">
        <f>PROPER(TRIM(sales_data!L682))</f>
        <v>Credit Card</v>
      </c>
      <c r="M682" t="str">
        <f>PROPER(TRIM(sales_data!M682))</f>
        <v>Online</v>
      </c>
      <c r="N682">
        <f t="shared" si="41"/>
        <v>186.30000000000018</v>
      </c>
      <c r="O682">
        <f t="shared" si="42"/>
        <v>7452.0000000000073</v>
      </c>
      <c r="P682" t="str">
        <f t="shared" si="43"/>
        <v>Sep</v>
      </c>
    </row>
    <row r="683" spans="1:16" x14ac:dyDescent="0.25">
      <c r="A683">
        <v>1045</v>
      </c>
      <c r="B683" s="1">
        <v>45102</v>
      </c>
      <c r="C683">
        <f t="shared" si="40"/>
        <v>40161.557699999998</v>
      </c>
      <c r="D683">
        <v>9</v>
      </c>
      <c r="E683">
        <v>4920.34</v>
      </c>
      <c r="F683">
        <v>5129.1899999999996</v>
      </c>
      <c r="G683">
        <v>0.13</v>
      </c>
      <c r="H683" t="str">
        <f>PROPER(TRIM(sales_data!C683))</f>
        <v>Eve</v>
      </c>
      <c r="I683" t="str">
        <f>PROPER(TRIM(sales_data!D683))</f>
        <v>South</v>
      </c>
      <c r="J683" t="str">
        <f>PROPER(TRIM(sales_data!G683))</f>
        <v>Clothing</v>
      </c>
      <c r="K683" t="str">
        <f>PROPER(TRIM(sales_data!J683))</f>
        <v>Returning</v>
      </c>
      <c r="L683" t="str">
        <f>PROPER(TRIM(sales_data!L683))</f>
        <v>Credit Card</v>
      </c>
      <c r="M683" t="str">
        <f>PROPER(TRIM(sales_data!M683))</f>
        <v>Online</v>
      </c>
      <c r="N683">
        <f t="shared" si="41"/>
        <v>208.84999999999945</v>
      </c>
      <c r="O683">
        <f t="shared" si="42"/>
        <v>1879.6499999999951</v>
      </c>
      <c r="P683" t="str">
        <f t="shared" si="43"/>
        <v>Jun</v>
      </c>
    </row>
    <row r="684" spans="1:16" x14ac:dyDescent="0.25">
      <c r="A684">
        <v>1004</v>
      </c>
      <c r="B684" s="1">
        <v>45016</v>
      </c>
      <c r="C684">
        <f t="shared" si="40"/>
        <v>55023.040800000002</v>
      </c>
      <c r="D684">
        <v>12</v>
      </c>
      <c r="E684">
        <v>4553.2299999999996</v>
      </c>
      <c r="F684">
        <v>5038.74</v>
      </c>
      <c r="G684">
        <v>0.09</v>
      </c>
      <c r="H684" t="str">
        <f>PROPER(TRIM(sales_data!C684))</f>
        <v>Charlie</v>
      </c>
      <c r="I684" t="str">
        <f>PROPER(TRIM(sales_data!D684))</f>
        <v>East</v>
      </c>
      <c r="J684" t="str">
        <f>PROPER(TRIM(sales_data!G684))</f>
        <v>Clothing</v>
      </c>
      <c r="K684" t="str">
        <f>PROPER(TRIM(sales_data!J684))</f>
        <v>New</v>
      </c>
      <c r="L684" t="str">
        <f>PROPER(TRIM(sales_data!L684))</f>
        <v>Credit Card</v>
      </c>
      <c r="M684" t="str">
        <f>PROPER(TRIM(sales_data!M684))</f>
        <v>Retail</v>
      </c>
      <c r="N684">
        <f t="shared" si="41"/>
        <v>485.51000000000022</v>
      </c>
      <c r="O684">
        <f t="shared" si="42"/>
        <v>5826.1200000000026</v>
      </c>
      <c r="P684" t="str">
        <f t="shared" si="43"/>
        <v>Mar</v>
      </c>
    </row>
    <row r="685" spans="1:16" x14ac:dyDescent="0.25">
      <c r="A685">
        <v>1036</v>
      </c>
      <c r="B685" s="1">
        <v>44963</v>
      </c>
      <c r="C685">
        <f t="shared" si="40"/>
        <v>96850.774799999781</v>
      </c>
      <c r="D685">
        <v>26</v>
      </c>
      <c r="E685">
        <v>4266.3599999999997</v>
      </c>
      <c r="F685">
        <v>4331.4299999999903</v>
      </c>
      <c r="G685">
        <v>0.14000000000000001</v>
      </c>
      <c r="H685" t="str">
        <f>PROPER(TRIM(sales_data!C685))</f>
        <v>Charlie</v>
      </c>
      <c r="I685" t="str">
        <f>PROPER(TRIM(sales_data!D685))</f>
        <v>East</v>
      </c>
      <c r="J685" t="str">
        <f>PROPER(TRIM(sales_data!G685))</f>
        <v>Electronics</v>
      </c>
      <c r="K685" t="str">
        <f>PROPER(TRIM(sales_data!J685))</f>
        <v>Returning</v>
      </c>
      <c r="L685" t="str">
        <f>PROPER(TRIM(sales_data!L685))</f>
        <v>Credit Card</v>
      </c>
      <c r="M685" t="str">
        <f>PROPER(TRIM(sales_data!M685))</f>
        <v>Retail</v>
      </c>
      <c r="N685">
        <f t="shared" si="41"/>
        <v>65.069999999990614</v>
      </c>
      <c r="O685">
        <f t="shared" si="42"/>
        <v>1691.819999999756</v>
      </c>
      <c r="P685" t="str">
        <f t="shared" si="43"/>
        <v>Feb</v>
      </c>
    </row>
    <row r="686" spans="1:16" x14ac:dyDescent="0.25">
      <c r="A686">
        <v>1070</v>
      </c>
      <c r="B686" s="1">
        <v>45242</v>
      </c>
      <c r="C686">
        <f t="shared" si="40"/>
        <v>3659.6610000000001</v>
      </c>
      <c r="D686">
        <v>9</v>
      </c>
      <c r="E686">
        <v>310.24</v>
      </c>
      <c r="F686">
        <v>451.81</v>
      </c>
      <c r="G686">
        <v>0.1</v>
      </c>
      <c r="H686" t="str">
        <f>PROPER(TRIM(sales_data!C686))</f>
        <v>Bob</v>
      </c>
      <c r="I686" t="str">
        <f>PROPER(TRIM(sales_data!D686))</f>
        <v>South</v>
      </c>
      <c r="J686" t="str">
        <f>PROPER(TRIM(sales_data!G686))</f>
        <v>Electronics</v>
      </c>
      <c r="K686" t="str">
        <f>PROPER(TRIM(sales_data!J686))</f>
        <v>Returning</v>
      </c>
      <c r="L686" t="str">
        <f>PROPER(TRIM(sales_data!L686))</f>
        <v>Cash</v>
      </c>
      <c r="M686" t="str">
        <f>PROPER(TRIM(sales_data!M686))</f>
        <v>Retail</v>
      </c>
      <c r="N686">
        <f t="shared" si="41"/>
        <v>141.57</v>
      </c>
      <c r="O686">
        <f t="shared" si="42"/>
        <v>1274.1299999999999</v>
      </c>
      <c r="P686" t="str">
        <f t="shared" si="43"/>
        <v>Nov</v>
      </c>
    </row>
    <row r="687" spans="1:16" x14ac:dyDescent="0.25">
      <c r="A687">
        <v>1031</v>
      </c>
      <c r="B687" s="1">
        <v>45102</v>
      </c>
      <c r="C687">
        <f t="shared" si="40"/>
        <v>6136.0499999999993</v>
      </c>
      <c r="D687">
        <v>10</v>
      </c>
      <c r="E687">
        <v>566.86</v>
      </c>
      <c r="F687">
        <v>818.14</v>
      </c>
      <c r="G687">
        <v>0.25</v>
      </c>
      <c r="H687" t="str">
        <f>PROPER(TRIM(sales_data!C687))</f>
        <v>Alice</v>
      </c>
      <c r="I687" t="str">
        <f>PROPER(TRIM(sales_data!D687))</f>
        <v>West</v>
      </c>
      <c r="J687" t="str">
        <f>PROPER(TRIM(sales_data!G687))</f>
        <v>Electronics</v>
      </c>
      <c r="K687" t="str">
        <f>PROPER(TRIM(sales_data!J687))</f>
        <v>Returning</v>
      </c>
      <c r="L687" t="str">
        <f>PROPER(TRIM(sales_data!L687))</f>
        <v>Credit Card</v>
      </c>
      <c r="M687" t="str">
        <f>PROPER(TRIM(sales_data!M687))</f>
        <v>Retail</v>
      </c>
      <c r="N687">
        <f t="shared" si="41"/>
        <v>251.27999999999997</v>
      </c>
      <c r="O687">
        <f t="shared" si="42"/>
        <v>2512.7999999999997</v>
      </c>
      <c r="P687" t="str">
        <f t="shared" si="43"/>
        <v>Jun</v>
      </c>
    </row>
    <row r="688" spans="1:16" x14ac:dyDescent="0.25">
      <c r="A688">
        <v>1019</v>
      </c>
      <c r="B688" s="1">
        <v>45210</v>
      </c>
      <c r="C688">
        <f t="shared" si="40"/>
        <v>95702.006399999998</v>
      </c>
      <c r="D688">
        <v>32</v>
      </c>
      <c r="E688">
        <v>2866.47</v>
      </c>
      <c r="F688">
        <v>3286.47</v>
      </c>
      <c r="G688">
        <v>0.09</v>
      </c>
      <c r="H688" t="str">
        <f>PROPER(TRIM(sales_data!C688))</f>
        <v>Eve</v>
      </c>
      <c r="I688" t="str">
        <f>PROPER(TRIM(sales_data!D688))</f>
        <v>South</v>
      </c>
      <c r="J688" t="str">
        <f>PROPER(TRIM(sales_data!G688))</f>
        <v>Electronics</v>
      </c>
      <c r="K688" t="str">
        <f>PROPER(TRIM(sales_data!J688))</f>
        <v>New</v>
      </c>
      <c r="L688" t="str">
        <f>PROPER(TRIM(sales_data!L688))</f>
        <v>Credit Card</v>
      </c>
      <c r="M688" t="str">
        <f>PROPER(TRIM(sales_data!M688))</f>
        <v>Online</v>
      </c>
      <c r="N688">
        <f t="shared" si="41"/>
        <v>420</v>
      </c>
      <c r="O688">
        <f t="shared" si="42"/>
        <v>13440</v>
      </c>
      <c r="P688" t="str">
        <f t="shared" si="43"/>
        <v>Oct</v>
      </c>
    </row>
    <row r="689" spans="1:16" x14ac:dyDescent="0.25">
      <c r="A689">
        <v>1061</v>
      </c>
      <c r="B689" s="1">
        <v>45007</v>
      </c>
      <c r="C689">
        <f t="shared" si="40"/>
        <v>75371.743999999992</v>
      </c>
      <c r="D689">
        <v>34</v>
      </c>
      <c r="E689">
        <v>2680.82</v>
      </c>
      <c r="F689">
        <v>2771.02</v>
      </c>
      <c r="G689">
        <v>0.2</v>
      </c>
      <c r="H689" t="str">
        <f>PROPER(TRIM(sales_data!C689))</f>
        <v>Alice</v>
      </c>
      <c r="I689" t="str">
        <f>PROPER(TRIM(sales_data!D689))</f>
        <v>East</v>
      </c>
      <c r="J689" t="str">
        <f>PROPER(TRIM(sales_data!G689))</f>
        <v>Clothing</v>
      </c>
      <c r="K689" t="str">
        <f>PROPER(TRIM(sales_data!J689))</f>
        <v>New</v>
      </c>
      <c r="L689" t="str">
        <f>PROPER(TRIM(sales_data!L689))</f>
        <v>Bank Transfer</v>
      </c>
      <c r="M689" t="str">
        <f>PROPER(TRIM(sales_data!M689))</f>
        <v>Online</v>
      </c>
      <c r="N689">
        <f t="shared" si="41"/>
        <v>90.199999999999818</v>
      </c>
      <c r="O689">
        <f t="shared" si="42"/>
        <v>3066.7999999999938</v>
      </c>
      <c r="P689" t="str">
        <f t="shared" si="43"/>
        <v>Mar</v>
      </c>
    </row>
    <row r="690" spans="1:16" x14ac:dyDescent="0.25">
      <c r="A690">
        <v>1054</v>
      </c>
      <c r="B690" s="1">
        <v>45040</v>
      </c>
      <c r="C690">
        <f t="shared" si="40"/>
        <v>113477.9904</v>
      </c>
      <c r="D690">
        <v>48</v>
      </c>
      <c r="E690">
        <v>2316.92</v>
      </c>
      <c r="F690">
        <v>2462.63</v>
      </c>
      <c r="G690">
        <v>0.04</v>
      </c>
      <c r="H690" t="str">
        <f>PROPER(TRIM(sales_data!C690))</f>
        <v>David</v>
      </c>
      <c r="I690" t="str">
        <f>PROPER(TRIM(sales_data!D690))</f>
        <v>North</v>
      </c>
      <c r="J690" t="str">
        <f>PROPER(TRIM(sales_data!G690))</f>
        <v>Food</v>
      </c>
      <c r="K690" t="str">
        <f>PROPER(TRIM(sales_data!J690))</f>
        <v>New</v>
      </c>
      <c r="L690" t="str">
        <f>PROPER(TRIM(sales_data!L690))</f>
        <v>Credit Card</v>
      </c>
      <c r="M690" t="str">
        <f>PROPER(TRIM(sales_data!M690))</f>
        <v>Online</v>
      </c>
      <c r="N690">
        <f t="shared" si="41"/>
        <v>145.71000000000004</v>
      </c>
      <c r="O690">
        <f t="shared" si="42"/>
        <v>6994.0800000000017</v>
      </c>
      <c r="P690" t="str">
        <f t="shared" si="43"/>
        <v>Apr</v>
      </c>
    </row>
    <row r="691" spans="1:16" x14ac:dyDescent="0.25">
      <c r="A691">
        <v>1039</v>
      </c>
      <c r="B691" s="1">
        <v>44966</v>
      </c>
      <c r="C691">
        <f t="shared" si="40"/>
        <v>32490.33</v>
      </c>
      <c r="D691">
        <v>20</v>
      </c>
      <c r="E691">
        <v>2014.11</v>
      </c>
      <c r="F691">
        <v>2056.35</v>
      </c>
      <c r="G691">
        <v>0.21</v>
      </c>
      <c r="H691" t="str">
        <f>PROPER(TRIM(sales_data!C691))</f>
        <v>David</v>
      </c>
      <c r="I691" t="str">
        <f>PROPER(TRIM(sales_data!D691))</f>
        <v>South</v>
      </c>
      <c r="J691" t="str">
        <f>PROPER(TRIM(sales_data!G691))</f>
        <v>Food</v>
      </c>
      <c r="K691" t="str">
        <f>PROPER(TRIM(sales_data!J691))</f>
        <v>Returning</v>
      </c>
      <c r="L691" t="str">
        <f>PROPER(TRIM(sales_data!L691))</f>
        <v>Bank Transfer</v>
      </c>
      <c r="M691" t="str">
        <f>PROPER(TRIM(sales_data!M691))</f>
        <v>Retail</v>
      </c>
      <c r="N691">
        <f t="shared" si="41"/>
        <v>42.240000000000009</v>
      </c>
      <c r="O691">
        <f t="shared" si="42"/>
        <v>844.80000000000018</v>
      </c>
      <c r="P691" t="str">
        <f t="shared" si="43"/>
        <v>Feb</v>
      </c>
    </row>
    <row r="692" spans="1:16" x14ac:dyDescent="0.25">
      <c r="A692">
        <v>1091</v>
      </c>
      <c r="B692" s="1">
        <v>45227</v>
      </c>
      <c r="C692">
        <f t="shared" si="40"/>
        <v>72325.757399999711</v>
      </c>
      <c r="D692">
        <v>39</v>
      </c>
      <c r="E692">
        <v>2184.4899999999998</v>
      </c>
      <c r="F692">
        <v>2540.4199999999901</v>
      </c>
      <c r="G692">
        <v>0.27</v>
      </c>
      <c r="H692" t="str">
        <f>PROPER(TRIM(sales_data!C692))</f>
        <v>Bob</v>
      </c>
      <c r="I692" t="str">
        <f>PROPER(TRIM(sales_data!D692))</f>
        <v>West</v>
      </c>
      <c r="J692" t="str">
        <f>PROPER(TRIM(sales_data!G692))</f>
        <v>Furniture</v>
      </c>
      <c r="K692" t="str">
        <f>PROPER(TRIM(sales_data!J692))</f>
        <v>Returning</v>
      </c>
      <c r="L692" t="str">
        <f>PROPER(TRIM(sales_data!L692))</f>
        <v>Bank Transfer</v>
      </c>
      <c r="M692" t="str">
        <f>PROPER(TRIM(sales_data!M692))</f>
        <v>Online</v>
      </c>
      <c r="N692">
        <f t="shared" si="41"/>
        <v>355.92999999999029</v>
      </c>
      <c r="O692">
        <f t="shared" si="42"/>
        <v>13881.269999999622</v>
      </c>
      <c r="P692" t="str">
        <f t="shared" si="43"/>
        <v>Oct</v>
      </c>
    </row>
    <row r="693" spans="1:16" x14ac:dyDescent="0.25">
      <c r="A693">
        <v>1074</v>
      </c>
      <c r="B693" s="1">
        <v>45150</v>
      </c>
      <c r="C693">
        <f t="shared" si="40"/>
        <v>4911.3735999999999</v>
      </c>
      <c r="D693">
        <v>2</v>
      </c>
      <c r="E693">
        <v>2868.02</v>
      </c>
      <c r="F693">
        <v>2994.74</v>
      </c>
      <c r="G693">
        <v>0.18</v>
      </c>
      <c r="H693" t="str">
        <f>PROPER(TRIM(sales_data!C693))</f>
        <v>Bob</v>
      </c>
      <c r="I693" t="str">
        <f>PROPER(TRIM(sales_data!D693))</f>
        <v>East</v>
      </c>
      <c r="J693" t="str">
        <f>PROPER(TRIM(sales_data!G693))</f>
        <v>Food</v>
      </c>
      <c r="K693" t="str">
        <f>PROPER(TRIM(sales_data!J693))</f>
        <v>Returning</v>
      </c>
      <c r="L693" t="str">
        <f>PROPER(TRIM(sales_data!L693))</f>
        <v>Bank Transfer</v>
      </c>
      <c r="M693" t="str">
        <f>PROPER(TRIM(sales_data!M693))</f>
        <v>Online</v>
      </c>
      <c r="N693">
        <f t="shared" si="41"/>
        <v>126.7199999999998</v>
      </c>
      <c r="O693">
        <f t="shared" si="42"/>
        <v>253.4399999999996</v>
      </c>
      <c r="P693" t="str">
        <f t="shared" si="43"/>
        <v>Aug</v>
      </c>
    </row>
    <row r="694" spans="1:16" x14ac:dyDescent="0.25">
      <c r="A694">
        <v>1090</v>
      </c>
      <c r="B694" s="1">
        <v>45244</v>
      </c>
      <c r="C694">
        <f t="shared" si="40"/>
        <v>216.4059</v>
      </c>
      <c r="D694">
        <v>1</v>
      </c>
      <c r="E694">
        <v>60.28</v>
      </c>
      <c r="F694">
        <v>260.73</v>
      </c>
      <c r="G694">
        <v>0.17</v>
      </c>
      <c r="H694" t="str">
        <f>PROPER(TRIM(sales_data!C694))</f>
        <v>Bob</v>
      </c>
      <c r="I694" t="str">
        <f>PROPER(TRIM(sales_data!D694))</f>
        <v>East</v>
      </c>
      <c r="J694" t="str">
        <f>PROPER(TRIM(sales_data!G694))</f>
        <v>Clothing</v>
      </c>
      <c r="K694" t="str">
        <f>PROPER(TRIM(sales_data!J694))</f>
        <v>Returning</v>
      </c>
      <c r="L694" t="str">
        <f>PROPER(TRIM(sales_data!L694))</f>
        <v>Cash</v>
      </c>
      <c r="M694" t="str">
        <f>PROPER(TRIM(sales_data!M694))</f>
        <v>Online</v>
      </c>
      <c r="N694">
        <f t="shared" si="41"/>
        <v>200.45000000000002</v>
      </c>
      <c r="O694">
        <f t="shared" si="42"/>
        <v>200.45000000000002</v>
      </c>
      <c r="P694" t="str">
        <f t="shared" si="43"/>
        <v>Nov</v>
      </c>
    </row>
    <row r="695" spans="1:16" x14ac:dyDescent="0.25">
      <c r="A695">
        <v>1019</v>
      </c>
      <c r="B695" s="1">
        <v>45275</v>
      </c>
      <c r="C695">
        <f t="shared" si="40"/>
        <v>40076.035199999998</v>
      </c>
      <c r="D695">
        <v>36</v>
      </c>
      <c r="E695">
        <v>1340.51</v>
      </c>
      <c r="F695">
        <v>1567.92</v>
      </c>
      <c r="G695">
        <v>0.28999999999999998</v>
      </c>
      <c r="H695" t="str">
        <f>PROPER(TRIM(sales_data!C695))</f>
        <v>David</v>
      </c>
      <c r="I695" t="str">
        <f>PROPER(TRIM(sales_data!D695))</f>
        <v>East</v>
      </c>
      <c r="J695" t="str">
        <f>PROPER(TRIM(sales_data!G695))</f>
        <v>Clothing</v>
      </c>
      <c r="K695" t="str">
        <f>PROPER(TRIM(sales_data!J695))</f>
        <v>New</v>
      </c>
      <c r="L695" t="str">
        <f>PROPER(TRIM(sales_data!L695))</f>
        <v>Cash</v>
      </c>
      <c r="M695" t="str">
        <f>PROPER(TRIM(sales_data!M695))</f>
        <v>Online</v>
      </c>
      <c r="N695">
        <f t="shared" si="41"/>
        <v>227.41000000000008</v>
      </c>
      <c r="O695">
        <f t="shared" si="42"/>
        <v>8186.7600000000029</v>
      </c>
      <c r="P695" t="str">
        <f t="shared" si="43"/>
        <v>Dec</v>
      </c>
    </row>
    <row r="696" spans="1:16" x14ac:dyDescent="0.25">
      <c r="A696">
        <v>1039</v>
      </c>
      <c r="B696" s="1">
        <v>45041</v>
      </c>
      <c r="C696">
        <f t="shared" si="40"/>
        <v>59529.556800000006</v>
      </c>
      <c r="D696">
        <v>24</v>
      </c>
      <c r="E696">
        <v>2615.48</v>
      </c>
      <c r="F696">
        <v>3062.22</v>
      </c>
      <c r="G696">
        <v>0.19</v>
      </c>
      <c r="H696" t="str">
        <f>PROPER(TRIM(sales_data!C696))</f>
        <v>Alice</v>
      </c>
      <c r="I696" t="str">
        <f>PROPER(TRIM(sales_data!D696))</f>
        <v>East</v>
      </c>
      <c r="J696" t="str">
        <f>PROPER(TRIM(sales_data!G696))</f>
        <v>Clothing</v>
      </c>
      <c r="K696" t="str">
        <f>PROPER(TRIM(sales_data!J696))</f>
        <v>New</v>
      </c>
      <c r="L696" t="str">
        <f>PROPER(TRIM(sales_data!L696))</f>
        <v>Bank Transfer</v>
      </c>
      <c r="M696" t="str">
        <f>PROPER(TRIM(sales_data!M696))</f>
        <v>Retail</v>
      </c>
      <c r="N696">
        <f t="shared" si="41"/>
        <v>446.73999999999978</v>
      </c>
      <c r="O696">
        <f t="shared" si="42"/>
        <v>10721.759999999995</v>
      </c>
      <c r="P696" t="str">
        <f t="shared" si="43"/>
        <v>Apr</v>
      </c>
    </row>
    <row r="697" spans="1:16" x14ac:dyDescent="0.25">
      <c r="A697">
        <v>1067</v>
      </c>
      <c r="B697" s="1">
        <v>45112</v>
      </c>
      <c r="C697">
        <f t="shared" si="40"/>
        <v>95299.156799999997</v>
      </c>
      <c r="D697">
        <v>27</v>
      </c>
      <c r="E697">
        <v>3624.97</v>
      </c>
      <c r="F697">
        <v>3836.52</v>
      </c>
      <c r="G697">
        <v>0.08</v>
      </c>
      <c r="H697" t="str">
        <f>PROPER(TRIM(sales_data!C697))</f>
        <v>Alice</v>
      </c>
      <c r="I697" t="str">
        <f>PROPER(TRIM(sales_data!D697))</f>
        <v>West</v>
      </c>
      <c r="J697" t="str">
        <f>PROPER(TRIM(sales_data!G697))</f>
        <v>Furniture</v>
      </c>
      <c r="K697" t="str">
        <f>PROPER(TRIM(sales_data!J697))</f>
        <v>New</v>
      </c>
      <c r="L697" t="str">
        <f>PROPER(TRIM(sales_data!L697))</f>
        <v>Cash</v>
      </c>
      <c r="M697" t="str">
        <f>PROPER(TRIM(sales_data!M697))</f>
        <v>Online</v>
      </c>
      <c r="N697">
        <f t="shared" si="41"/>
        <v>211.55000000000018</v>
      </c>
      <c r="O697">
        <f t="shared" si="42"/>
        <v>5711.8500000000049</v>
      </c>
      <c r="P697" t="str">
        <f t="shared" si="43"/>
        <v>Jul</v>
      </c>
    </row>
    <row r="698" spans="1:16" x14ac:dyDescent="0.25">
      <c r="A698">
        <v>1045</v>
      </c>
      <c r="B698" s="1">
        <v>45249</v>
      </c>
      <c r="C698">
        <f t="shared" si="40"/>
        <v>1807.6968000000002</v>
      </c>
      <c r="D698">
        <v>2</v>
      </c>
      <c r="E698">
        <v>912.08</v>
      </c>
      <c r="F698">
        <v>993.24</v>
      </c>
      <c r="G698">
        <v>0.09</v>
      </c>
      <c r="H698" t="str">
        <f>PROPER(TRIM(sales_data!C698))</f>
        <v>Bob</v>
      </c>
      <c r="I698" t="str">
        <f>PROPER(TRIM(sales_data!D698))</f>
        <v>North</v>
      </c>
      <c r="J698" t="str">
        <f>PROPER(TRIM(sales_data!G698))</f>
        <v>Electronics</v>
      </c>
      <c r="K698" t="str">
        <f>PROPER(TRIM(sales_data!J698))</f>
        <v>Returning</v>
      </c>
      <c r="L698" t="str">
        <f>PROPER(TRIM(sales_data!L698))</f>
        <v>Credit Card</v>
      </c>
      <c r="M698" t="str">
        <f>PROPER(TRIM(sales_data!M698))</f>
        <v>Online</v>
      </c>
      <c r="N698">
        <f t="shared" si="41"/>
        <v>81.159999999999968</v>
      </c>
      <c r="O698">
        <f t="shared" si="42"/>
        <v>162.31999999999994</v>
      </c>
      <c r="P698" t="str">
        <f t="shared" si="43"/>
        <v>Nov</v>
      </c>
    </row>
    <row r="699" spans="1:16" x14ac:dyDescent="0.25">
      <c r="A699">
        <v>1013</v>
      </c>
      <c r="B699" s="1">
        <v>44982</v>
      </c>
      <c r="C699">
        <f t="shared" si="40"/>
        <v>74057.025299999994</v>
      </c>
      <c r="D699">
        <v>31</v>
      </c>
      <c r="E699">
        <v>2757.06</v>
      </c>
      <c r="F699">
        <v>3023.97</v>
      </c>
      <c r="G699">
        <v>0.21</v>
      </c>
      <c r="H699" t="str">
        <f>PROPER(TRIM(sales_data!C699))</f>
        <v>Eve</v>
      </c>
      <c r="I699" t="str">
        <f>PROPER(TRIM(sales_data!D699))</f>
        <v>East</v>
      </c>
      <c r="J699" t="str">
        <f>PROPER(TRIM(sales_data!G699))</f>
        <v>Food</v>
      </c>
      <c r="K699" t="str">
        <f>PROPER(TRIM(sales_data!J699))</f>
        <v>Returning</v>
      </c>
      <c r="L699" t="str">
        <f>PROPER(TRIM(sales_data!L699))</f>
        <v>Cash</v>
      </c>
      <c r="M699" t="str">
        <f>PROPER(TRIM(sales_data!M699))</f>
        <v>Online</v>
      </c>
      <c r="N699">
        <f t="shared" si="41"/>
        <v>266.90999999999985</v>
      </c>
      <c r="O699">
        <f t="shared" si="42"/>
        <v>8274.2099999999955</v>
      </c>
      <c r="P699" t="str">
        <f t="shared" si="43"/>
        <v>Feb</v>
      </c>
    </row>
    <row r="700" spans="1:16" x14ac:dyDescent="0.25">
      <c r="A700">
        <v>1092</v>
      </c>
      <c r="B700" s="1">
        <v>44966</v>
      </c>
      <c r="C700">
        <f t="shared" si="40"/>
        <v>44427.255599999997</v>
      </c>
      <c r="D700">
        <v>14</v>
      </c>
      <c r="E700">
        <v>3586.58</v>
      </c>
      <c r="F700">
        <v>4068.43</v>
      </c>
      <c r="G700">
        <v>0.22</v>
      </c>
      <c r="H700" t="str">
        <f>PROPER(TRIM(sales_data!C700))</f>
        <v>Alice</v>
      </c>
      <c r="I700" t="str">
        <f>PROPER(TRIM(sales_data!D700))</f>
        <v>South</v>
      </c>
      <c r="J700" t="str">
        <f>PROPER(TRIM(sales_data!G700))</f>
        <v>Clothing</v>
      </c>
      <c r="K700" t="str">
        <f>PROPER(TRIM(sales_data!J700))</f>
        <v>New</v>
      </c>
      <c r="L700" t="str">
        <f>PROPER(TRIM(sales_data!L700))</f>
        <v>Credit Card</v>
      </c>
      <c r="M700" t="str">
        <f>PROPER(TRIM(sales_data!M700))</f>
        <v>Online</v>
      </c>
      <c r="N700">
        <f t="shared" si="41"/>
        <v>481.84999999999991</v>
      </c>
      <c r="O700">
        <f t="shared" si="42"/>
        <v>6745.8999999999987</v>
      </c>
      <c r="P700" t="str">
        <f t="shared" si="43"/>
        <v>Feb</v>
      </c>
    </row>
    <row r="701" spans="1:16" x14ac:dyDescent="0.25">
      <c r="A701">
        <v>1058</v>
      </c>
      <c r="B701" s="1">
        <v>45280</v>
      </c>
      <c r="C701">
        <f t="shared" si="40"/>
        <v>4656.7975999999999</v>
      </c>
      <c r="D701">
        <v>2</v>
      </c>
      <c r="E701">
        <v>2250.91</v>
      </c>
      <c r="F701">
        <v>2558.6799999999998</v>
      </c>
      <c r="G701">
        <v>0.09</v>
      </c>
      <c r="H701" t="str">
        <f>PROPER(TRIM(sales_data!C701))</f>
        <v>David</v>
      </c>
      <c r="I701" t="str">
        <f>PROPER(TRIM(sales_data!D701))</f>
        <v>North</v>
      </c>
      <c r="J701" t="str">
        <f>PROPER(TRIM(sales_data!G701))</f>
        <v>Clothing</v>
      </c>
      <c r="K701" t="str">
        <f>PROPER(TRIM(sales_data!J701))</f>
        <v>New</v>
      </c>
      <c r="L701" t="str">
        <f>PROPER(TRIM(sales_data!L701))</f>
        <v>Credit Card</v>
      </c>
      <c r="M701" t="str">
        <f>PROPER(TRIM(sales_data!M701))</f>
        <v>Retail</v>
      </c>
      <c r="N701">
        <f t="shared" si="41"/>
        <v>307.77</v>
      </c>
      <c r="O701">
        <f t="shared" si="42"/>
        <v>615.54</v>
      </c>
      <c r="P701" t="str">
        <f t="shared" si="43"/>
        <v>Dec</v>
      </c>
    </row>
    <row r="702" spans="1:16" x14ac:dyDescent="0.25">
      <c r="A702">
        <v>1020</v>
      </c>
      <c r="B702" s="1">
        <v>44966</v>
      </c>
      <c r="C702">
        <f t="shared" si="40"/>
        <v>17641.251</v>
      </c>
      <c r="D702">
        <v>29</v>
      </c>
      <c r="E702">
        <v>184.05</v>
      </c>
      <c r="F702">
        <v>675.91</v>
      </c>
      <c r="G702">
        <v>0.1</v>
      </c>
      <c r="H702" t="str">
        <f>PROPER(TRIM(sales_data!C702))</f>
        <v>Charlie</v>
      </c>
      <c r="I702" t="str">
        <f>PROPER(TRIM(sales_data!D702))</f>
        <v>East</v>
      </c>
      <c r="J702" t="str">
        <f>PROPER(TRIM(sales_data!G702))</f>
        <v>Electronics</v>
      </c>
      <c r="K702" t="str">
        <f>PROPER(TRIM(sales_data!J702))</f>
        <v>Returning</v>
      </c>
      <c r="L702" t="str">
        <f>PROPER(TRIM(sales_data!L702))</f>
        <v>Cash</v>
      </c>
      <c r="M702" t="str">
        <f>PROPER(TRIM(sales_data!M702))</f>
        <v>Retail</v>
      </c>
      <c r="N702">
        <f t="shared" si="41"/>
        <v>491.85999999999996</v>
      </c>
      <c r="O702">
        <f t="shared" si="42"/>
        <v>14263.939999999999</v>
      </c>
      <c r="P702" t="str">
        <f t="shared" si="43"/>
        <v>Feb</v>
      </c>
    </row>
    <row r="703" spans="1:16" x14ac:dyDescent="0.25">
      <c r="A703">
        <v>1092</v>
      </c>
      <c r="B703" s="1">
        <v>45273</v>
      </c>
      <c r="C703">
        <f t="shared" si="40"/>
        <v>28308.21</v>
      </c>
      <c r="D703">
        <v>15</v>
      </c>
      <c r="E703">
        <v>2273.88</v>
      </c>
      <c r="F703">
        <v>2696.02</v>
      </c>
      <c r="G703">
        <v>0.3</v>
      </c>
      <c r="H703" t="str">
        <f>PROPER(TRIM(sales_data!C703))</f>
        <v>Charlie</v>
      </c>
      <c r="I703" t="str">
        <f>PROPER(TRIM(sales_data!D703))</f>
        <v>North</v>
      </c>
      <c r="J703" t="str">
        <f>PROPER(TRIM(sales_data!G703))</f>
        <v>Clothing</v>
      </c>
      <c r="K703" t="str">
        <f>PROPER(TRIM(sales_data!J703))</f>
        <v>New</v>
      </c>
      <c r="L703" t="str">
        <f>PROPER(TRIM(sales_data!L703))</f>
        <v>Cash</v>
      </c>
      <c r="M703" t="str">
        <f>PROPER(TRIM(sales_data!M703))</f>
        <v>Online</v>
      </c>
      <c r="N703">
        <f t="shared" si="41"/>
        <v>422.13999999999987</v>
      </c>
      <c r="O703">
        <f t="shared" si="42"/>
        <v>6332.0999999999985</v>
      </c>
      <c r="P703" t="str">
        <f t="shared" si="43"/>
        <v>Dec</v>
      </c>
    </row>
    <row r="704" spans="1:16" x14ac:dyDescent="0.25">
      <c r="A704">
        <v>1072</v>
      </c>
      <c r="B704" s="1">
        <v>45163</v>
      </c>
      <c r="C704">
        <f t="shared" si="40"/>
        <v>17984.032799999997</v>
      </c>
      <c r="D704">
        <v>12</v>
      </c>
      <c r="E704">
        <v>1517.4</v>
      </c>
      <c r="F704">
        <v>1545.02</v>
      </c>
      <c r="G704">
        <v>0.03</v>
      </c>
      <c r="H704" t="str">
        <f>PROPER(TRIM(sales_data!C704))</f>
        <v>Charlie</v>
      </c>
      <c r="I704" t="str">
        <f>PROPER(TRIM(sales_data!D704))</f>
        <v>South</v>
      </c>
      <c r="J704" t="str">
        <f>PROPER(TRIM(sales_data!G704))</f>
        <v>Food</v>
      </c>
      <c r="K704" t="str">
        <f>PROPER(TRIM(sales_data!J704))</f>
        <v>New</v>
      </c>
      <c r="L704" t="str">
        <f>PROPER(TRIM(sales_data!L704))</f>
        <v>Bank Transfer</v>
      </c>
      <c r="M704" t="str">
        <f>PROPER(TRIM(sales_data!M704))</f>
        <v>Retail</v>
      </c>
      <c r="N704">
        <f t="shared" si="41"/>
        <v>27.619999999999891</v>
      </c>
      <c r="O704">
        <f t="shared" si="42"/>
        <v>331.43999999999869</v>
      </c>
      <c r="P704" t="str">
        <f t="shared" si="43"/>
        <v>Aug</v>
      </c>
    </row>
    <row r="705" spans="1:16" x14ac:dyDescent="0.25">
      <c r="A705">
        <v>1061</v>
      </c>
      <c r="B705" s="1">
        <v>45215</v>
      </c>
      <c r="C705">
        <f t="shared" si="40"/>
        <v>162291.73840000003</v>
      </c>
      <c r="D705">
        <v>37</v>
      </c>
      <c r="E705">
        <v>4651.7700000000004</v>
      </c>
      <c r="F705">
        <v>4984.3900000000003</v>
      </c>
      <c r="G705">
        <v>0.12</v>
      </c>
      <c r="H705" t="str">
        <f>PROPER(TRIM(sales_data!C705))</f>
        <v>Eve</v>
      </c>
      <c r="I705" t="str">
        <f>PROPER(TRIM(sales_data!D705))</f>
        <v>East</v>
      </c>
      <c r="J705" t="str">
        <f>PROPER(TRIM(sales_data!G705))</f>
        <v>Furniture</v>
      </c>
      <c r="K705" t="str">
        <f>PROPER(TRIM(sales_data!J705))</f>
        <v>Returning</v>
      </c>
      <c r="L705" t="str">
        <f>PROPER(TRIM(sales_data!L705))</f>
        <v>Cash</v>
      </c>
      <c r="M705" t="str">
        <f>PROPER(TRIM(sales_data!M705))</f>
        <v>Retail</v>
      </c>
      <c r="N705">
        <f t="shared" si="41"/>
        <v>332.61999999999989</v>
      </c>
      <c r="O705">
        <f t="shared" si="42"/>
        <v>12306.939999999995</v>
      </c>
      <c r="P705" t="str">
        <f t="shared" si="43"/>
        <v>Oct</v>
      </c>
    </row>
    <row r="706" spans="1:16" x14ac:dyDescent="0.25">
      <c r="A706">
        <v>1039</v>
      </c>
      <c r="B706" s="1">
        <v>45188</v>
      </c>
      <c r="C706">
        <f t="shared" ref="C706:C769" si="44">(D706*F706)*(1-G706)</f>
        <v>22428.358400000001</v>
      </c>
      <c r="D706">
        <v>28</v>
      </c>
      <c r="E706">
        <v>666.84</v>
      </c>
      <c r="F706">
        <v>817.36</v>
      </c>
      <c r="G706">
        <v>0.02</v>
      </c>
      <c r="H706" t="str">
        <f>PROPER(TRIM(sales_data!C706))</f>
        <v>Bob</v>
      </c>
      <c r="I706" t="str">
        <f>PROPER(TRIM(sales_data!D706))</f>
        <v>South</v>
      </c>
      <c r="J706" t="str">
        <f>PROPER(TRIM(sales_data!G706))</f>
        <v>Clothing</v>
      </c>
      <c r="K706" t="str">
        <f>PROPER(TRIM(sales_data!J706))</f>
        <v>Returning</v>
      </c>
      <c r="L706" t="str">
        <f>PROPER(TRIM(sales_data!L706))</f>
        <v>Cash</v>
      </c>
      <c r="M706" t="str">
        <f>PROPER(TRIM(sales_data!M706))</f>
        <v>Retail</v>
      </c>
      <c r="N706">
        <f t="shared" ref="N706:N769" si="45">F706-E706</f>
        <v>150.51999999999998</v>
      </c>
      <c r="O706">
        <f t="shared" ref="O706:O769" si="46">N706*D706</f>
        <v>4214.5599999999995</v>
      </c>
      <c r="P706" t="str">
        <f t="shared" ref="P706:P769" si="47">TEXT(B706,"mmm")</f>
        <v>Sep</v>
      </c>
    </row>
    <row r="707" spans="1:16" x14ac:dyDescent="0.25">
      <c r="A707">
        <v>1001</v>
      </c>
      <c r="B707" s="1">
        <v>45142</v>
      </c>
      <c r="C707">
        <f t="shared" si="44"/>
        <v>53459.549999999996</v>
      </c>
      <c r="D707">
        <v>20</v>
      </c>
      <c r="E707">
        <v>3279.76</v>
      </c>
      <c r="F707">
        <v>3563.97</v>
      </c>
      <c r="G707">
        <v>0.25</v>
      </c>
      <c r="H707" t="str">
        <f>PROPER(TRIM(sales_data!C707))</f>
        <v>David</v>
      </c>
      <c r="I707" t="str">
        <f>PROPER(TRIM(sales_data!D707))</f>
        <v>West</v>
      </c>
      <c r="J707" t="str">
        <f>PROPER(TRIM(sales_data!G707))</f>
        <v>Food</v>
      </c>
      <c r="K707" t="str">
        <f>PROPER(TRIM(sales_data!J707))</f>
        <v>Returning</v>
      </c>
      <c r="L707" t="str">
        <f>PROPER(TRIM(sales_data!L707))</f>
        <v>Cash</v>
      </c>
      <c r="M707" t="str">
        <f>PROPER(TRIM(sales_data!M707))</f>
        <v>Retail</v>
      </c>
      <c r="N707">
        <f t="shared" si="45"/>
        <v>284.20999999999958</v>
      </c>
      <c r="O707">
        <f t="shared" si="46"/>
        <v>5684.1999999999916</v>
      </c>
      <c r="P707" t="str">
        <f t="shared" si="47"/>
        <v>Aug</v>
      </c>
    </row>
    <row r="708" spans="1:16" x14ac:dyDescent="0.25">
      <c r="A708">
        <v>1003</v>
      </c>
      <c r="B708" s="1">
        <v>45073</v>
      </c>
      <c r="C708">
        <f t="shared" si="44"/>
        <v>17320.087199999998</v>
      </c>
      <c r="D708">
        <v>39</v>
      </c>
      <c r="E708">
        <v>310.95999999999998</v>
      </c>
      <c r="F708">
        <v>457.84</v>
      </c>
      <c r="G708">
        <v>0.03</v>
      </c>
      <c r="H708" t="str">
        <f>PROPER(TRIM(sales_data!C708))</f>
        <v>Eve</v>
      </c>
      <c r="I708" t="str">
        <f>PROPER(TRIM(sales_data!D708))</f>
        <v>East</v>
      </c>
      <c r="J708" t="str">
        <f>PROPER(TRIM(sales_data!G708))</f>
        <v>Clothing</v>
      </c>
      <c r="K708" t="str">
        <f>PROPER(TRIM(sales_data!J708))</f>
        <v>New</v>
      </c>
      <c r="L708" t="str">
        <f>PROPER(TRIM(sales_data!L708))</f>
        <v>Credit Card</v>
      </c>
      <c r="M708" t="str">
        <f>PROPER(TRIM(sales_data!M708))</f>
        <v>Online</v>
      </c>
      <c r="N708">
        <f t="shared" si="45"/>
        <v>146.88</v>
      </c>
      <c r="O708">
        <f t="shared" si="46"/>
        <v>5728.32</v>
      </c>
      <c r="P708" t="str">
        <f t="shared" si="47"/>
        <v>May</v>
      </c>
    </row>
    <row r="709" spans="1:16" x14ac:dyDescent="0.25">
      <c r="A709">
        <v>1077</v>
      </c>
      <c r="B709" s="1">
        <v>45262</v>
      </c>
      <c r="C709">
        <f t="shared" si="44"/>
        <v>46838.207999999999</v>
      </c>
      <c r="D709">
        <v>24</v>
      </c>
      <c r="E709">
        <v>2258.54</v>
      </c>
      <c r="F709">
        <v>2439.4899999999998</v>
      </c>
      <c r="G709">
        <v>0.2</v>
      </c>
      <c r="H709" t="str">
        <f>PROPER(TRIM(sales_data!C709))</f>
        <v>David</v>
      </c>
      <c r="I709" t="str">
        <f>PROPER(TRIM(sales_data!D709))</f>
        <v>East</v>
      </c>
      <c r="J709" t="str">
        <f>PROPER(TRIM(sales_data!G709))</f>
        <v>Electronics</v>
      </c>
      <c r="K709" t="str">
        <f>PROPER(TRIM(sales_data!J709))</f>
        <v>Returning</v>
      </c>
      <c r="L709" t="str">
        <f>PROPER(TRIM(sales_data!L709))</f>
        <v>Credit Card</v>
      </c>
      <c r="M709" t="str">
        <f>PROPER(TRIM(sales_data!M709))</f>
        <v>Retail</v>
      </c>
      <c r="N709">
        <f t="shared" si="45"/>
        <v>180.94999999999982</v>
      </c>
      <c r="O709">
        <f t="shared" si="46"/>
        <v>4342.7999999999956</v>
      </c>
      <c r="P709" t="str">
        <f t="shared" si="47"/>
        <v>Dec</v>
      </c>
    </row>
    <row r="710" spans="1:16" x14ac:dyDescent="0.25">
      <c r="A710">
        <v>1092</v>
      </c>
      <c r="B710" s="1">
        <v>45094</v>
      </c>
      <c r="C710">
        <f t="shared" si="44"/>
        <v>66978.638999999806</v>
      </c>
      <c r="D710">
        <v>21</v>
      </c>
      <c r="E710">
        <v>2792.2</v>
      </c>
      <c r="F710">
        <v>3254.5499999999902</v>
      </c>
      <c r="G710">
        <v>0.02</v>
      </c>
      <c r="H710" t="str">
        <f>PROPER(TRIM(sales_data!C710))</f>
        <v>David</v>
      </c>
      <c r="I710" t="str">
        <f>PROPER(TRIM(sales_data!D710))</f>
        <v>East</v>
      </c>
      <c r="J710" t="str">
        <f>PROPER(TRIM(sales_data!G710))</f>
        <v>Clothing</v>
      </c>
      <c r="K710" t="str">
        <f>PROPER(TRIM(sales_data!J710))</f>
        <v>New</v>
      </c>
      <c r="L710" t="str">
        <f>PROPER(TRIM(sales_data!L710))</f>
        <v>Credit Card</v>
      </c>
      <c r="M710" t="str">
        <f>PROPER(TRIM(sales_data!M710))</f>
        <v>Retail</v>
      </c>
      <c r="N710">
        <f t="shared" si="45"/>
        <v>462.34999999999036</v>
      </c>
      <c r="O710">
        <f t="shared" si="46"/>
        <v>9709.3499999997985</v>
      </c>
      <c r="P710" t="str">
        <f t="shared" si="47"/>
        <v>Jun</v>
      </c>
    </row>
    <row r="711" spans="1:16" x14ac:dyDescent="0.25">
      <c r="A711">
        <v>1062</v>
      </c>
      <c r="B711" s="1">
        <v>45018</v>
      </c>
      <c r="C711">
        <f t="shared" si="44"/>
        <v>13089.120000000003</v>
      </c>
      <c r="D711">
        <v>10</v>
      </c>
      <c r="E711">
        <v>1524.88</v>
      </c>
      <c r="F711">
        <v>1636.14</v>
      </c>
      <c r="G711">
        <v>0.2</v>
      </c>
      <c r="H711" t="str">
        <f>PROPER(TRIM(sales_data!C711))</f>
        <v>Bob</v>
      </c>
      <c r="I711" t="str">
        <f>PROPER(TRIM(sales_data!D711))</f>
        <v>East</v>
      </c>
      <c r="J711" t="str">
        <f>PROPER(TRIM(sales_data!G711))</f>
        <v>Clothing</v>
      </c>
      <c r="K711" t="str">
        <f>PROPER(TRIM(sales_data!J711))</f>
        <v>New</v>
      </c>
      <c r="L711" t="str">
        <f>PROPER(TRIM(sales_data!L711))</f>
        <v>Bank Transfer</v>
      </c>
      <c r="M711" t="str">
        <f>PROPER(TRIM(sales_data!M711))</f>
        <v>Online</v>
      </c>
      <c r="N711">
        <f t="shared" si="45"/>
        <v>111.25999999999999</v>
      </c>
      <c r="O711">
        <f t="shared" si="46"/>
        <v>1112.5999999999999</v>
      </c>
      <c r="P711" t="str">
        <f t="shared" si="47"/>
        <v>Apr</v>
      </c>
    </row>
    <row r="712" spans="1:16" x14ac:dyDescent="0.25">
      <c r="A712">
        <v>1063</v>
      </c>
      <c r="B712" s="1">
        <v>45279</v>
      </c>
      <c r="C712">
        <f t="shared" si="44"/>
        <v>94562.084999999992</v>
      </c>
      <c r="D712">
        <v>46</v>
      </c>
      <c r="E712">
        <v>2302.62</v>
      </c>
      <c r="F712">
        <v>2740.93</v>
      </c>
      <c r="G712">
        <v>0.25</v>
      </c>
      <c r="H712" t="str">
        <f>PROPER(TRIM(sales_data!C712))</f>
        <v>Charlie</v>
      </c>
      <c r="I712" t="str">
        <f>PROPER(TRIM(sales_data!D712))</f>
        <v>West</v>
      </c>
      <c r="J712" t="str">
        <f>PROPER(TRIM(sales_data!G712))</f>
        <v>Furniture</v>
      </c>
      <c r="K712" t="str">
        <f>PROPER(TRIM(sales_data!J712))</f>
        <v>Returning</v>
      </c>
      <c r="L712" t="str">
        <f>PROPER(TRIM(sales_data!L712))</f>
        <v>Bank Transfer</v>
      </c>
      <c r="M712" t="str">
        <f>PROPER(TRIM(sales_data!M712))</f>
        <v>Online</v>
      </c>
      <c r="N712">
        <f t="shared" si="45"/>
        <v>438.30999999999995</v>
      </c>
      <c r="O712">
        <f t="shared" si="46"/>
        <v>20162.259999999998</v>
      </c>
      <c r="P712" t="str">
        <f t="shared" si="47"/>
        <v>Dec</v>
      </c>
    </row>
    <row r="713" spans="1:16" x14ac:dyDescent="0.25">
      <c r="A713">
        <v>1025</v>
      </c>
      <c r="B713" s="1">
        <v>44985</v>
      </c>
      <c r="C713">
        <f t="shared" si="44"/>
        <v>10897.163199999999</v>
      </c>
      <c r="D713">
        <v>14</v>
      </c>
      <c r="E713">
        <v>859.59</v>
      </c>
      <c r="F713">
        <v>884.51</v>
      </c>
      <c r="G713">
        <v>0.12</v>
      </c>
      <c r="H713" t="str">
        <f>PROPER(TRIM(sales_data!C713))</f>
        <v>Bob</v>
      </c>
      <c r="I713" t="str">
        <f>PROPER(TRIM(sales_data!D713))</f>
        <v>East</v>
      </c>
      <c r="J713" t="str">
        <f>PROPER(TRIM(sales_data!G713))</f>
        <v>Electronics</v>
      </c>
      <c r="K713" t="str">
        <f>PROPER(TRIM(sales_data!J713))</f>
        <v>New</v>
      </c>
      <c r="L713" t="str">
        <f>PROPER(TRIM(sales_data!L713))</f>
        <v>Bank Transfer</v>
      </c>
      <c r="M713" t="str">
        <f>PROPER(TRIM(sales_data!M713))</f>
        <v>Online</v>
      </c>
      <c r="N713">
        <f t="shared" si="45"/>
        <v>24.919999999999959</v>
      </c>
      <c r="O713">
        <f t="shared" si="46"/>
        <v>348.87999999999943</v>
      </c>
      <c r="P713" t="str">
        <f t="shared" si="47"/>
        <v>Feb</v>
      </c>
    </row>
    <row r="714" spans="1:16" x14ac:dyDescent="0.25">
      <c r="A714">
        <v>1056</v>
      </c>
      <c r="B714" s="1">
        <v>44985</v>
      </c>
      <c r="C714">
        <f t="shared" si="44"/>
        <v>50036.9352</v>
      </c>
      <c r="D714">
        <v>37</v>
      </c>
      <c r="E714">
        <v>1555.41</v>
      </c>
      <c r="F714">
        <v>1609.94</v>
      </c>
      <c r="G714">
        <v>0.16</v>
      </c>
      <c r="H714" t="str">
        <f>PROPER(TRIM(sales_data!C714))</f>
        <v>Eve</v>
      </c>
      <c r="I714" t="str">
        <f>PROPER(TRIM(sales_data!D714))</f>
        <v>North</v>
      </c>
      <c r="J714" t="str">
        <f>PROPER(TRIM(sales_data!G714))</f>
        <v>Electronics</v>
      </c>
      <c r="K714" t="str">
        <f>PROPER(TRIM(sales_data!J714))</f>
        <v>Returning</v>
      </c>
      <c r="L714" t="str">
        <f>PROPER(TRIM(sales_data!L714))</f>
        <v>Credit Card</v>
      </c>
      <c r="M714" t="str">
        <f>PROPER(TRIM(sales_data!M714))</f>
        <v>Online</v>
      </c>
      <c r="N714">
        <f t="shared" si="45"/>
        <v>54.529999999999973</v>
      </c>
      <c r="O714">
        <f t="shared" si="46"/>
        <v>2017.609999999999</v>
      </c>
      <c r="P714" t="str">
        <f t="shared" si="47"/>
        <v>Feb</v>
      </c>
    </row>
    <row r="715" spans="1:16" x14ac:dyDescent="0.25">
      <c r="A715">
        <v>1033</v>
      </c>
      <c r="B715" s="1">
        <v>45230</v>
      </c>
      <c r="C715">
        <f t="shared" si="44"/>
        <v>56283.796800000004</v>
      </c>
      <c r="D715">
        <v>18</v>
      </c>
      <c r="E715">
        <v>3124.48</v>
      </c>
      <c r="F715">
        <v>3553.27</v>
      </c>
      <c r="G715">
        <v>0.12</v>
      </c>
      <c r="H715" t="str">
        <f>PROPER(TRIM(sales_data!C715))</f>
        <v>Eve</v>
      </c>
      <c r="I715" t="str">
        <f>PROPER(TRIM(sales_data!D715))</f>
        <v>East</v>
      </c>
      <c r="J715" t="str">
        <f>PROPER(TRIM(sales_data!G715))</f>
        <v>Furniture</v>
      </c>
      <c r="K715" t="str">
        <f>PROPER(TRIM(sales_data!J715))</f>
        <v>Returning</v>
      </c>
      <c r="L715" t="str">
        <f>PROPER(TRIM(sales_data!L715))</f>
        <v>Cash</v>
      </c>
      <c r="M715" t="str">
        <f>PROPER(TRIM(sales_data!M715))</f>
        <v>Retail</v>
      </c>
      <c r="N715">
        <f t="shared" si="45"/>
        <v>428.78999999999996</v>
      </c>
      <c r="O715">
        <f t="shared" si="46"/>
        <v>7718.2199999999993</v>
      </c>
      <c r="P715" t="str">
        <f t="shared" si="47"/>
        <v>Oct</v>
      </c>
    </row>
    <row r="716" spans="1:16" x14ac:dyDescent="0.25">
      <c r="A716">
        <v>1038</v>
      </c>
      <c r="B716" s="1">
        <v>45095</v>
      </c>
      <c r="C716">
        <f t="shared" si="44"/>
        <v>40685.299200000001</v>
      </c>
      <c r="D716">
        <v>24</v>
      </c>
      <c r="E716">
        <v>1543.91</v>
      </c>
      <c r="F716">
        <v>1862.88</v>
      </c>
      <c r="G716">
        <v>0.09</v>
      </c>
      <c r="H716" t="str">
        <f>PROPER(TRIM(sales_data!C716))</f>
        <v>Eve</v>
      </c>
      <c r="I716" t="str">
        <f>PROPER(TRIM(sales_data!D716))</f>
        <v>West</v>
      </c>
      <c r="J716" t="str">
        <f>PROPER(TRIM(sales_data!G716))</f>
        <v>Clothing</v>
      </c>
      <c r="K716" t="str">
        <f>PROPER(TRIM(sales_data!J716))</f>
        <v>New</v>
      </c>
      <c r="L716" t="str">
        <f>PROPER(TRIM(sales_data!L716))</f>
        <v>Bank Transfer</v>
      </c>
      <c r="M716" t="str">
        <f>PROPER(TRIM(sales_data!M716))</f>
        <v>Online</v>
      </c>
      <c r="N716">
        <f t="shared" si="45"/>
        <v>318.97000000000003</v>
      </c>
      <c r="O716">
        <f t="shared" si="46"/>
        <v>7655.2800000000007</v>
      </c>
      <c r="P716" t="str">
        <f t="shared" si="47"/>
        <v>Jun</v>
      </c>
    </row>
    <row r="717" spans="1:16" x14ac:dyDescent="0.25">
      <c r="A717">
        <v>1006</v>
      </c>
      <c r="B717" s="1">
        <v>45195</v>
      </c>
      <c r="C717">
        <f t="shared" si="44"/>
        <v>51921.923199999896</v>
      </c>
      <c r="D717">
        <v>14</v>
      </c>
      <c r="E717">
        <v>4503.7299999999996</v>
      </c>
      <c r="F717">
        <v>4879.8799999999901</v>
      </c>
      <c r="G717">
        <v>0.24</v>
      </c>
      <c r="H717" t="str">
        <f>PROPER(TRIM(sales_data!C717))</f>
        <v>Bob</v>
      </c>
      <c r="I717" t="str">
        <f>PROPER(TRIM(sales_data!D717))</f>
        <v>East</v>
      </c>
      <c r="J717" t="str">
        <f>PROPER(TRIM(sales_data!G717))</f>
        <v>Food</v>
      </c>
      <c r="K717" t="str">
        <f>PROPER(TRIM(sales_data!J717))</f>
        <v>New</v>
      </c>
      <c r="L717" t="str">
        <f>PROPER(TRIM(sales_data!L717))</f>
        <v>Bank Transfer</v>
      </c>
      <c r="M717" t="str">
        <f>PROPER(TRIM(sales_data!M717))</f>
        <v>Retail</v>
      </c>
      <c r="N717">
        <f t="shared" si="45"/>
        <v>376.14999999999054</v>
      </c>
      <c r="O717">
        <f t="shared" si="46"/>
        <v>5266.0999999998676</v>
      </c>
      <c r="P717" t="str">
        <f t="shared" si="47"/>
        <v>Sep</v>
      </c>
    </row>
    <row r="718" spans="1:16" x14ac:dyDescent="0.25">
      <c r="A718">
        <v>1058</v>
      </c>
      <c r="B718" s="1">
        <v>45289</v>
      </c>
      <c r="C718">
        <f t="shared" si="44"/>
        <v>102386.3216</v>
      </c>
      <c r="D718">
        <v>34</v>
      </c>
      <c r="E718">
        <v>3160.61</v>
      </c>
      <c r="F718">
        <v>3273.22</v>
      </c>
      <c r="G718">
        <v>0.08</v>
      </c>
      <c r="H718" t="str">
        <f>PROPER(TRIM(sales_data!C718))</f>
        <v>David</v>
      </c>
      <c r="I718" t="str">
        <f>PROPER(TRIM(sales_data!D718))</f>
        <v>North</v>
      </c>
      <c r="J718" t="str">
        <f>PROPER(TRIM(sales_data!G718))</f>
        <v>Electronics</v>
      </c>
      <c r="K718" t="str">
        <f>PROPER(TRIM(sales_data!J718))</f>
        <v>Returning</v>
      </c>
      <c r="L718" t="str">
        <f>PROPER(TRIM(sales_data!L718))</f>
        <v>Credit Card</v>
      </c>
      <c r="M718" t="str">
        <f>PROPER(TRIM(sales_data!M718))</f>
        <v>Retail</v>
      </c>
      <c r="N718">
        <f t="shared" si="45"/>
        <v>112.60999999999967</v>
      </c>
      <c r="O718">
        <f t="shared" si="46"/>
        <v>3828.7399999999889</v>
      </c>
      <c r="P718" t="str">
        <f t="shared" si="47"/>
        <v>Dec</v>
      </c>
    </row>
    <row r="719" spans="1:16" x14ac:dyDescent="0.25">
      <c r="A719">
        <v>1044</v>
      </c>
      <c r="B719" s="1">
        <v>44971</v>
      </c>
      <c r="C719">
        <f t="shared" si="44"/>
        <v>23348.332800000004</v>
      </c>
      <c r="D719">
        <v>12</v>
      </c>
      <c r="E719">
        <v>2221.31</v>
      </c>
      <c r="F719">
        <v>2494.48</v>
      </c>
      <c r="G719">
        <v>0.22</v>
      </c>
      <c r="H719" t="str">
        <f>PROPER(TRIM(sales_data!C719))</f>
        <v>David</v>
      </c>
      <c r="I719" t="str">
        <f>PROPER(TRIM(sales_data!D719))</f>
        <v>West</v>
      </c>
      <c r="J719" t="str">
        <f>PROPER(TRIM(sales_data!G719))</f>
        <v>Electronics</v>
      </c>
      <c r="K719" t="str">
        <f>PROPER(TRIM(sales_data!J719))</f>
        <v>Returning</v>
      </c>
      <c r="L719" t="str">
        <f>PROPER(TRIM(sales_data!L719))</f>
        <v>Bank Transfer</v>
      </c>
      <c r="M719" t="str">
        <f>PROPER(TRIM(sales_data!M719))</f>
        <v>Online</v>
      </c>
      <c r="N719">
        <f t="shared" si="45"/>
        <v>273.17000000000007</v>
      </c>
      <c r="O719">
        <f t="shared" si="46"/>
        <v>3278.0400000000009</v>
      </c>
      <c r="P719" t="str">
        <f t="shared" si="47"/>
        <v>Feb</v>
      </c>
    </row>
    <row r="720" spans="1:16" x14ac:dyDescent="0.25">
      <c r="A720">
        <v>1045</v>
      </c>
      <c r="B720" s="1">
        <v>45271</v>
      </c>
      <c r="C720">
        <f t="shared" si="44"/>
        <v>12678.701200000001</v>
      </c>
      <c r="D720">
        <v>22</v>
      </c>
      <c r="E720">
        <v>241.85</v>
      </c>
      <c r="F720">
        <v>613.09</v>
      </c>
      <c r="G720">
        <v>0.06</v>
      </c>
      <c r="H720" t="str">
        <f>PROPER(TRIM(sales_data!C720))</f>
        <v>Alice</v>
      </c>
      <c r="I720" t="str">
        <f>PROPER(TRIM(sales_data!D720))</f>
        <v>West</v>
      </c>
      <c r="J720" t="str">
        <f>PROPER(TRIM(sales_data!G720))</f>
        <v>Clothing</v>
      </c>
      <c r="K720" t="str">
        <f>PROPER(TRIM(sales_data!J720))</f>
        <v>Returning</v>
      </c>
      <c r="L720" t="str">
        <f>PROPER(TRIM(sales_data!L720))</f>
        <v>Cash</v>
      </c>
      <c r="M720" t="str">
        <f>PROPER(TRIM(sales_data!M720))</f>
        <v>Online</v>
      </c>
      <c r="N720">
        <f t="shared" si="45"/>
        <v>371.24</v>
      </c>
      <c r="O720">
        <f t="shared" si="46"/>
        <v>8167.2800000000007</v>
      </c>
      <c r="P720" t="str">
        <f t="shared" si="47"/>
        <v>Dec</v>
      </c>
    </row>
    <row r="721" spans="1:16" x14ac:dyDescent="0.25">
      <c r="A721">
        <v>1032</v>
      </c>
      <c r="B721" s="1">
        <v>45107</v>
      </c>
      <c r="C721">
        <f t="shared" si="44"/>
        <v>15847.981199999998</v>
      </c>
      <c r="D721">
        <v>6</v>
      </c>
      <c r="E721">
        <v>2522.7600000000002</v>
      </c>
      <c r="F721">
        <v>2840.14</v>
      </c>
      <c r="G721">
        <v>7.0000000000000007E-2</v>
      </c>
      <c r="H721" t="str">
        <f>PROPER(TRIM(sales_data!C721))</f>
        <v>Eve</v>
      </c>
      <c r="I721" t="str">
        <f>PROPER(TRIM(sales_data!D721))</f>
        <v>North</v>
      </c>
      <c r="J721" t="str">
        <f>PROPER(TRIM(sales_data!G721))</f>
        <v>Clothing</v>
      </c>
      <c r="K721" t="str">
        <f>PROPER(TRIM(sales_data!J721))</f>
        <v>Returning</v>
      </c>
      <c r="L721" t="str">
        <f>PROPER(TRIM(sales_data!L721))</f>
        <v>Credit Card</v>
      </c>
      <c r="M721" t="str">
        <f>PROPER(TRIM(sales_data!M721))</f>
        <v>Retail</v>
      </c>
      <c r="N721">
        <f t="shared" si="45"/>
        <v>317.37999999999965</v>
      </c>
      <c r="O721">
        <f t="shared" si="46"/>
        <v>1904.2799999999979</v>
      </c>
      <c r="P721" t="str">
        <f t="shared" si="47"/>
        <v>Jun</v>
      </c>
    </row>
    <row r="722" spans="1:16" x14ac:dyDescent="0.25">
      <c r="A722">
        <v>1045</v>
      </c>
      <c r="B722" s="1">
        <v>45096</v>
      </c>
      <c r="C722">
        <f t="shared" si="44"/>
        <v>132087.348</v>
      </c>
      <c r="D722">
        <v>36</v>
      </c>
      <c r="E722">
        <v>3835.64</v>
      </c>
      <c r="F722">
        <v>4076.77</v>
      </c>
      <c r="G722">
        <v>0.1</v>
      </c>
      <c r="H722" t="str">
        <f>PROPER(TRIM(sales_data!C722))</f>
        <v>David</v>
      </c>
      <c r="I722" t="str">
        <f>PROPER(TRIM(sales_data!D722))</f>
        <v>North</v>
      </c>
      <c r="J722" t="str">
        <f>PROPER(TRIM(sales_data!G722))</f>
        <v>Electronics</v>
      </c>
      <c r="K722" t="str">
        <f>PROPER(TRIM(sales_data!J722))</f>
        <v>Returning</v>
      </c>
      <c r="L722" t="str">
        <f>PROPER(TRIM(sales_data!L722))</f>
        <v>Credit Card</v>
      </c>
      <c r="M722" t="str">
        <f>PROPER(TRIM(sales_data!M722))</f>
        <v>Retail</v>
      </c>
      <c r="N722">
        <f t="shared" si="45"/>
        <v>241.13000000000011</v>
      </c>
      <c r="O722">
        <f t="shared" si="46"/>
        <v>8680.6800000000039</v>
      </c>
      <c r="P722" t="str">
        <f t="shared" si="47"/>
        <v>Jun</v>
      </c>
    </row>
    <row r="723" spans="1:16" x14ac:dyDescent="0.25">
      <c r="A723">
        <v>1061</v>
      </c>
      <c r="B723" s="1">
        <v>45282</v>
      </c>
      <c r="C723">
        <f t="shared" si="44"/>
        <v>68073.12000000001</v>
      </c>
      <c r="D723">
        <v>45</v>
      </c>
      <c r="E723">
        <v>1364.51</v>
      </c>
      <c r="F723">
        <v>1844.8</v>
      </c>
      <c r="G723">
        <v>0.18</v>
      </c>
      <c r="H723" t="str">
        <f>PROPER(TRIM(sales_data!C723))</f>
        <v>Alice</v>
      </c>
      <c r="I723" t="str">
        <f>PROPER(TRIM(sales_data!D723))</f>
        <v>North</v>
      </c>
      <c r="J723" t="str">
        <f>PROPER(TRIM(sales_data!G723))</f>
        <v>Clothing</v>
      </c>
      <c r="K723" t="str">
        <f>PROPER(TRIM(sales_data!J723))</f>
        <v>Returning</v>
      </c>
      <c r="L723" t="str">
        <f>PROPER(TRIM(sales_data!L723))</f>
        <v>Cash</v>
      </c>
      <c r="M723" t="str">
        <f>PROPER(TRIM(sales_data!M723))</f>
        <v>Online</v>
      </c>
      <c r="N723">
        <f t="shared" si="45"/>
        <v>480.28999999999996</v>
      </c>
      <c r="O723">
        <f t="shared" si="46"/>
        <v>21613.05</v>
      </c>
      <c r="P723" t="str">
        <f t="shared" si="47"/>
        <v>Dec</v>
      </c>
    </row>
    <row r="724" spans="1:16" x14ac:dyDescent="0.25">
      <c r="A724">
        <v>1047</v>
      </c>
      <c r="B724" s="1">
        <v>45117</v>
      </c>
      <c r="C724">
        <f t="shared" si="44"/>
        <v>135754.95600000001</v>
      </c>
      <c r="D724">
        <v>36</v>
      </c>
      <c r="E724">
        <v>4043.53</v>
      </c>
      <c r="F724">
        <v>4384.8500000000004</v>
      </c>
      <c r="G724">
        <v>0.14000000000000001</v>
      </c>
      <c r="H724" t="str">
        <f>PROPER(TRIM(sales_data!C724))</f>
        <v>David</v>
      </c>
      <c r="I724" t="str">
        <f>PROPER(TRIM(sales_data!D724))</f>
        <v>North</v>
      </c>
      <c r="J724" t="str">
        <f>PROPER(TRIM(sales_data!G724))</f>
        <v>Food</v>
      </c>
      <c r="K724" t="str">
        <f>PROPER(TRIM(sales_data!J724))</f>
        <v>New</v>
      </c>
      <c r="L724" t="str">
        <f>PROPER(TRIM(sales_data!L724))</f>
        <v>Cash</v>
      </c>
      <c r="M724" t="str">
        <f>PROPER(TRIM(sales_data!M724))</f>
        <v>Online</v>
      </c>
      <c r="N724">
        <f t="shared" si="45"/>
        <v>341.32000000000016</v>
      </c>
      <c r="O724">
        <f t="shared" si="46"/>
        <v>12287.520000000006</v>
      </c>
      <c r="P724" t="str">
        <f t="shared" si="47"/>
        <v>Jul</v>
      </c>
    </row>
    <row r="725" spans="1:16" x14ac:dyDescent="0.25">
      <c r="A725">
        <v>1021</v>
      </c>
      <c r="B725" s="1">
        <v>45081</v>
      </c>
      <c r="C725">
        <f t="shared" si="44"/>
        <v>30051.278399999999</v>
      </c>
      <c r="D725">
        <v>22</v>
      </c>
      <c r="E725">
        <v>1296.44</v>
      </c>
      <c r="F725">
        <v>1751.24</v>
      </c>
      <c r="G725">
        <v>0.22</v>
      </c>
      <c r="H725" t="str">
        <f>PROPER(TRIM(sales_data!C725))</f>
        <v>Eve</v>
      </c>
      <c r="I725" t="str">
        <f>PROPER(TRIM(sales_data!D725))</f>
        <v>North</v>
      </c>
      <c r="J725" t="str">
        <f>PROPER(TRIM(sales_data!G725))</f>
        <v>Electronics</v>
      </c>
      <c r="K725" t="str">
        <f>PROPER(TRIM(sales_data!J725))</f>
        <v>New</v>
      </c>
      <c r="L725" t="str">
        <f>PROPER(TRIM(sales_data!L725))</f>
        <v>Cash</v>
      </c>
      <c r="M725" t="str">
        <f>PROPER(TRIM(sales_data!M725))</f>
        <v>Online</v>
      </c>
      <c r="N725">
        <f t="shared" si="45"/>
        <v>454.79999999999995</v>
      </c>
      <c r="O725">
        <f t="shared" si="46"/>
        <v>10005.599999999999</v>
      </c>
      <c r="P725" t="str">
        <f t="shared" si="47"/>
        <v>Jun</v>
      </c>
    </row>
    <row r="726" spans="1:16" x14ac:dyDescent="0.25">
      <c r="A726">
        <v>1080</v>
      </c>
      <c r="B726" s="1">
        <v>45114</v>
      </c>
      <c r="C726">
        <f t="shared" si="44"/>
        <v>59155.910799999998</v>
      </c>
      <c r="D726">
        <v>14</v>
      </c>
      <c r="E726">
        <v>4127.54</v>
      </c>
      <c r="F726">
        <v>4495.13</v>
      </c>
      <c r="G726">
        <v>0.06</v>
      </c>
      <c r="H726" t="str">
        <f>PROPER(TRIM(sales_data!C726))</f>
        <v>Charlie</v>
      </c>
      <c r="I726" t="str">
        <f>PROPER(TRIM(sales_data!D726))</f>
        <v>West</v>
      </c>
      <c r="J726" t="str">
        <f>PROPER(TRIM(sales_data!G726))</f>
        <v>Food</v>
      </c>
      <c r="K726" t="str">
        <f>PROPER(TRIM(sales_data!J726))</f>
        <v>New</v>
      </c>
      <c r="L726" t="str">
        <f>PROPER(TRIM(sales_data!L726))</f>
        <v>Bank Transfer</v>
      </c>
      <c r="M726" t="str">
        <f>PROPER(TRIM(sales_data!M726))</f>
        <v>Retail</v>
      </c>
      <c r="N726">
        <f t="shared" si="45"/>
        <v>367.59000000000015</v>
      </c>
      <c r="O726">
        <f t="shared" si="46"/>
        <v>5146.260000000002</v>
      </c>
      <c r="P726" t="str">
        <f t="shared" si="47"/>
        <v>Jul</v>
      </c>
    </row>
    <row r="727" spans="1:16" x14ac:dyDescent="0.25">
      <c r="A727">
        <v>1085</v>
      </c>
      <c r="B727" s="1">
        <v>44933</v>
      </c>
      <c r="C727">
        <f t="shared" si="44"/>
        <v>13479.36</v>
      </c>
      <c r="D727">
        <v>16</v>
      </c>
      <c r="E727">
        <v>472.08</v>
      </c>
      <c r="F727">
        <v>842.46</v>
      </c>
      <c r="G727">
        <v>0</v>
      </c>
      <c r="H727" t="str">
        <f>PROPER(TRIM(sales_data!C727))</f>
        <v>Eve</v>
      </c>
      <c r="I727" t="str">
        <f>PROPER(TRIM(sales_data!D727))</f>
        <v>West</v>
      </c>
      <c r="J727" t="str">
        <f>PROPER(TRIM(sales_data!G727))</f>
        <v>Food</v>
      </c>
      <c r="K727" t="str">
        <f>PROPER(TRIM(sales_data!J727))</f>
        <v>New</v>
      </c>
      <c r="L727" t="str">
        <f>PROPER(TRIM(sales_data!L727))</f>
        <v>Cash</v>
      </c>
      <c r="M727" t="str">
        <f>PROPER(TRIM(sales_data!M727))</f>
        <v>Retail</v>
      </c>
      <c r="N727">
        <f t="shared" si="45"/>
        <v>370.38000000000005</v>
      </c>
      <c r="O727">
        <f t="shared" si="46"/>
        <v>5926.0800000000008</v>
      </c>
      <c r="P727" t="str">
        <f t="shared" si="47"/>
        <v>Jan</v>
      </c>
    </row>
    <row r="728" spans="1:16" x14ac:dyDescent="0.25">
      <c r="A728">
        <v>1075</v>
      </c>
      <c r="B728" s="1">
        <v>45059</v>
      </c>
      <c r="C728">
        <f t="shared" si="44"/>
        <v>121602.6504</v>
      </c>
      <c r="D728">
        <v>36</v>
      </c>
      <c r="E728">
        <v>4337.6099999999997</v>
      </c>
      <c r="F728">
        <v>4386.82</v>
      </c>
      <c r="G728">
        <v>0.23</v>
      </c>
      <c r="H728" t="str">
        <f>PROPER(TRIM(sales_data!C728))</f>
        <v>Bob</v>
      </c>
      <c r="I728" t="str">
        <f>PROPER(TRIM(sales_data!D728))</f>
        <v>East</v>
      </c>
      <c r="J728" t="str">
        <f>PROPER(TRIM(sales_data!G728))</f>
        <v>Clothing</v>
      </c>
      <c r="K728" t="str">
        <f>PROPER(TRIM(sales_data!J728))</f>
        <v>Returning</v>
      </c>
      <c r="L728" t="str">
        <f>PROPER(TRIM(sales_data!L728))</f>
        <v>Credit Card</v>
      </c>
      <c r="M728" t="str">
        <f>PROPER(TRIM(sales_data!M728))</f>
        <v>Online</v>
      </c>
      <c r="N728">
        <f t="shared" si="45"/>
        <v>49.210000000000036</v>
      </c>
      <c r="O728">
        <f t="shared" si="46"/>
        <v>1771.5600000000013</v>
      </c>
      <c r="P728" t="str">
        <f t="shared" si="47"/>
        <v>May</v>
      </c>
    </row>
    <row r="729" spans="1:16" x14ac:dyDescent="0.25">
      <c r="A729">
        <v>1036</v>
      </c>
      <c r="B729" s="1">
        <v>45161</v>
      </c>
      <c r="C729">
        <f t="shared" si="44"/>
        <v>50758.312499999811</v>
      </c>
      <c r="D729">
        <v>25</v>
      </c>
      <c r="E729">
        <v>2520.9699999999998</v>
      </c>
      <c r="F729">
        <v>2707.1099999999901</v>
      </c>
      <c r="G729">
        <v>0.25</v>
      </c>
      <c r="H729" t="str">
        <f>PROPER(TRIM(sales_data!C729))</f>
        <v>David</v>
      </c>
      <c r="I729" t="str">
        <f>PROPER(TRIM(sales_data!D729))</f>
        <v>East</v>
      </c>
      <c r="J729" t="str">
        <f>PROPER(TRIM(sales_data!G729))</f>
        <v>Food</v>
      </c>
      <c r="K729" t="str">
        <f>PROPER(TRIM(sales_data!J729))</f>
        <v>New</v>
      </c>
      <c r="L729" t="str">
        <f>PROPER(TRIM(sales_data!L729))</f>
        <v>Cash</v>
      </c>
      <c r="M729" t="str">
        <f>PROPER(TRIM(sales_data!M729))</f>
        <v>Retail</v>
      </c>
      <c r="N729">
        <f t="shared" si="45"/>
        <v>186.13999999999032</v>
      </c>
      <c r="O729">
        <f t="shared" si="46"/>
        <v>4653.4999999997581</v>
      </c>
      <c r="P729" t="str">
        <f t="shared" si="47"/>
        <v>Aug</v>
      </c>
    </row>
    <row r="730" spans="1:16" x14ac:dyDescent="0.25">
      <c r="A730">
        <v>1099</v>
      </c>
      <c r="B730" s="1">
        <v>44971</v>
      </c>
      <c r="C730">
        <f t="shared" si="44"/>
        <v>61103.705600000001</v>
      </c>
      <c r="D730">
        <v>32</v>
      </c>
      <c r="E730">
        <v>1517.86</v>
      </c>
      <c r="F730">
        <v>1948.46</v>
      </c>
      <c r="G730">
        <v>0.02</v>
      </c>
      <c r="H730" t="str">
        <f>PROPER(TRIM(sales_data!C730))</f>
        <v>David</v>
      </c>
      <c r="I730" t="str">
        <f>PROPER(TRIM(sales_data!D730))</f>
        <v>South</v>
      </c>
      <c r="J730" t="str">
        <f>PROPER(TRIM(sales_data!G730))</f>
        <v>Clothing</v>
      </c>
      <c r="K730" t="str">
        <f>PROPER(TRIM(sales_data!J730))</f>
        <v>New</v>
      </c>
      <c r="L730" t="str">
        <f>PROPER(TRIM(sales_data!L730))</f>
        <v>Credit Card</v>
      </c>
      <c r="M730" t="str">
        <f>PROPER(TRIM(sales_data!M730))</f>
        <v>Online</v>
      </c>
      <c r="N730">
        <f t="shared" si="45"/>
        <v>430.60000000000014</v>
      </c>
      <c r="O730">
        <f t="shared" si="46"/>
        <v>13779.200000000004</v>
      </c>
      <c r="P730" t="str">
        <f t="shared" si="47"/>
        <v>Feb</v>
      </c>
    </row>
    <row r="731" spans="1:16" x14ac:dyDescent="0.25">
      <c r="A731">
        <v>1019</v>
      </c>
      <c r="B731" s="1">
        <v>45240</v>
      </c>
      <c r="C731">
        <f t="shared" si="44"/>
        <v>40219.007400000002</v>
      </c>
      <c r="D731">
        <v>33</v>
      </c>
      <c r="E731">
        <v>1362.31</v>
      </c>
      <c r="F731">
        <v>1486.29</v>
      </c>
      <c r="G731">
        <v>0.18</v>
      </c>
      <c r="H731" t="str">
        <f>PROPER(TRIM(sales_data!C731))</f>
        <v>Bob</v>
      </c>
      <c r="I731" t="str">
        <f>PROPER(TRIM(sales_data!D731))</f>
        <v>East</v>
      </c>
      <c r="J731" t="str">
        <f>PROPER(TRIM(sales_data!G731))</f>
        <v>Furniture</v>
      </c>
      <c r="K731" t="str">
        <f>PROPER(TRIM(sales_data!J731))</f>
        <v>Returning</v>
      </c>
      <c r="L731" t="str">
        <f>PROPER(TRIM(sales_data!L731))</f>
        <v>Credit Card</v>
      </c>
      <c r="M731" t="str">
        <f>PROPER(TRIM(sales_data!M731))</f>
        <v>Retail</v>
      </c>
      <c r="N731">
        <f t="shared" si="45"/>
        <v>123.98000000000002</v>
      </c>
      <c r="O731">
        <f t="shared" si="46"/>
        <v>4091.3400000000006</v>
      </c>
      <c r="P731" t="str">
        <f t="shared" si="47"/>
        <v>Nov</v>
      </c>
    </row>
    <row r="732" spans="1:16" x14ac:dyDescent="0.25">
      <c r="A732">
        <v>1020</v>
      </c>
      <c r="B732" s="1">
        <v>45175</v>
      </c>
      <c r="C732">
        <f t="shared" si="44"/>
        <v>90314.752499999609</v>
      </c>
      <c r="D732">
        <v>45</v>
      </c>
      <c r="E732">
        <v>2188.4499999999998</v>
      </c>
      <c r="F732">
        <v>2255.0499999999902</v>
      </c>
      <c r="G732">
        <v>0.11</v>
      </c>
      <c r="H732" t="str">
        <f>PROPER(TRIM(sales_data!C732))</f>
        <v>Bob</v>
      </c>
      <c r="I732" t="str">
        <f>PROPER(TRIM(sales_data!D732))</f>
        <v>East</v>
      </c>
      <c r="J732" t="str">
        <f>PROPER(TRIM(sales_data!G732))</f>
        <v>Clothing</v>
      </c>
      <c r="K732" t="str">
        <f>PROPER(TRIM(sales_data!J732))</f>
        <v>New</v>
      </c>
      <c r="L732" t="str">
        <f>PROPER(TRIM(sales_data!L732))</f>
        <v>Bank Transfer</v>
      </c>
      <c r="M732" t="str">
        <f>PROPER(TRIM(sales_data!M732))</f>
        <v>Retail</v>
      </c>
      <c r="N732">
        <f t="shared" si="45"/>
        <v>66.599999999990359</v>
      </c>
      <c r="O732">
        <f t="shared" si="46"/>
        <v>2996.9999999995662</v>
      </c>
      <c r="P732" t="str">
        <f t="shared" si="47"/>
        <v>Sep</v>
      </c>
    </row>
    <row r="733" spans="1:16" x14ac:dyDescent="0.25">
      <c r="A733">
        <v>1057</v>
      </c>
      <c r="B733" s="1">
        <v>44957</v>
      </c>
      <c r="C733">
        <f t="shared" si="44"/>
        <v>141316.86239999998</v>
      </c>
      <c r="D733">
        <v>36</v>
      </c>
      <c r="E733">
        <v>4995.3</v>
      </c>
      <c r="F733">
        <v>5165.09</v>
      </c>
      <c r="G733">
        <v>0.24</v>
      </c>
      <c r="H733" t="str">
        <f>PROPER(TRIM(sales_data!C733))</f>
        <v>Charlie</v>
      </c>
      <c r="I733" t="str">
        <f>PROPER(TRIM(sales_data!D733))</f>
        <v>North</v>
      </c>
      <c r="J733" t="str">
        <f>PROPER(TRIM(sales_data!G733))</f>
        <v>Food</v>
      </c>
      <c r="K733" t="str">
        <f>PROPER(TRIM(sales_data!J733))</f>
        <v>Returning</v>
      </c>
      <c r="L733" t="str">
        <f>PROPER(TRIM(sales_data!L733))</f>
        <v>Cash</v>
      </c>
      <c r="M733" t="str">
        <f>PROPER(TRIM(sales_data!M733))</f>
        <v>Online</v>
      </c>
      <c r="N733">
        <f t="shared" si="45"/>
        <v>169.78999999999996</v>
      </c>
      <c r="O733">
        <f t="shared" si="46"/>
        <v>6112.4399999999987</v>
      </c>
      <c r="P733" t="str">
        <f t="shared" si="47"/>
        <v>Jan</v>
      </c>
    </row>
    <row r="734" spans="1:16" x14ac:dyDescent="0.25">
      <c r="A734">
        <v>1018</v>
      </c>
      <c r="B734" s="1">
        <v>44949</v>
      </c>
      <c r="C734">
        <f t="shared" si="44"/>
        <v>18627.723999999853</v>
      </c>
      <c r="D734">
        <v>20</v>
      </c>
      <c r="E734">
        <v>1140.6199999999999</v>
      </c>
      <c r="F734">
        <v>1258.6299999999901</v>
      </c>
      <c r="G734">
        <v>0.26</v>
      </c>
      <c r="H734" t="str">
        <f>PROPER(TRIM(sales_data!C734))</f>
        <v>David</v>
      </c>
      <c r="I734" t="str">
        <f>PROPER(TRIM(sales_data!D734))</f>
        <v>North</v>
      </c>
      <c r="J734" t="str">
        <f>PROPER(TRIM(sales_data!G734))</f>
        <v>Furniture</v>
      </c>
      <c r="K734" t="str">
        <f>PROPER(TRIM(sales_data!J734))</f>
        <v>Returning</v>
      </c>
      <c r="L734" t="str">
        <f>PROPER(TRIM(sales_data!L734))</f>
        <v>Bank Transfer</v>
      </c>
      <c r="M734" t="str">
        <f>PROPER(TRIM(sales_data!M734))</f>
        <v>Online</v>
      </c>
      <c r="N734">
        <f t="shared" si="45"/>
        <v>118.00999999999021</v>
      </c>
      <c r="O734">
        <f t="shared" si="46"/>
        <v>2360.1999999998043</v>
      </c>
      <c r="P734" t="str">
        <f t="shared" si="47"/>
        <v>Jan</v>
      </c>
    </row>
    <row r="735" spans="1:16" x14ac:dyDescent="0.25">
      <c r="A735">
        <v>1047</v>
      </c>
      <c r="B735" s="1">
        <v>45086</v>
      </c>
      <c r="C735">
        <f t="shared" si="44"/>
        <v>13643.809199999998</v>
      </c>
      <c r="D735">
        <v>18</v>
      </c>
      <c r="E735">
        <v>560.91999999999996</v>
      </c>
      <c r="F735">
        <v>1024.31</v>
      </c>
      <c r="G735">
        <v>0.26</v>
      </c>
      <c r="H735" t="str">
        <f>PROPER(TRIM(sales_data!C735))</f>
        <v>David</v>
      </c>
      <c r="I735" t="str">
        <f>PROPER(TRIM(sales_data!D735))</f>
        <v>East</v>
      </c>
      <c r="J735" t="str">
        <f>PROPER(TRIM(sales_data!G735))</f>
        <v>Clothing</v>
      </c>
      <c r="K735" t="str">
        <f>PROPER(TRIM(sales_data!J735))</f>
        <v>Returning</v>
      </c>
      <c r="L735" t="str">
        <f>PROPER(TRIM(sales_data!L735))</f>
        <v>Cash</v>
      </c>
      <c r="M735" t="str">
        <f>PROPER(TRIM(sales_data!M735))</f>
        <v>Online</v>
      </c>
      <c r="N735">
        <f t="shared" si="45"/>
        <v>463.39</v>
      </c>
      <c r="O735">
        <f t="shared" si="46"/>
        <v>8341.02</v>
      </c>
      <c r="P735" t="str">
        <f t="shared" si="47"/>
        <v>Jun</v>
      </c>
    </row>
    <row r="736" spans="1:16" x14ac:dyDescent="0.25">
      <c r="A736">
        <v>1049</v>
      </c>
      <c r="B736" s="1">
        <v>45289</v>
      </c>
      <c r="C736">
        <f t="shared" si="44"/>
        <v>98934.497199999998</v>
      </c>
      <c r="D736">
        <v>38</v>
      </c>
      <c r="E736">
        <v>2945.92</v>
      </c>
      <c r="F736">
        <v>3381.22</v>
      </c>
      <c r="G736">
        <v>0.23</v>
      </c>
      <c r="H736" t="str">
        <f>PROPER(TRIM(sales_data!C736))</f>
        <v>Charlie</v>
      </c>
      <c r="I736" t="str">
        <f>PROPER(TRIM(sales_data!D736))</f>
        <v>South</v>
      </c>
      <c r="J736" t="str">
        <f>PROPER(TRIM(sales_data!G736))</f>
        <v>Food</v>
      </c>
      <c r="K736" t="str">
        <f>PROPER(TRIM(sales_data!J736))</f>
        <v>Returning</v>
      </c>
      <c r="L736" t="str">
        <f>PROPER(TRIM(sales_data!L736))</f>
        <v>Cash</v>
      </c>
      <c r="M736" t="str">
        <f>PROPER(TRIM(sales_data!M736))</f>
        <v>Retail</v>
      </c>
      <c r="N736">
        <f t="shared" si="45"/>
        <v>435.29999999999973</v>
      </c>
      <c r="O736">
        <f t="shared" si="46"/>
        <v>16541.399999999991</v>
      </c>
      <c r="P736" t="str">
        <f t="shared" si="47"/>
        <v>Dec</v>
      </c>
    </row>
    <row r="737" spans="1:16" x14ac:dyDescent="0.25">
      <c r="A737">
        <v>1014</v>
      </c>
      <c r="B737" s="1">
        <v>45084</v>
      </c>
      <c r="C737">
        <f t="shared" si="44"/>
        <v>7515.8388000000004</v>
      </c>
      <c r="D737">
        <v>3</v>
      </c>
      <c r="E737">
        <v>2468.29</v>
      </c>
      <c r="F737">
        <v>2723.13</v>
      </c>
      <c r="G737">
        <v>0.08</v>
      </c>
      <c r="H737" t="str">
        <f>PROPER(TRIM(sales_data!C737))</f>
        <v>Alice</v>
      </c>
      <c r="I737" t="str">
        <f>PROPER(TRIM(sales_data!D737))</f>
        <v>North</v>
      </c>
      <c r="J737" t="str">
        <f>PROPER(TRIM(sales_data!G737))</f>
        <v>Electronics</v>
      </c>
      <c r="K737" t="str">
        <f>PROPER(TRIM(sales_data!J737))</f>
        <v>Returning</v>
      </c>
      <c r="L737" t="str">
        <f>PROPER(TRIM(sales_data!L737))</f>
        <v>Cash</v>
      </c>
      <c r="M737" t="str">
        <f>PROPER(TRIM(sales_data!M737))</f>
        <v>Retail</v>
      </c>
      <c r="N737">
        <f t="shared" si="45"/>
        <v>254.84000000000015</v>
      </c>
      <c r="O737">
        <f t="shared" si="46"/>
        <v>764.52000000000044</v>
      </c>
      <c r="P737" t="str">
        <f t="shared" si="47"/>
        <v>Jun</v>
      </c>
    </row>
    <row r="738" spans="1:16" x14ac:dyDescent="0.25">
      <c r="A738">
        <v>1015</v>
      </c>
      <c r="B738" s="1">
        <v>44965</v>
      </c>
      <c r="C738">
        <f t="shared" si="44"/>
        <v>46930.828399999999</v>
      </c>
      <c r="D738">
        <v>23</v>
      </c>
      <c r="E738">
        <v>2644.77</v>
      </c>
      <c r="F738">
        <v>2684.83</v>
      </c>
      <c r="G738">
        <v>0.24</v>
      </c>
      <c r="H738" t="str">
        <f>PROPER(TRIM(sales_data!C738))</f>
        <v>Charlie</v>
      </c>
      <c r="I738" t="str">
        <f>PROPER(TRIM(sales_data!D738))</f>
        <v>East</v>
      </c>
      <c r="J738" t="str">
        <f>PROPER(TRIM(sales_data!G738))</f>
        <v>Electronics</v>
      </c>
      <c r="K738" t="str">
        <f>PROPER(TRIM(sales_data!J738))</f>
        <v>New</v>
      </c>
      <c r="L738" t="str">
        <f>PROPER(TRIM(sales_data!L738))</f>
        <v>Cash</v>
      </c>
      <c r="M738" t="str">
        <f>PROPER(TRIM(sales_data!M738))</f>
        <v>Online</v>
      </c>
      <c r="N738">
        <f t="shared" si="45"/>
        <v>40.059999999999945</v>
      </c>
      <c r="O738">
        <f t="shared" si="46"/>
        <v>921.37999999999874</v>
      </c>
      <c r="P738" t="str">
        <f t="shared" si="47"/>
        <v>Feb</v>
      </c>
    </row>
    <row r="739" spans="1:16" x14ac:dyDescent="0.25">
      <c r="A739">
        <v>1031</v>
      </c>
      <c r="B739" s="1">
        <v>45008</v>
      </c>
      <c r="C739">
        <f t="shared" si="44"/>
        <v>99764.313599999994</v>
      </c>
      <c r="D739">
        <v>32</v>
      </c>
      <c r="E739">
        <v>3351.33</v>
      </c>
      <c r="F739">
        <v>3711.47</v>
      </c>
      <c r="G739">
        <v>0.16</v>
      </c>
      <c r="H739" t="str">
        <f>PROPER(TRIM(sales_data!C739))</f>
        <v>Eve</v>
      </c>
      <c r="I739" t="str">
        <f>PROPER(TRIM(sales_data!D739))</f>
        <v>East</v>
      </c>
      <c r="J739" t="str">
        <f>PROPER(TRIM(sales_data!G739))</f>
        <v>Clothing</v>
      </c>
      <c r="K739" t="str">
        <f>PROPER(TRIM(sales_data!J739))</f>
        <v>New</v>
      </c>
      <c r="L739" t="str">
        <f>PROPER(TRIM(sales_data!L739))</f>
        <v>Cash</v>
      </c>
      <c r="M739" t="str">
        <f>PROPER(TRIM(sales_data!M739))</f>
        <v>Retail</v>
      </c>
      <c r="N739">
        <f t="shared" si="45"/>
        <v>360.13999999999987</v>
      </c>
      <c r="O739">
        <f t="shared" si="46"/>
        <v>11524.479999999996</v>
      </c>
      <c r="P739" t="str">
        <f t="shared" si="47"/>
        <v>Mar</v>
      </c>
    </row>
    <row r="740" spans="1:16" x14ac:dyDescent="0.25">
      <c r="A740">
        <v>1001</v>
      </c>
      <c r="B740" s="1">
        <v>45282</v>
      </c>
      <c r="C740">
        <f t="shared" si="44"/>
        <v>74433.302999999985</v>
      </c>
      <c r="D740">
        <v>45</v>
      </c>
      <c r="E740">
        <v>1372.36</v>
      </c>
      <c r="F740">
        <v>1687.83</v>
      </c>
      <c r="G740">
        <v>0.02</v>
      </c>
      <c r="H740" t="str">
        <f>PROPER(TRIM(sales_data!C740))</f>
        <v>David</v>
      </c>
      <c r="I740" t="str">
        <f>PROPER(TRIM(sales_data!D740))</f>
        <v>West</v>
      </c>
      <c r="J740" t="str">
        <f>PROPER(TRIM(sales_data!G740))</f>
        <v>Clothing</v>
      </c>
      <c r="K740" t="str">
        <f>PROPER(TRIM(sales_data!J740))</f>
        <v>New</v>
      </c>
      <c r="L740" t="str">
        <f>PROPER(TRIM(sales_data!L740))</f>
        <v>Credit Card</v>
      </c>
      <c r="M740" t="str">
        <f>PROPER(TRIM(sales_data!M740))</f>
        <v>Online</v>
      </c>
      <c r="N740">
        <f t="shared" si="45"/>
        <v>315.47000000000003</v>
      </c>
      <c r="O740">
        <f t="shared" si="46"/>
        <v>14196.150000000001</v>
      </c>
      <c r="P740" t="str">
        <f t="shared" si="47"/>
        <v>Dec</v>
      </c>
    </row>
    <row r="741" spans="1:16" x14ac:dyDescent="0.25">
      <c r="A741">
        <v>1054</v>
      </c>
      <c r="B741" s="1">
        <v>45184</v>
      </c>
      <c r="C741">
        <f t="shared" si="44"/>
        <v>69396.633600000001</v>
      </c>
      <c r="D741">
        <v>16</v>
      </c>
      <c r="E741">
        <v>4557.79</v>
      </c>
      <c r="F741">
        <v>5043.3599999999997</v>
      </c>
      <c r="G741">
        <v>0.14000000000000001</v>
      </c>
      <c r="H741" t="str">
        <f>PROPER(TRIM(sales_data!C741))</f>
        <v>Bob</v>
      </c>
      <c r="I741" t="str">
        <f>PROPER(TRIM(sales_data!D741))</f>
        <v>South</v>
      </c>
      <c r="J741" t="str">
        <f>PROPER(TRIM(sales_data!G741))</f>
        <v>Electronics</v>
      </c>
      <c r="K741" t="str">
        <f>PROPER(TRIM(sales_data!J741))</f>
        <v>Returning</v>
      </c>
      <c r="L741" t="str">
        <f>PROPER(TRIM(sales_data!L741))</f>
        <v>Credit Card</v>
      </c>
      <c r="M741" t="str">
        <f>PROPER(TRIM(sales_data!M741))</f>
        <v>Retail</v>
      </c>
      <c r="N741">
        <f t="shared" si="45"/>
        <v>485.56999999999971</v>
      </c>
      <c r="O741">
        <f t="shared" si="46"/>
        <v>7769.1199999999953</v>
      </c>
      <c r="P741" t="str">
        <f t="shared" si="47"/>
        <v>Sep</v>
      </c>
    </row>
    <row r="742" spans="1:16" x14ac:dyDescent="0.25">
      <c r="A742">
        <v>1003</v>
      </c>
      <c r="B742" s="1">
        <v>45132</v>
      </c>
      <c r="C742">
        <f t="shared" si="44"/>
        <v>8965.6919999999991</v>
      </c>
      <c r="D742">
        <v>5</v>
      </c>
      <c r="E742">
        <v>2206.58</v>
      </c>
      <c r="F742">
        <v>2490.4699999999998</v>
      </c>
      <c r="G742">
        <v>0.28000000000000003</v>
      </c>
      <c r="H742" t="str">
        <f>PROPER(TRIM(sales_data!C742))</f>
        <v>Eve</v>
      </c>
      <c r="I742" t="str">
        <f>PROPER(TRIM(sales_data!D742))</f>
        <v>West</v>
      </c>
      <c r="J742" t="str">
        <f>PROPER(TRIM(sales_data!G742))</f>
        <v>Food</v>
      </c>
      <c r="K742" t="str">
        <f>PROPER(TRIM(sales_data!J742))</f>
        <v>New</v>
      </c>
      <c r="L742" t="str">
        <f>PROPER(TRIM(sales_data!L742))</f>
        <v>Cash</v>
      </c>
      <c r="M742" t="str">
        <f>PROPER(TRIM(sales_data!M742))</f>
        <v>Online</v>
      </c>
      <c r="N742">
        <f t="shared" si="45"/>
        <v>283.88999999999987</v>
      </c>
      <c r="O742">
        <f t="shared" si="46"/>
        <v>1419.4499999999994</v>
      </c>
      <c r="P742" t="str">
        <f t="shared" si="47"/>
        <v>Jul</v>
      </c>
    </row>
    <row r="743" spans="1:16" x14ac:dyDescent="0.25">
      <c r="A743">
        <v>1016</v>
      </c>
      <c r="B743" s="1">
        <v>45003</v>
      </c>
      <c r="C743">
        <f t="shared" si="44"/>
        <v>2522.3251999999998</v>
      </c>
      <c r="D743">
        <v>4</v>
      </c>
      <c r="E743">
        <v>688.98</v>
      </c>
      <c r="F743">
        <v>863.81</v>
      </c>
      <c r="G743">
        <v>0.27</v>
      </c>
      <c r="H743" t="str">
        <f>PROPER(TRIM(sales_data!C743))</f>
        <v>David</v>
      </c>
      <c r="I743" t="str">
        <f>PROPER(TRIM(sales_data!D743))</f>
        <v>South</v>
      </c>
      <c r="J743" t="str">
        <f>PROPER(TRIM(sales_data!G743))</f>
        <v>Food</v>
      </c>
      <c r="K743" t="str">
        <f>PROPER(TRIM(sales_data!J743))</f>
        <v>New</v>
      </c>
      <c r="L743" t="str">
        <f>PROPER(TRIM(sales_data!L743))</f>
        <v>Credit Card</v>
      </c>
      <c r="M743" t="str">
        <f>PROPER(TRIM(sales_data!M743))</f>
        <v>Retail</v>
      </c>
      <c r="N743">
        <f t="shared" si="45"/>
        <v>174.82999999999993</v>
      </c>
      <c r="O743">
        <f t="shared" si="46"/>
        <v>699.31999999999971</v>
      </c>
      <c r="P743" t="str">
        <f t="shared" si="47"/>
        <v>Mar</v>
      </c>
    </row>
    <row r="744" spans="1:16" x14ac:dyDescent="0.25">
      <c r="A744">
        <v>1087</v>
      </c>
      <c r="B744" s="1">
        <v>44938</v>
      </c>
      <c r="C744">
        <f t="shared" si="44"/>
        <v>81249.818999999989</v>
      </c>
      <c r="D744">
        <v>21</v>
      </c>
      <c r="E744">
        <v>3724.38</v>
      </c>
      <c r="F744">
        <v>3988.7</v>
      </c>
      <c r="G744">
        <v>0.03</v>
      </c>
      <c r="H744" t="str">
        <f>PROPER(TRIM(sales_data!C744))</f>
        <v>Charlie</v>
      </c>
      <c r="I744" t="str">
        <f>PROPER(TRIM(sales_data!D744))</f>
        <v>North</v>
      </c>
      <c r="J744" t="str">
        <f>PROPER(TRIM(sales_data!G744))</f>
        <v>Food</v>
      </c>
      <c r="K744" t="str">
        <f>PROPER(TRIM(sales_data!J744))</f>
        <v>New</v>
      </c>
      <c r="L744" t="str">
        <f>PROPER(TRIM(sales_data!L744))</f>
        <v>Bank Transfer</v>
      </c>
      <c r="M744" t="str">
        <f>PROPER(TRIM(sales_data!M744))</f>
        <v>Retail</v>
      </c>
      <c r="N744">
        <f t="shared" si="45"/>
        <v>264.31999999999971</v>
      </c>
      <c r="O744">
        <f t="shared" si="46"/>
        <v>5550.7199999999939</v>
      </c>
      <c r="P744" t="str">
        <f t="shared" si="47"/>
        <v>Jan</v>
      </c>
    </row>
    <row r="745" spans="1:16" x14ac:dyDescent="0.25">
      <c r="A745">
        <v>1057</v>
      </c>
      <c r="B745" s="1">
        <v>45221</v>
      </c>
      <c r="C745">
        <f t="shared" si="44"/>
        <v>116164.152</v>
      </c>
      <c r="D745">
        <v>40</v>
      </c>
      <c r="E745">
        <v>3233.37</v>
      </c>
      <c r="F745">
        <v>3723.21</v>
      </c>
      <c r="G745">
        <v>0.22</v>
      </c>
      <c r="H745" t="str">
        <f>PROPER(TRIM(sales_data!C745))</f>
        <v>Eve</v>
      </c>
      <c r="I745" t="str">
        <f>PROPER(TRIM(sales_data!D745))</f>
        <v>South</v>
      </c>
      <c r="J745" t="str">
        <f>PROPER(TRIM(sales_data!G745))</f>
        <v>Clothing</v>
      </c>
      <c r="K745" t="str">
        <f>PROPER(TRIM(sales_data!J745))</f>
        <v>New</v>
      </c>
      <c r="L745" t="str">
        <f>PROPER(TRIM(sales_data!L745))</f>
        <v>Bank Transfer</v>
      </c>
      <c r="M745" t="str">
        <f>PROPER(TRIM(sales_data!M745))</f>
        <v>Retail</v>
      </c>
      <c r="N745">
        <f t="shared" si="45"/>
        <v>489.84000000000015</v>
      </c>
      <c r="O745">
        <f t="shared" si="46"/>
        <v>19593.600000000006</v>
      </c>
      <c r="P745" t="str">
        <f t="shared" si="47"/>
        <v>Oct</v>
      </c>
    </row>
    <row r="746" spans="1:16" x14ac:dyDescent="0.25">
      <c r="A746">
        <v>1075</v>
      </c>
      <c r="B746" s="1">
        <v>45150</v>
      </c>
      <c r="C746">
        <f t="shared" si="44"/>
        <v>20898.556</v>
      </c>
      <c r="D746">
        <v>14</v>
      </c>
      <c r="E746">
        <v>1612.93</v>
      </c>
      <c r="F746">
        <v>1964.15</v>
      </c>
      <c r="G746">
        <v>0.24</v>
      </c>
      <c r="H746" t="str">
        <f>PROPER(TRIM(sales_data!C746))</f>
        <v>David</v>
      </c>
      <c r="I746" t="str">
        <f>PROPER(TRIM(sales_data!D746))</f>
        <v>East</v>
      </c>
      <c r="J746" t="str">
        <f>PROPER(TRIM(sales_data!G746))</f>
        <v>Furniture</v>
      </c>
      <c r="K746" t="str">
        <f>PROPER(TRIM(sales_data!J746))</f>
        <v>Returning</v>
      </c>
      <c r="L746" t="str">
        <f>PROPER(TRIM(sales_data!L746))</f>
        <v>Bank Transfer</v>
      </c>
      <c r="M746" t="str">
        <f>PROPER(TRIM(sales_data!M746))</f>
        <v>Retail</v>
      </c>
      <c r="N746">
        <f t="shared" si="45"/>
        <v>351.22</v>
      </c>
      <c r="O746">
        <f t="shared" si="46"/>
        <v>4917.08</v>
      </c>
      <c r="P746" t="str">
        <f t="shared" si="47"/>
        <v>Aug</v>
      </c>
    </row>
    <row r="747" spans="1:16" x14ac:dyDescent="0.25">
      <c r="A747">
        <v>1012</v>
      </c>
      <c r="B747" s="1">
        <v>44939</v>
      </c>
      <c r="C747">
        <f t="shared" si="44"/>
        <v>124352.54520000001</v>
      </c>
      <c r="D747">
        <v>39</v>
      </c>
      <c r="E747">
        <v>3126.52</v>
      </c>
      <c r="F747">
        <v>3465.79</v>
      </c>
      <c r="G747">
        <v>0.08</v>
      </c>
      <c r="H747" t="str">
        <f>PROPER(TRIM(sales_data!C747))</f>
        <v>Alice</v>
      </c>
      <c r="I747" t="str">
        <f>PROPER(TRIM(sales_data!D747))</f>
        <v>East</v>
      </c>
      <c r="J747" t="str">
        <f>PROPER(TRIM(sales_data!G747))</f>
        <v>Furniture</v>
      </c>
      <c r="K747" t="str">
        <f>PROPER(TRIM(sales_data!J747))</f>
        <v>New</v>
      </c>
      <c r="L747" t="str">
        <f>PROPER(TRIM(sales_data!L747))</f>
        <v>Cash</v>
      </c>
      <c r="M747" t="str">
        <f>PROPER(TRIM(sales_data!M747))</f>
        <v>Online</v>
      </c>
      <c r="N747">
        <f t="shared" si="45"/>
        <v>339.27</v>
      </c>
      <c r="O747">
        <f t="shared" si="46"/>
        <v>13231.529999999999</v>
      </c>
      <c r="P747" t="str">
        <f t="shared" si="47"/>
        <v>Jan</v>
      </c>
    </row>
    <row r="748" spans="1:16" x14ac:dyDescent="0.25">
      <c r="A748">
        <v>1074</v>
      </c>
      <c r="B748" s="1">
        <v>44972</v>
      </c>
      <c r="C748">
        <f t="shared" si="44"/>
        <v>33758.224999999999</v>
      </c>
      <c r="D748">
        <v>31</v>
      </c>
      <c r="E748">
        <v>1138.32</v>
      </c>
      <c r="F748">
        <v>1266.25</v>
      </c>
      <c r="G748">
        <v>0.14000000000000001</v>
      </c>
      <c r="H748" t="str">
        <f>PROPER(TRIM(sales_data!C748))</f>
        <v>Alice</v>
      </c>
      <c r="I748" t="str">
        <f>PROPER(TRIM(sales_data!D748))</f>
        <v>South</v>
      </c>
      <c r="J748" t="str">
        <f>PROPER(TRIM(sales_data!G748))</f>
        <v>Furniture</v>
      </c>
      <c r="K748" t="str">
        <f>PROPER(TRIM(sales_data!J748))</f>
        <v>Returning</v>
      </c>
      <c r="L748" t="str">
        <f>PROPER(TRIM(sales_data!L748))</f>
        <v>Cash</v>
      </c>
      <c r="M748" t="str">
        <f>PROPER(TRIM(sales_data!M748))</f>
        <v>Retail</v>
      </c>
      <c r="N748">
        <f t="shared" si="45"/>
        <v>127.93000000000006</v>
      </c>
      <c r="O748">
        <f t="shared" si="46"/>
        <v>3965.8300000000017</v>
      </c>
      <c r="P748" t="str">
        <f t="shared" si="47"/>
        <v>Feb</v>
      </c>
    </row>
    <row r="749" spans="1:16" x14ac:dyDescent="0.25">
      <c r="A749">
        <v>1096</v>
      </c>
      <c r="B749" s="1">
        <v>45081</v>
      </c>
      <c r="C749">
        <f t="shared" si="44"/>
        <v>29047.099199999895</v>
      </c>
      <c r="D749">
        <v>14</v>
      </c>
      <c r="E749">
        <v>2251.9499999999998</v>
      </c>
      <c r="F749">
        <v>2626.3199999999902</v>
      </c>
      <c r="G749">
        <v>0.21</v>
      </c>
      <c r="H749" t="str">
        <f>PROPER(TRIM(sales_data!C749))</f>
        <v>Bob</v>
      </c>
      <c r="I749" t="str">
        <f>PROPER(TRIM(sales_data!D749))</f>
        <v>South</v>
      </c>
      <c r="J749" t="str">
        <f>PROPER(TRIM(sales_data!G749))</f>
        <v>Furniture</v>
      </c>
      <c r="K749" t="str">
        <f>PROPER(TRIM(sales_data!J749))</f>
        <v>Returning</v>
      </c>
      <c r="L749" t="str">
        <f>PROPER(TRIM(sales_data!L749))</f>
        <v>Credit Card</v>
      </c>
      <c r="M749" t="str">
        <f>PROPER(TRIM(sales_data!M749))</f>
        <v>Online</v>
      </c>
      <c r="N749">
        <f t="shared" si="45"/>
        <v>374.36999999999034</v>
      </c>
      <c r="O749">
        <f t="shared" si="46"/>
        <v>5241.1799999998648</v>
      </c>
      <c r="P749" t="str">
        <f t="shared" si="47"/>
        <v>Jun</v>
      </c>
    </row>
    <row r="750" spans="1:16" x14ac:dyDescent="0.25">
      <c r="A750">
        <v>1016</v>
      </c>
      <c r="B750" s="1">
        <v>45039</v>
      </c>
      <c r="C750">
        <f t="shared" si="44"/>
        <v>25472.1384</v>
      </c>
      <c r="D750">
        <v>6</v>
      </c>
      <c r="E750">
        <v>4502.09</v>
      </c>
      <c r="F750">
        <v>4879.72</v>
      </c>
      <c r="G750">
        <v>0.13</v>
      </c>
      <c r="H750" t="str">
        <f>PROPER(TRIM(sales_data!C750))</f>
        <v>David</v>
      </c>
      <c r="I750" t="str">
        <f>PROPER(TRIM(sales_data!D750))</f>
        <v>South</v>
      </c>
      <c r="J750" t="str">
        <f>PROPER(TRIM(sales_data!G750))</f>
        <v>Furniture</v>
      </c>
      <c r="K750" t="str">
        <f>PROPER(TRIM(sales_data!J750))</f>
        <v>New</v>
      </c>
      <c r="L750" t="str">
        <f>PROPER(TRIM(sales_data!L750))</f>
        <v>Credit Card</v>
      </c>
      <c r="M750" t="str">
        <f>PROPER(TRIM(sales_data!M750))</f>
        <v>Online</v>
      </c>
      <c r="N750">
        <f t="shared" si="45"/>
        <v>377.63000000000011</v>
      </c>
      <c r="O750">
        <f t="shared" si="46"/>
        <v>2265.7800000000007</v>
      </c>
      <c r="P750" t="str">
        <f t="shared" si="47"/>
        <v>Apr</v>
      </c>
    </row>
    <row r="751" spans="1:16" x14ac:dyDescent="0.25">
      <c r="A751">
        <v>1072</v>
      </c>
      <c r="B751" s="1">
        <v>45159</v>
      </c>
      <c r="C751">
        <f t="shared" si="44"/>
        <v>10201.9944</v>
      </c>
      <c r="D751">
        <v>12</v>
      </c>
      <c r="E751">
        <v>710.99</v>
      </c>
      <c r="F751">
        <v>876.46</v>
      </c>
      <c r="G751">
        <v>0.03</v>
      </c>
      <c r="H751" t="str">
        <f>PROPER(TRIM(sales_data!C751))</f>
        <v>Alice</v>
      </c>
      <c r="I751" t="str">
        <f>PROPER(TRIM(sales_data!D751))</f>
        <v>West</v>
      </c>
      <c r="J751" t="str">
        <f>PROPER(TRIM(sales_data!G751))</f>
        <v>Clothing</v>
      </c>
      <c r="K751" t="str">
        <f>PROPER(TRIM(sales_data!J751))</f>
        <v>Returning</v>
      </c>
      <c r="L751" t="str">
        <f>PROPER(TRIM(sales_data!L751))</f>
        <v>Credit Card</v>
      </c>
      <c r="M751" t="str">
        <f>PROPER(TRIM(sales_data!M751))</f>
        <v>Online</v>
      </c>
      <c r="N751">
        <f t="shared" si="45"/>
        <v>165.47000000000003</v>
      </c>
      <c r="O751">
        <f t="shared" si="46"/>
        <v>1985.6400000000003</v>
      </c>
      <c r="P751" t="str">
        <f t="shared" si="47"/>
        <v>Aug</v>
      </c>
    </row>
    <row r="752" spans="1:16" x14ac:dyDescent="0.25">
      <c r="A752">
        <v>1076</v>
      </c>
      <c r="B752" s="1">
        <v>44943</v>
      </c>
      <c r="C752">
        <f t="shared" si="44"/>
        <v>27949.188800000004</v>
      </c>
      <c r="D752">
        <v>16</v>
      </c>
      <c r="E752">
        <v>1964.15</v>
      </c>
      <c r="F752">
        <v>2211.17</v>
      </c>
      <c r="G752">
        <v>0.21</v>
      </c>
      <c r="H752" t="str">
        <f>PROPER(TRIM(sales_data!C752))</f>
        <v>Charlie</v>
      </c>
      <c r="I752" t="str">
        <f>PROPER(TRIM(sales_data!D752))</f>
        <v>South</v>
      </c>
      <c r="J752" t="str">
        <f>PROPER(TRIM(sales_data!G752))</f>
        <v>Clothing</v>
      </c>
      <c r="K752" t="str">
        <f>PROPER(TRIM(sales_data!J752))</f>
        <v>Returning</v>
      </c>
      <c r="L752" t="str">
        <f>PROPER(TRIM(sales_data!L752))</f>
        <v>Bank Transfer</v>
      </c>
      <c r="M752" t="str">
        <f>PROPER(TRIM(sales_data!M752))</f>
        <v>Online</v>
      </c>
      <c r="N752">
        <f t="shared" si="45"/>
        <v>247.01999999999998</v>
      </c>
      <c r="O752">
        <f t="shared" si="46"/>
        <v>3952.3199999999997</v>
      </c>
      <c r="P752" t="str">
        <f t="shared" si="47"/>
        <v>Jan</v>
      </c>
    </row>
    <row r="753" spans="1:16" x14ac:dyDescent="0.25">
      <c r="A753">
        <v>1024</v>
      </c>
      <c r="B753" s="1">
        <v>45286</v>
      </c>
      <c r="C753">
        <f t="shared" si="44"/>
        <v>52978.538199999879</v>
      </c>
      <c r="D753">
        <v>17</v>
      </c>
      <c r="E753">
        <v>4114.66</v>
      </c>
      <c r="F753">
        <v>4269.0199999999904</v>
      </c>
      <c r="G753">
        <v>0.27</v>
      </c>
      <c r="H753" t="str">
        <f>PROPER(TRIM(sales_data!C753))</f>
        <v>David</v>
      </c>
      <c r="I753" t="str">
        <f>PROPER(TRIM(sales_data!D753))</f>
        <v>North</v>
      </c>
      <c r="J753" t="str">
        <f>PROPER(TRIM(sales_data!G753))</f>
        <v>Furniture</v>
      </c>
      <c r="K753" t="str">
        <f>PROPER(TRIM(sales_data!J753))</f>
        <v>Returning</v>
      </c>
      <c r="L753" t="str">
        <f>PROPER(TRIM(sales_data!L753))</f>
        <v>Bank Transfer</v>
      </c>
      <c r="M753" t="str">
        <f>PROPER(TRIM(sales_data!M753))</f>
        <v>Retail</v>
      </c>
      <c r="N753">
        <f t="shared" si="45"/>
        <v>154.35999999999058</v>
      </c>
      <c r="O753">
        <f t="shared" si="46"/>
        <v>2624.1199999998398</v>
      </c>
      <c r="P753" t="str">
        <f t="shared" si="47"/>
        <v>Dec</v>
      </c>
    </row>
    <row r="754" spans="1:16" x14ac:dyDescent="0.25">
      <c r="A754">
        <v>1028</v>
      </c>
      <c r="B754" s="1">
        <v>45149</v>
      </c>
      <c r="C754">
        <f t="shared" si="44"/>
        <v>179487</v>
      </c>
      <c r="D754">
        <v>45</v>
      </c>
      <c r="E754">
        <v>4848.9799999999996</v>
      </c>
      <c r="F754">
        <v>4985.75</v>
      </c>
      <c r="G754">
        <v>0.2</v>
      </c>
      <c r="H754" t="str">
        <f>PROPER(TRIM(sales_data!C754))</f>
        <v>Charlie</v>
      </c>
      <c r="I754" t="str">
        <f>PROPER(TRIM(sales_data!D754))</f>
        <v>West</v>
      </c>
      <c r="J754" t="str">
        <f>PROPER(TRIM(sales_data!G754))</f>
        <v>Clothing</v>
      </c>
      <c r="K754" t="str">
        <f>PROPER(TRIM(sales_data!J754))</f>
        <v>Returning</v>
      </c>
      <c r="L754" t="str">
        <f>PROPER(TRIM(sales_data!L754))</f>
        <v>Bank Transfer</v>
      </c>
      <c r="M754" t="str">
        <f>PROPER(TRIM(sales_data!M754))</f>
        <v>Online</v>
      </c>
      <c r="N754">
        <f t="shared" si="45"/>
        <v>136.77000000000044</v>
      </c>
      <c r="O754">
        <f t="shared" si="46"/>
        <v>6154.6500000000196</v>
      </c>
      <c r="P754" t="str">
        <f t="shared" si="47"/>
        <v>Aug</v>
      </c>
    </row>
    <row r="755" spans="1:16" x14ac:dyDescent="0.25">
      <c r="A755">
        <v>1008</v>
      </c>
      <c r="B755" s="1">
        <v>45280</v>
      </c>
      <c r="C755">
        <f t="shared" si="44"/>
        <v>41080.470199999996</v>
      </c>
      <c r="D755">
        <v>23</v>
      </c>
      <c r="E755">
        <v>2296.9299999999998</v>
      </c>
      <c r="F755">
        <v>2319.62</v>
      </c>
      <c r="G755">
        <v>0.23</v>
      </c>
      <c r="H755" t="str">
        <f>PROPER(TRIM(sales_data!C755))</f>
        <v>Charlie</v>
      </c>
      <c r="I755" t="str">
        <f>PROPER(TRIM(sales_data!D755))</f>
        <v>West</v>
      </c>
      <c r="J755" t="str">
        <f>PROPER(TRIM(sales_data!G755))</f>
        <v>Clothing</v>
      </c>
      <c r="K755" t="str">
        <f>PROPER(TRIM(sales_data!J755))</f>
        <v>Returning</v>
      </c>
      <c r="L755" t="str">
        <f>PROPER(TRIM(sales_data!L755))</f>
        <v>Bank Transfer</v>
      </c>
      <c r="M755" t="str">
        <f>PROPER(TRIM(sales_data!M755))</f>
        <v>Retail</v>
      </c>
      <c r="N755">
        <f t="shared" si="45"/>
        <v>22.690000000000055</v>
      </c>
      <c r="O755">
        <f t="shared" si="46"/>
        <v>521.87000000000126</v>
      </c>
      <c r="P755" t="str">
        <f t="shared" si="47"/>
        <v>Dec</v>
      </c>
    </row>
    <row r="756" spans="1:16" x14ac:dyDescent="0.25">
      <c r="A756">
        <v>1092</v>
      </c>
      <c r="B756" s="1">
        <v>45114</v>
      </c>
      <c r="C756">
        <f t="shared" si="44"/>
        <v>33759.123999999996</v>
      </c>
      <c r="D756">
        <v>14</v>
      </c>
      <c r="E756">
        <v>2559.65</v>
      </c>
      <c r="F756">
        <v>2709.4</v>
      </c>
      <c r="G756">
        <v>0.11</v>
      </c>
      <c r="H756" t="str">
        <f>PROPER(TRIM(sales_data!C756))</f>
        <v>Alice</v>
      </c>
      <c r="I756" t="str">
        <f>PROPER(TRIM(sales_data!D756))</f>
        <v>South</v>
      </c>
      <c r="J756" t="str">
        <f>PROPER(TRIM(sales_data!G756))</f>
        <v>Furniture</v>
      </c>
      <c r="K756" t="str">
        <f>PROPER(TRIM(sales_data!J756))</f>
        <v>Returning</v>
      </c>
      <c r="L756" t="str">
        <f>PROPER(TRIM(sales_data!L756))</f>
        <v>Credit Card</v>
      </c>
      <c r="M756" t="str">
        <f>PROPER(TRIM(sales_data!M756))</f>
        <v>Retail</v>
      </c>
      <c r="N756">
        <f t="shared" si="45"/>
        <v>149.75</v>
      </c>
      <c r="O756">
        <f t="shared" si="46"/>
        <v>2096.5</v>
      </c>
      <c r="P756" t="str">
        <f t="shared" si="47"/>
        <v>Jul</v>
      </c>
    </row>
    <row r="757" spans="1:16" x14ac:dyDescent="0.25">
      <c r="A757">
        <v>1036</v>
      </c>
      <c r="B757" s="1">
        <v>45270</v>
      </c>
      <c r="C757">
        <f t="shared" si="44"/>
        <v>21038.604999999996</v>
      </c>
      <c r="D757">
        <v>7</v>
      </c>
      <c r="E757">
        <v>2882.25</v>
      </c>
      <c r="F757">
        <v>3163.7</v>
      </c>
      <c r="G757">
        <v>0.05</v>
      </c>
      <c r="H757" t="str">
        <f>PROPER(TRIM(sales_data!C757))</f>
        <v>David</v>
      </c>
      <c r="I757" t="str">
        <f>PROPER(TRIM(sales_data!D757))</f>
        <v>North</v>
      </c>
      <c r="J757" t="str">
        <f>PROPER(TRIM(sales_data!G757))</f>
        <v>Food</v>
      </c>
      <c r="K757" t="str">
        <f>PROPER(TRIM(sales_data!J757))</f>
        <v>Returning</v>
      </c>
      <c r="L757" t="str">
        <f>PROPER(TRIM(sales_data!L757))</f>
        <v>Cash</v>
      </c>
      <c r="M757" t="str">
        <f>PROPER(TRIM(sales_data!M757))</f>
        <v>Retail</v>
      </c>
      <c r="N757">
        <f t="shared" si="45"/>
        <v>281.44999999999982</v>
      </c>
      <c r="O757">
        <f t="shared" si="46"/>
        <v>1970.1499999999987</v>
      </c>
      <c r="P757" t="str">
        <f t="shared" si="47"/>
        <v>Dec</v>
      </c>
    </row>
    <row r="758" spans="1:16" x14ac:dyDescent="0.25">
      <c r="A758">
        <v>1090</v>
      </c>
      <c r="B758" s="1">
        <v>45291</v>
      </c>
      <c r="C758">
        <f t="shared" si="44"/>
        <v>174224.03400000001</v>
      </c>
      <c r="D758">
        <v>46</v>
      </c>
      <c r="E758">
        <v>4665.12</v>
      </c>
      <c r="F758">
        <v>4675.8999999999996</v>
      </c>
      <c r="G758">
        <v>0.19</v>
      </c>
      <c r="H758" t="str">
        <f>PROPER(TRIM(sales_data!C758))</f>
        <v>Eve</v>
      </c>
      <c r="I758" t="str">
        <f>PROPER(TRIM(sales_data!D758))</f>
        <v>West</v>
      </c>
      <c r="J758" t="str">
        <f>PROPER(TRIM(sales_data!G758))</f>
        <v>Clothing</v>
      </c>
      <c r="K758" t="str">
        <f>PROPER(TRIM(sales_data!J758))</f>
        <v>New</v>
      </c>
      <c r="L758" t="str">
        <f>PROPER(TRIM(sales_data!L758))</f>
        <v>Cash</v>
      </c>
      <c r="M758" t="str">
        <f>PROPER(TRIM(sales_data!M758))</f>
        <v>Retail</v>
      </c>
      <c r="N758">
        <f t="shared" si="45"/>
        <v>10.779999999999745</v>
      </c>
      <c r="O758">
        <f t="shared" si="46"/>
        <v>495.87999999998829</v>
      </c>
      <c r="P758" t="str">
        <f t="shared" si="47"/>
        <v>Dec</v>
      </c>
    </row>
    <row r="759" spans="1:16" x14ac:dyDescent="0.25">
      <c r="A759">
        <v>1008</v>
      </c>
      <c r="B759" s="1">
        <v>45089</v>
      </c>
      <c r="C759">
        <f t="shared" si="44"/>
        <v>128070.71999999999</v>
      </c>
      <c r="D759">
        <v>32</v>
      </c>
      <c r="E759">
        <v>4298.12</v>
      </c>
      <c r="F759">
        <v>4446.8999999999996</v>
      </c>
      <c r="G759">
        <v>0.1</v>
      </c>
      <c r="H759" t="str">
        <f>PROPER(TRIM(sales_data!C759))</f>
        <v>Alice</v>
      </c>
      <c r="I759" t="str">
        <f>PROPER(TRIM(sales_data!D759))</f>
        <v>East</v>
      </c>
      <c r="J759" t="str">
        <f>PROPER(TRIM(sales_data!G759))</f>
        <v>Food</v>
      </c>
      <c r="K759" t="str">
        <f>PROPER(TRIM(sales_data!J759))</f>
        <v>New</v>
      </c>
      <c r="L759" t="str">
        <f>PROPER(TRIM(sales_data!L759))</f>
        <v>Bank Transfer</v>
      </c>
      <c r="M759" t="str">
        <f>PROPER(TRIM(sales_data!M759))</f>
        <v>Online</v>
      </c>
      <c r="N759">
        <f t="shared" si="45"/>
        <v>148.77999999999975</v>
      </c>
      <c r="O759">
        <f t="shared" si="46"/>
        <v>4760.9599999999919</v>
      </c>
      <c r="P759" t="str">
        <f t="shared" si="47"/>
        <v>Jun</v>
      </c>
    </row>
    <row r="760" spans="1:16" x14ac:dyDescent="0.25">
      <c r="A760">
        <v>1058</v>
      </c>
      <c r="B760" s="1">
        <v>45252</v>
      </c>
      <c r="C760">
        <f t="shared" si="44"/>
        <v>14833.706999999999</v>
      </c>
      <c r="D760">
        <v>15</v>
      </c>
      <c r="E760">
        <v>894.48</v>
      </c>
      <c r="F760">
        <v>1336.37</v>
      </c>
      <c r="G760">
        <v>0.26</v>
      </c>
      <c r="H760" t="str">
        <f>PROPER(TRIM(sales_data!C760))</f>
        <v>Alice</v>
      </c>
      <c r="I760" t="str">
        <f>PROPER(TRIM(sales_data!D760))</f>
        <v>West</v>
      </c>
      <c r="J760" t="str">
        <f>PROPER(TRIM(sales_data!G760))</f>
        <v>Clothing</v>
      </c>
      <c r="K760" t="str">
        <f>PROPER(TRIM(sales_data!J760))</f>
        <v>Returning</v>
      </c>
      <c r="L760" t="str">
        <f>PROPER(TRIM(sales_data!L760))</f>
        <v>Cash</v>
      </c>
      <c r="M760" t="str">
        <f>PROPER(TRIM(sales_data!M760))</f>
        <v>Retail</v>
      </c>
      <c r="N760">
        <f t="shared" si="45"/>
        <v>441.88999999999987</v>
      </c>
      <c r="O760">
        <f t="shared" si="46"/>
        <v>6628.3499999999985</v>
      </c>
      <c r="P760" t="str">
        <f t="shared" si="47"/>
        <v>Nov</v>
      </c>
    </row>
    <row r="761" spans="1:16" x14ac:dyDescent="0.25">
      <c r="A761">
        <v>1060</v>
      </c>
      <c r="B761" s="1">
        <v>45000</v>
      </c>
      <c r="C761">
        <f t="shared" si="44"/>
        <v>106142.36159999958</v>
      </c>
      <c r="D761">
        <v>44</v>
      </c>
      <c r="E761">
        <v>2211.9499999999998</v>
      </c>
      <c r="F761">
        <v>2512.8399999999901</v>
      </c>
      <c r="G761">
        <v>0.04</v>
      </c>
      <c r="H761" t="str">
        <f>PROPER(TRIM(sales_data!C761))</f>
        <v>David</v>
      </c>
      <c r="I761" t="str">
        <f>PROPER(TRIM(sales_data!D761))</f>
        <v>South</v>
      </c>
      <c r="J761" t="str">
        <f>PROPER(TRIM(sales_data!G761))</f>
        <v>Clothing</v>
      </c>
      <c r="K761" t="str">
        <f>PROPER(TRIM(sales_data!J761))</f>
        <v>Returning</v>
      </c>
      <c r="L761" t="str">
        <f>PROPER(TRIM(sales_data!L761))</f>
        <v>Cash</v>
      </c>
      <c r="M761" t="str">
        <f>PROPER(TRIM(sales_data!M761))</f>
        <v>Online</v>
      </c>
      <c r="N761">
        <f t="shared" si="45"/>
        <v>300.88999999999032</v>
      </c>
      <c r="O761">
        <f t="shared" si="46"/>
        <v>13239.159999999574</v>
      </c>
      <c r="P761" t="str">
        <f t="shared" si="47"/>
        <v>Mar</v>
      </c>
    </row>
    <row r="762" spans="1:16" x14ac:dyDescent="0.25">
      <c r="A762">
        <v>1050</v>
      </c>
      <c r="B762" s="1">
        <v>45159</v>
      </c>
      <c r="C762">
        <f t="shared" si="44"/>
        <v>39262.273500000003</v>
      </c>
      <c r="D762">
        <v>17</v>
      </c>
      <c r="E762">
        <v>2346.8000000000002</v>
      </c>
      <c r="F762">
        <v>2654.65</v>
      </c>
      <c r="G762">
        <v>0.13</v>
      </c>
      <c r="H762" t="str">
        <f>PROPER(TRIM(sales_data!C762))</f>
        <v>David</v>
      </c>
      <c r="I762" t="str">
        <f>PROPER(TRIM(sales_data!D762))</f>
        <v>North</v>
      </c>
      <c r="J762" t="str">
        <f>PROPER(TRIM(sales_data!G762))</f>
        <v>Furniture</v>
      </c>
      <c r="K762" t="str">
        <f>PROPER(TRIM(sales_data!J762))</f>
        <v>New</v>
      </c>
      <c r="L762" t="str">
        <f>PROPER(TRIM(sales_data!L762))</f>
        <v>Cash</v>
      </c>
      <c r="M762" t="str">
        <f>PROPER(TRIM(sales_data!M762))</f>
        <v>Retail</v>
      </c>
      <c r="N762">
        <f t="shared" si="45"/>
        <v>307.84999999999991</v>
      </c>
      <c r="O762">
        <f t="shared" si="46"/>
        <v>5233.4499999999989</v>
      </c>
      <c r="P762" t="str">
        <f t="shared" si="47"/>
        <v>Aug</v>
      </c>
    </row>
    <row r="763" spans="1:16" x14ac:dyDescent="0.25">
      <c r="A763">
        <v>1028</v>
      </c>
      <c r="B763" s="1">
        <v>45150</v>
      </c>
      <c r="C763">
        <f t="shared" si="44"/>
        <v>150225.57440000001</v>
      </c>
      <c r="D763">
        <v>41</v>
      </c>
      <c r="E763">
        <v>3956.03</v>
      </c>
      <c r="F763">
        <v>4163.68</v>
      </c>
      <c r="G763">
        <v>0.12</v>
      </c>
      <c r="H763" t="str">
        <f>PROPER(TRIM(sales_data!C763))</f>
        <v>Charlie</v>
      </c>
      <c r="I763" t="str">
        <f>PROPER(TRIM(sales_data!D763))</f>
        <v>South</v>
      </c>
      <c r="J763" t="str">
        <f>PROPER(TRIM(sales_data!G763))</f>
        <v>Clothing</v>
      </c>
      <c r="K763" t="str">
        <f>PROPER(TRIM(sales_data!J763))</f>
        <v>New</v>
      </c>
      <c r="L763" t="str">
        <f>PROPER(TRIM(sales_data!L763))</f>
        <v>Bank Transfer</v>
      </c>
      <c r="M763" t="str">
        <f>PROPER(TRIM(sales_data!M763))</f>
        <v>Retail</v>
      </c>
      <c r="N763">
        <f t="shared" si="45"/>
        <v>207.65000000000009</v>
      </c>
      <c r="O763">
        <f t="shared" si="46"/>
        <v>8513.6500000000033</v>
      </c>
      <c r="P763" t="str">
        <f t="shared" si="47"/>
        <v>Aug</v>
      </c>
    </row>
    <row r="764" spans="1:16" x14ac:dyDescent="0.25">
      <c r="A764">
        <v>1092</v>
      </c>
      <c r="B764" s="1">
        <v>45245</v>
      </c>
      <c r="C764">
        <f t="shared" si="44"/>
        <v>114236.73359999999</v>
      </c>
      <c r="D764">
        <v>47</v>
      </c>
      <c r="E764">
        <v>3034.32</v>
      </c>
      <c r="F764">
        <v>3375.79</v>
      </c>
      <c r="G764">
        <v>0.28000000000000003</v>
      </c>
      <c r="H764" t="str">
        <f>PROPER(TRIM(sales_data!C764))</f>
        <v>David</v>
      </c>
      <c r="I764" t="str">
        <f>PROPER(TRIM(sales_data!D764))</f>
        <v>East</v>
      </c>
      <c r="J764" t="str">
        <f>PROPER(TRIM(sales_data!G764))</f>
        <v>Electronics</v>
      </c>
      <c r="K764" t="str">
        <f>PROPER(TRIM(sales_data!J764))</f>
        <v>New</v>
      </c>
      <c r="L764" t="str">
        <f>PROPER(TRIM(sales_data!L764))</f>
        <v>Credit Card</v>
      </c>
      <c r="M764" t="str">
        <f>PROPER(TRIM(sales_data!M764))</f>
        <v>Online</v>
      </c>
      <c r="N764">
        <f t="shared" si="45"/>
        <v>341.4699999999998</v>
      </c>
      <c r="O764">
        <f t="shared" si="46"/>
        <v>16049.089999999991</v>
      </c>
      <c r="P764" t="str">
        <f t="shared" si="47"/>
        <v>Nov</v>
      </c>
    </row>
    <row r="765" spans="1:16" x14ac:dyDescent="0.25">
      <c r="A765">
        <v>1041</v>
      </c>
      <c r="B765" s="1">
        <v>44986</v>
      </c>
      <c r="C765">
        <f t="shared" si="44"/>
        <v>141763.02799999999</v>
      </c>
      <c r="D765">
        <v>44</v>
      </c>
      <c r="E765">
        <v>3288.39</v>
      </c>
      <c r="F765">
        <v>3391.46</v>
      </c>
      <c r="G765">
        <v>0.05</v>
      </c>
      <c r="H765" t="str">
        <f>PROPER(TRIM(sales_data!C765))</f>
        <v>Charlie</v>
      </c>
      <c r="I765" t="str">
        <f>PROPER(TRIM(sales_data!D765))</f>
        <v>East</v>
      </c>
      <c r="J765" t="str">
        <f>PROPER(TRIM(sales_data!G765))</f>
        <v>Electronics</v>
      </c>
      <c r="K765" t="str">
        <f>PROPER(TRIM(sales_data!J765))</f>
        <v>New</v>
      </c>
      <c r="L765" t="str">
        <f>PROPER(TRIM(sales_data!L765))</f>
        <v>Credit Card</v>
      </c>
      <c r="M765" t="str">
        <f>PROPER(TRIM(sales_data!M765))</f>
        <v>Retail</v>
      </c>
      <c r="N765">
        <f t="shared" si="45"/>
        <v>103.07000000000016</v>
      </c>
      <c r="O765">
        <f t="shared" si="46"/>
        <v>4535.0800000000072</v>
      </c>
      <c r="P765" t="str">
        <f t="shared" si="47"/>
        <v>Mar</v>
      </c>
    </row>
    <row r="766" spans="1:16" x14ac:dyDescent="0.25">
      <c r="A766">
        <v>1100</v>
      </c>
      <c r="B766" s="1">
        <v>45261</v>
      </c>
      <c r="C766">
        <f t="shared" si="44"/>
        <v>183677.52</v>
      </c>
      <c r="D766">
        <v>34</v>
      </c>
      <c r="E766">
        <v>4991.09</v>
      </c>
      <c r="F766">
        <v>5402.28</v>
      </c>
      <c r="G766">
        <v>0</v>
      </c>
      <c r="H766" t="str">
        <f>PROPER(TRIM(sales_data!C766))</f>
        <v>Alice</v>
      </c>
      <c r="I766" t="str">
        <f>PROPER(TRIM(sales_data!D766))</f>
        <v>East</v>
      </c>
      <c r="J766" t="str">
        <f>PROPER(TRIM(sales_data!G766))</f>
        <v>Furniture</v>
      </c>
      <c r="K766" t="str">
        <f>PROPER(TRIM(sales_data!J766))</f>
        <v>Returning</v>
      </c>
      <c r="L766" t="str">
        <f>PROPER(TRIM(sales_data!L766))</f>
        <v>Cash</v>
      </c>
      <c r="M766" t="str">
        <f>PROPER(TRIM(sales_data!M766))</f>
        <v>Retail</v>
      </c>
      <c r="N766">
        <f t="shared" si="45"/>
        <v>411.1899999999996</v>
      </c>
      <c r="O766">
        <f t="shared" si="46"/>
        <v>13980.459999999986</v>
      </c>
      <c r="P766" t="str">
        <f t="shared" si="47"/>
        <v>Dec</v>
      </c>
    </row>
    <row r="767" spans="1:16" x14ac:dyDescent="0.25">
      <c r="A767">
        <v>1064</v>
      </c>
      <c r="B767" s="1">
        <v>45148</v>
      </c>
      <c r="C767">
        <f t="shared" si="44"/>
        <v>2270.2694999999999</v>
      </c>
      <c r="D767">
        <v>5</v>
      </c>
      <c r="E767">
        <v>421.05</v>
      </c>
      <c r="F767">
        <v>488.23</v>
      </c>
      <c r="G767">
        <v>7.0000000000000007E-2</v>
      </c>
      <c r="H767" t="str">
        <f>PROPER(TRIM(sales_data!C767))</f>
        <v>Bob</v>
      </c>
      <c r="I767" t="str">
        <f>PROPER(TRIM(sales_data!D767))</f>
        <v>South</v>
      </c>
      <c r="J767" t="str">
        <f>PROPER(TRIM(sales_data!G767))</f>
        <v>Food</v>
      </c>
      <c r="K767" t="str">
        <f>PROPER(TRIM(sales_data!J767))</f>
        <v>Returning</v>
      </c>
      <c r="L767" t="str">
        <f>PROPER(TRIM(sales_data!L767))</f>
        <v>Credit Card</v>
      </c>
      <c r="M767" t="str">
        <f>PROPER(TRIM(sales_data!M767))</f>
        <v>Retail</v>
      </c>
      <c r="N767">
        <f t="shared" si="45"/>
        <v>67.180000000000007</v>
      </c>
      <c r="O767">
        <f t="shared" si="46"/>
        <v>335.90000000000003</v>
      </c>
      <c r="P767" t="str">
        <f t="shared" si="47"/>
        <v>Aug</v>
      </c>
    </row>
    <row r="768" spans="1:16" x14ac:dyDescent="0.25">
      <c r="A768">
        <v>1027</v>
      </c>
      <c r="B768" s="1">
        <v>44963</v>
      </c>
      <c r="C768">
        <f t="shared" si="44"/>
        <v>50130.225000000006</v>
      </c>
      <c r="D768">
        <v>45</v>
      </c>
      <c r="E768">
        <v>1153.9000000000001</v>
      </c>
      <c r="F768">
        <v>1485.34</v>
      </c>
      <c r="G768">
        <v>0.25</v>
      </c>
      <c r="H768" t="str">
        <f>PROPER(TRIM(sales_data!C768))</f>
        <v>Eve</v>
      </c>
      <c r="I768" t="str">
        <f>PROPER(TRIM(sales_data!D768))</f>
        <v>West</v>
      </c>
      <c r="J768" t="str">
        <f>PROPER(TRIM(sales_data!G768))</f>
        <v>Food</v>
      </c>
      <c r="K768" t="str">
        <f>PROPER(TRIM(sales_data!J768))</f>
        <v>New</v>
      </c>
      <c r="L768" t="str">
        <f>PROPER(TRIM(sales_data!L768))</f>
        <v>Credit Card</v>
      </c>
      <c r="M768" t="str">
        <f>PROPER(TRIM(sales_data!M768))</f>
        <v>Retail</v>
      </c>
      <c r="N768">
        <f t="shared" si="45"/>
        <v>331.43999999999983</v>
      </c>
      <c r="O768">
        <f t="shared" si="46"/>
        <v>14914.799999999992</v>
      </c>
      <c r="P768" t="str">
        <f t="shared" si="47"/>
        <v>Feb</v>
      </c>
    </row>
    <row r="769" spans="1:16" x14ac:dyDescent="0.25">
      <c r="A769">
        <v>1063</v>
      </c>
      <c r="B769" s="1">
        <v>45204</v>
      </c>
      <c r="C769">
        <f t="shared" si="44"/>
        <v>57009.571199999991</v>
      </c>
      <c r="D769">
        <v>27</v>
      </c>
      <c r="E769">
        <v>2069.08</v>
      </c>
      <c r="F769">
        <v>2246.2399999999998</v>
      </c>
      <c r="G769">
        <v>0.06</v>
      </c>
      <c r="H769" t="str">
        <f>PROPER(TRIM(sales_data!C769))</f>
        <v>Alice</v>
      </c>
      <c r="I769" t="str">
        <f>PROPER(TRIM(sales_data!D769))</f>
        <v>South</v>
      </c>
      <c r="J769" t="str">
        <f>PROPER(TRIM(sales_data!G769))</f>
        <v>Food</v>
      </c>
      <c r="K769" t="str">
        <f>PROPER(TRIM(sales_data!J769))</f>
        <v>New</v>
      </c>
      <c r="L769" t="str">
        <f>PROPER(TRIM(sales_data!L769))</f>
        <v>Bank Transfer</v>
      </c>
      <c r="M769" t="str">
        <f>PROPER(TRIM(sales_data!M769))</f>
        <v>Retail</v>
      </c>
      <c r="N769">
        <f t="shared" si="45"/>
        <v>177.15999999999985</v>
      </c>
      <c r="O769">
        <f t="shared" si="46"/>
        <v>4783.3199999999961</v>
      </c>
      <c r="P769" t="str">
        <f t="shared" si="47"/>
        <v>Oct</v>
      </c>
    </row>
    <row r="770" spans="1:16" x14ac:dyDescent="0.25">
      <c r="A770">
        <v>1017</v>
      </c>
      <c r="B770" s="1">
        <v>45122</v>
      </c>
      <c r="C770">
        <f t="shared" ref="C770:C833" si="48">(D770*F770)*(1-G770)</f>
        <v>45941.441999999995</v>
      </c>
      <c r="D770">
        <v>23</v>
      </c>
      <c r="E770">
        <v>1771.52</v>
      </c>
      <c r="F770">
        <v>2147.8000000000002</v>
      </c>
      <c r="G770">
        <v>7.0000000000000007E-2</v>
      </c>
      <c r="H770" t="str">
        <f>PROPER(TRIM(sales_data!C770))</f>
        <v>David</v>
      </c>
      <c r="I770" t="str">
        <f>PROPER(TRIM(sales_data!D770))</f>
        <v>North</v>
      </c>
      <c r="J770" t="str">
        <f>PROPER(TRIM(sales_data!G770))</f>
        <v>Electronics</v>
      </c>
      <c r="K770" t="str">
        <f>PROPER(TRIM(sales_data!J770))</f>
        <v>New</v>
      </c>
      <c r="L770" t="str">
        <f>PROPER(TRIM(sales_data!L770))</f>
        <v>Bank Transfer</v>
      </c>
      <c r="M770" t="str">
        <f>PROPER(TRIM(sales_data!M770))</f>
        <v>Online</v>
      </c>
      <c r="N770">
        <f t="shared" ref="N770:N833" si="49">F770-E770</f>
        <v>376.2800000000002</v>
      </c>
      <c r="O770">
        <f t="shared" ref="O770:O833" si="50">N770*D770</f>
        <v>8654.4400000000041</v>
      </c>
      <c r="P770" t="str">
        <f t="shared" ref="P770:P833" si="51">TEXT(B770,"mmm")</f>
        <v>Jul</v>
      </c>
    </row>
    <row r="771" spans="1:16" x14ac:dyDescent="0.25">
      <c r="A771">
        <v>1073</v>
      </c>
      <c r="B771" s="1">
        <v>45278</v>
      </c>
      <c r="C771">
        <f t="shared" si="48"/>
        <v>16762.751999999997</v>
      </c>
      <c r="D771">
        <v>40</v>
      </c>
      <c r="E771">
        <v>157.15</v>
      </c>
      <c r="F771">
        <v>436.53</v>
      </c>
      <c r="G771">
        <v>0.04</v>
      </c>
      <c r="H771" t="str">
        <f>PROPER(TRIM(sales_data!C771))</f>
        <v>Eve</v>
      </c>
      <c r="I771" t="str">
        <f>PROPER(TRIM(sales_data!D771))</f>
        <v>West</v>
      </c>
      <c r="J771" t="str">
        <f>PROPER(TRIM(sales_data!G771))</f>
        <v>Food</v>
      </c>
      <c r="K771" t="str">
        <f>PROPER(TRIM(sales_data!J771))</f>
        <v>New</v>
      </c>
      <c r="L771" t="str">
        <f>PROPER(TRIM(sales_data!L771))</f>
        <v>Cash</v>
      </c>
      <c r="M771" t="str">
        <f>PROPER(TRIM(sales_data!M771))</f>
        <v>Retail</v>
      </c>
      <c r="N771">
        <f t="shared" si="49"/>
        <v>279.38</v>
      </c>
      <c r="O771">
        <f t="shared" si="50"/>
        <v>11175.2</v>
      </c>
      <c r="P771" t="str">
        <f t="shared" si="51"/>
        <v>Dec</v>
      </c>
    </row>
    <row r="772" spans="1:16" x14ac:dyDescent="0.25">
      <c r="A772">
        <v>1033</v>
      </c>
      <c r="B772" s="1">
        <v>45168</v>
      </c>
      <c r="C772">
        <f t="shared" si="48"/>
        <v>8139.6070000000009</v>
      </c>
      <c r="D772">
        <v>14</v>
      </c>
      <c r="E772">
        <v>504.3</v>
      </c>
      <c r="F772">
        <v>735.95</v>
      </c>
      <c r="G772">
        <v>0.21</v>
      </c>
      <c r="H772" t="str">
        <f>PROPER(TRIM(sales_data!C772))</f>
        <v>Bob</v>
      </c>
      <c r="I772" t="str">
        <f>PROPER(TRIM(sales_data!D772))</f>
        <v>East</v>
      </c>
      <c r="J772" t="str">
        <f>PROPER(TRIM(sales_data!G772))</f>
        <v>Food</v>
      </c>
      <c r="K772" t="str">
        <f>PROPER(TRIM(sales_data!J772))</f>
        <v>Returning</v>
      </c>
      <c r="L772" t="str">
        <f>PROPER(TRIM(sales_data!L772))</f>
        <v>Cash</v>
      </c>
      <c r="M772" t="str">
        <f>PROPER(TRIM(sales_data!M772))</f>
        <v>Retail</v>
      </c>
      <c r="N772">
        <f t="shared" si="49"/>
        <v>231.65000000000003</v>
      </c>
      <c r="O772">
        <f t="shared" si="50"/>
        <v>3243.1000000000004</v>
      </c>
      <c r="P772" t="str">
        <f t="shared" si="51"/>
        <v>Aug</v>
      </c>
    </row>
    <row r="773" spans="1:16" x14ac:dyDescent="0.25">
      <c r="A773">
        <v>1084</v>
      </c>
      <c r="B773" s="1">
        <v>45250</v>
      </c>
      <c r="C773">
        <f t="shared" si="48"/>
        <v>51651.977999999996</v>
      </c>
      <c r="D773">
        <v>15</v>
      </c>
      <c r="E773">
        <v>3420.72</v>
      </c>
      <c r="F773">
        <v>3513.74</v>
      </c>
      <c r="G773">
        <v>0.02</v>
      </c>
      <c r="H773" t="str">
        <f>PROPER(TRIM(sales_data!C773))</f>
        <v>Bob</v>
      </c>
      <c r="I773" t="str">
        <f>PROPER(TRIM(sales_data!D773))</f>
        <v>South</v>
      </c>
      <c r="J773" t="str">
        <f>PROPER(TRIM(sales_data!G773))</f>
        <v>Furniture</v>
      </c>
      <c r="K773" t="str">
        <f>PROPER(TRIM(sales_data!J773))</f>
        <v>New</v>
      </c>
      <c r="L773" t="str">
        <f>PROPER(TRIM(sales_data!L773))</f>
        <v>Cash</v>
      </c>
      <c r="M773" t="str">
        <f>PROPER(TRIM(sales_data!M773))</f>
        <v>Online</v>
      </c>
      <c r="N773">
        <f t="shared" si="49"/>
        <v>93.019999999999982</v>
      </c>
      <c r="O773">
        <f t="shared" si="50"/>
        <v>1395.2999999999997</v>
      </c>
      <c r="P773" t="str">
        <f t="shared" si="51"/>
        <v>Nov</v>
      </c>
    </row>
    <row r="774" spans="1:16" x14ac:dyDescent="0.25">
      <c r="A774">
        <v>1077</v>
      </c>
      <c r="B774" s="1">
        <v>45145</v>
      </c>
      <c r="C774">
        <f t="shared" si="48"/>
        <v>182845.89</v>
      </c>
      <c r="D774">
        <v>43</v>
      </c>
      <c r="E774">
        <v>4402.66</v>
      </c>
      <c r="F774">
        <v>4724.7</v>
      </c>
      <c r="G774">
        <v>0.1</v>
      </c>
      <c r="H774" t="str">
        <f>PROPER(TRIM(sales_data!C774))</f>
        <v>Charlie</v>
      </c>
      <c r="I774" t="str">
        <f>PROPER(TRIM(sales_data!D774))</f>
        <v>East</v>
      </c>
      <c r="J774" t="str">
        <f>PROPER(TRIM(sales_data!G774))</f>
        <v>Food</v>
      </c>
      <c r="K774" t="str">
        <f>PROPER(TRIM(sales_data!J774))</f>
        <v>New</v>
      </c>
      <c r="L774" t="str">
        <f>PROPER(TRIM(sales_data!L774))</f>
        <v>Bank Transfer</v>
      </c>
      <c r="M774" t="str">
        <f>PROPER(TRIM(sales_data!M774))</f>
        <v>Retail</v>
      </c>
      <c r="N774">
        <f t="shared" si="49"/>
        <v>322.03999999999996</v>
      </c>
      <c r="O774">
        <f t="shared" si="50"/>
        <v>13847.719999999998</v>
      </c>
      <c r="P774" t="str">
        <f t="shared" si="51"/>
        <v>Aug</v>
      </c>
    </row>
    <row r="775" spans="1:16" x14ac:dyDescent="0.25">
      <c r="A775">
        <v>1092</v>
      </c>
      <c r="B775" s="1">
        <v>45118</v>
      </c>
      <c r="C775">
        <f t="shared" si="48"/>
        <v>93601.7016</v>
      </c>
      <c r="D775">
        <v>33</v>
      </c>
      <c r="E775">
        <v>2595.42</v>
      </c>
      <c r="F775">
        <v>3083.06</v>
      </c>
      <c r="G775">
        <v>0.08</v>
      </c>
      <c r="H775" t="str">
        <f>PROPER(TRIM(sales_data!C775))</f>
        <v>Eve</v>
      </c>
      <c r="I775" t="str">
        <f>PROPER(TRIM(sales_data!D775))</f>
        <v>East</v>
      </c>
      <c r="J775" t="str">
        <f>PROPER(TRIM(sales_data!G775))</f>
        <v>Electronics</v>
      </c>
      <c r="K775" t="str">
        <f>PROPER(TRIM(sales_data!J775))</f>
        <v>New</v>
      </c>
      <c r="L775" t="str">
        <f>PROPER(TRIM(sales_data!L775))</f>
        <v>Credit Card</v>
      </c>
      <c r="M775" t="str">
        <f>PROPER(TRIM(sales_data!M775))</f>
        <v>Online</v>
      </c>
      <c r="N775">
        <f t="shared" si="49"/>
        <v>487.63999999999987</v>
      </c>
      <c r="O775">
        <f t="shared" si="50"/>
        <v>16092.119999999995</v>
      </c>
      <c r="P775" t="str">
        <f t="shared" si="51"/>
        <v>Jul</v>
      </c>
    </row>
    <row r="776" spans="1:16" x14ac:dyDescent="0.25">
      <c r="A776">
        <v>1029</v>
      </c>
      <c r="B776" s="1">
        <v>44943</v>
      </c>
      <c r="C776">
        <f t="shared" si="48"/>
        <v>80626.241500000004</v>
      </c>
      <c r="D776">
        <v>31</v>
      </c>
      <c r="E776">
        <v>2719</v>
      </c>
      <c r="F776">
        <v>3133.55</v>
      </c>
      <c r="G776">
        <v>0.17</v>
      </c>
      <c r="H776" t="str">
        <f>PROPER(TRIM(sales_data!C776))</f>
        <v>Charlie</v>
      </c>
      <c r="I776" t="str">
        <f>PROPER(TRIM(sales_data!D776))</f>
        <v>North</v>
      </c>
      <c r="J776" t="str">
        <f>PROPER(TRIM(sales_data!G776))</f>
        <v>Electronics</v>
      </c>
      <c r="K776" t="str">
        <f>PROPER(TRIM(sales_data!J776))</f>
        <v>Returning</v>
      </c>
      <c r="L776" t="str">
        <f>PROPER(TRIM(sales_data!L776))</f>
        <v>Bank Transfer</v>
      </c>
      <c r="M776" t="str">
        <f>PROPER(TRIM(sales_data!M776))</f>
        <v>Retail</v>
      </c>
      <c r="N776">
        <f t="shared" si="49"/>
        <v>414.55000000000018</v>
      </c>
      <c r="O776">
        <f t="shared" si="50"/>
        <v>12851.050000000007</v>
      </c>
      <c r="P776" t="str">
        <f t="shared" si="51"/>
        <v>Jan</v>
      </c>
    </row>
    <row r="777" spans="1:16" x14ac:dyDescent="0.25">
      <c r="A777">
        <v>1013</v>
      </c>
      <c r="B777" s="1">
        <v>44938</v>
      </c>
      <c r="C777">
        <f t="shared" si="48"/>
        <v>36912.603000000003</v>
      </c>
      <c r="D777">
        <v>35</v>
      </c>
      <c r="E777">
        <v>1312.71</v>
      </c>
      <c r="F777">
        <v>1352.11</v>
      </c>
      <c r="G777">
        <v>0.22</v>
      </c>
      <c r="H777" t="str">
        <f>PROPER(TRIM(sales_data!C777))</f>
        <v>Alice</v>
      </c>
      <c r="I777" t="str">
        <f>PROPER(TRIM(sales_data!D777))</f>
        <v>West</v>
      </c>
      <c r="J777" t="str">
        <f>PROPER(TRIM(sales_data!G777))</f>
        <v>Electronics</v>
      </c>
      <c r="K777" t="str">
        <f>PROPER(TRIM(sales_data!J777))</f>
        <v>Returning</v>
      </c>
      <c r="L777" t="str">
        <f>PROPER(TRIM(sales_data!L777))</f>
        <v>Bank Transfer</v>
      </c>
      <c r="M777" t="str">
        <f>PROPER(TRIM(sales_data!M777))</f>
        <v>Retail</v>
      </c>
      <c r="N777">
        <f t="shared" si="49"/>
        <v>39.399999999999864</v>
      </c>
      <c r="O777">
        <f t="shared" si="50"/>
        <v>1378.9999999999952</v>
      </c>
      <c r="P777" t="str">
        <f t="shared" si="51"/>
        <v>Jan</v>
      </c>
    </row>
    <row r="778" spans="1:16" x14ac:dyDescent="0.25">
      <c r="A778">
        <v>1046</v>
      </c>
      <c r="B778" s="1">
        <v>45119</v>
      </c>
      <c r="C778">
        <f t="shared" si="48"/>
        <v>57767.455199999866</v>
      </c>
      <c r="D778">
        <v>17</v>
      </c>
      <c r="E778">
        <v>3850.99</v>
      </c>
      <c r="F778">
        <v>4045.3399999999901</v>
      </c>
      <c r="G778">
        <v>0.16</v>
      </c>
      <c r="H778" t="str">
        <f>PROPER(TRIM(sales_data!C778))</f>
        <v>Eve</v>
      </c>
      <c r="I778" t="str">
        <f>PROPER(TRIM(sales_data!D778))</f>
        <v>North</v>
      </c>
      <c r="J778" t="str">
        <f>PROPER(TRIM(sales_data!G778))</f>
        <v>Furniture</v>
      </c>
      <c r="K778" t="str">
        <f>PROPER(TRIM(sales_data!J778))</f>
        <v>Returning</v>
      </c>
      <c r="L778" t="str">
        <f>PROPER(TRIM(sales_data!L778))</f>
        <v>Credit Card</v>
      </c>
      <c r="M778" t="str">
        <f>PROPER(TRIM(sales_data!M778))</f>
        <v>Online</v>
      </c>
      <c r="N778">
        <f t="shared" si="49"/>
        <v>194.34999999999036</v>
      </c>
      <c r="O778">
        <f t="shared" si="50"/>
        <v>3303.9499999998361</v>
      </c>
      <c r="P778" t="str">
        <f t="shared" si="51"/>
        <v>Jul</v>
      </c>
    </row>
    <row r="779" spans="1:16" x14ac:dyDescent="0.25">
      <c r="A779">
        <v>1035</v>
      </c>
      <c r="B779" s="1">
        <v>44948</v>
      </c>
      <c r="C779">
        <f t="shared" si="48"/>
        <v>85375.987200000003</v>
      </c>
      <c r="D779">
        <v>28</v>
      </c>
      <c r="E779">
        <v>3771.38</v>
      </c>
      <c r="F779">
        <v>4234.92</v>
      </c>
      <c r="G779">
        <v>0.28000000000000003</v>
      </c>
      <c r="H779" t="str">
        <f>PROPER(TRIM(sales_data!C779))</f>
        <v>Alice</v>
      </c>
      <c r="I779" t="str">
        <f>PROPER(TRIM(sales_data!D779))</f>
        <v>North</v>
      </c>
      <c r="J779" t="str">
        <f>PROPER(TRIM(sales_data!G779))</f>
        <v>Furniture</v>
      </c>
      <c r="K779" t="str">
        <f>PROPER(TRIM(sales_data!J779))</f>
        <v>New</v>
      </c>
      <c r="L779" t="str">
        <f>PROPER(TRIM(sales_data!L779))</f>
        <v>Credit Card</v>
      </c>
      <c r="M779" t="str">
        <f>PROPER(TRIM(sales_data!M779))</f>
        <v>Retail</v>
      </c>
      <c r="N779">
        <f t="shared" si="49"/>
        <v>463.53999999999996</v>
      </c>
      <c r="O779">
        <f t="shared" si="50"/>
        <v>12979.119999999999</v>
      </c>
      <c r="P779" t="str">
        <f t="shared" si="51"/>
        <v>Jan</v>
      </c>
    </row>
    <row r="780" spans="1:16" x14ac:dyDescent="0.25">
      <c r="A780">
        <v>1006</v>
      </c>
      <c r="B780" s="1">
        <v>45046</v>
      </c>
      <c r="C780">
        <f t="shared" si="48"/>
        <v>43422.960999999865</v>
      </c>
      <c r="D780">
        <v>19</v>
      </c>
      <c r="E780">
        <v>2962.41</v>
      </c>
      <c r="F780">
        <v>3218.8999999999901</v>
      </c>
      <c r="G780">
        <v>0.28999999999999998</v>
      </c>
      <c r="H780" t="str">
        <f>PROPER(TRIM(sales_data!C780))</f>
        <v>Charlie</v>
      </c>
      <c r="I780" t="str">
        <f>PROPER(TRIM(sales_data!D780))</f>
        <v>North</v>
      </c>
      <c r="J780" t="str">
        <f>PROPER(TRIM(sales_data!G780))</f>
        <v>Clothing</v>
      </c>
      <c r="K780" t="str">
        <f>PROPER(TRIM(sales_data!J780))</f>
        <v>New</v>
      </c>
      <c r="L780" t="str">
        <f>PROPER(TRIM(sales_data!L780))</f>
        <v>Cash</v>
      </c>
      <c r="M780" t="str">
        <f>PROPER(TRIM(sales_data!M780))</f>
        <v>Retail</v>
      </c>
      <c r="N780">
        <f t="shared" si="49"/>
        <v>256.48999999999023</v>
      </c>
      <c r="O780">
        <f t="shared" si="50"/>
        <v>4873.309999999814</v>
      </c>
      <c r="P780" t="str">
        <f t="shared" si="51"/>
        <v>Apr</v>
      </c>
    </row>
    <row r="781" spans="1:16" x14ac:dyDescent="0.25">
      <c r="A781">
        <v>1082</v>
      </c>
      <c r="B781" s="1">
        <v>45136</v>
      </c>
      <c r="C781">
        <f t="shared" si="48"/>
        <v>58835.69279999999</v>
      </c>
      <c r="D781">
        <v>46</v>
      </c>
      <c r="E781">
        <v>1102.69</v>
      </c>
      <c r="F781">
        <v>1437.12</v>
      </c>
      <c r="G781">
        <v>0.11</v>
      </c>
      <c r="H781" t="str">
        <f>PROPER(TRIM(sales_data!C781))</f>
        <v>Eve</v>
      </c>
      <c r="I781" t="str">
        <f>PROPER(TRIM(sales_data!D781))</f>
        <v>East</v>
      </c>
      <c r="J781" t="str">
        <f>PROPER(TRIM(sales_data!G781))</f>
        <v>Food</v>
      </c>
      <c r="K781" t="str">
        <f>PROPER(TRIM(sales_data!J781))</f>
        <v>New</v>
      </c>
      <c r="L781" t="str">
        <f>PROPER(TRIM(sales_data!L781))</f>
        <v>Credit Card</v>
      </c>
      <c r="M781" t="str">
        <f>PROPER(TRIM(sales_data!M781))</f>
        <v>Online</v>
      </c>
      <c r="N781">
        <f t="shared" si="49"/>
        <v>334.42999999999984</v>
      </c>
      <c r="O781">
        <f t="shared" si="50"/>
        <v>15383.779999999992</v>
      </c>
      <c r="P781" t="str">
        <f t="shared" si="51"/>
        <v>Jul</v>
      </c>
    </row>
    <row r="782" spans="1:16" x14ac:dyDescent="0.25">
      <c r="A782">
        <v>1069</v>
      </c>
      <c r="B782" s="1">
        <v>45232</v>
      </c>
      <c r="C782">
        <f t="shared" si="48"/>
        <v>17487.0311</v>
      </c>
      <c r="D782">
        <v>23</v>
      </c>
      <c r="E782">
        <v>530.24</v>
      </c>
      <c r="F782">
        <v>987.41</v>
      </c>
      <c r="G782">
        <v>0.23</v>
      </c>
      <c r="H782" t="str">
        <f>PROPER(TRIM(sales_data!C782))</f>
        <v>Charlie</v>
      </c>
      <c r="I782" t="str">
        <f>PROPER(TRIM(sales_data!D782))</f>
        <v>North</v>
      </c>
      <c r="J782" t="str">
        <f>PROPER(TRIM(sales_data!G782))</f>
        <v>Furniture</v>
      </c>
      <c r="K782" t="str">
        <f>PROPER(TRIM(sales_data!J782))</f>
        <v>Returning</v>
      </c>
      <c r="L782" t="str">
        <f>PROPER(TRIM(sales_data!L782))</f>
        <v>Credit Card</v>
      </c>
      <c r="M782" t="str">
        <f>PROPER(TRIM(sales_data!M782))</f>
        <v>Online</v>
      </c>
      <c r="N782">
        <f t="shared" si="49"/>
        <v>457.16999999999996</v>
      </c>
      <c r="O782">
        <f t="shared" si="50"/>
        <v>10514.91</v>
      </c>
      <c r="P782" t="str">
        <f t="shared" si="51"/>
        <v>Nov</v>
      </c>
    </row>
    <row r="783" spans="1:16" x14ac:dyDescent="0.25">
      <c r="A783">
        <v>1047</v>
      </c>
      <c r="B783" s="1">
        <v>45196</v>
      </c>
      <c r="C783">
        <f t="shared" si="48"/>
        <v>20121.254400000002</v>
      </c>
      <c r="D783">
        <v>32</v>
      </c>
      <c r="E783">
        <v>367.98</v>
      </c>
      <c r="F783">
        <v>806.14</v>
      </c>
      <c r="G783">
        <v>0.22</v>
      </c>
      <c r="H783" t="str">
        <f>PROPER(TRIM(sales_data!C783))</f>
        <v>Eve</v>
      </c>
      <c r="I783" t="str">
        <f>PROPER(TRIM(sales_data!D783))</f>
        <v>North</v>
      </c>
      <c r="J783" t="str">
        <f>PROPER(TRIM(sales_data!G783))</f>
        <v>Electronics</v>
      </c>
      <c r="K783" t="str">
        <f>PROPER(TRIM(sales_data!J783))</f>
        <v>Returning</v>
      </c>
      <c r="L783" t="str">
        <f>PROPER(TRIM(sales_data!L783))</f>
        <v>Credit Card</v>
      </c>
      <c r="M783" t="str">
        <f>PROPER(TRIM(sales_data!M783))</f>
        <v>Retail</v>
      </c>
      <c r="N783">
        <f t="shared" si="49"/>
        <v>438.15999999999997</v>
      </c>
      <c r="O783">
        <f t="shared" si="50"/>
        <v>14021.119999999999</v>
      </c>
      <c r="P783" t="str">
        <f t="shared" si="51"/>
        <v>Sep</v>
      </c>
    </row>
    <row r="784" spans="1:16" x14ac:dyDescent="0.25">
      <c r="A784">
        <v>1025</v>
      </c>
      <c r="B784" s="1">
        <v>45118</v>
      </c>
      <c r="C784">
        <f t="shared" si="48"/>
        <v>94600.407999999996</v>
      </c>
      <c r="D784">
        <v>40</v>
      </c>
      <c r="E784">
        <v>2983.85</v>
      </c>
      <c r="F784">
        <v>3239.74</v>
      </c>
      <c r="G784">
        <v>0.27</v>
      </c>
      <c r="H784" t="str">
        <f>PROPER(TRIM(sales_data!C784))</f>
        <v>Charlie</v>
      </c>
      <c r="I784" t="str">
        <f>PROPER(TRIM(sales_data!D784))</f>
        <v>West</v>
      </c>
      <c r="J784" t="str">
        <f>PROPER(TRIM(sales_data!G784))</f>
        <v>Electronics</v>
      </c>
      <c r="K784" t="str">
        <f>PROPER(TRIM(sales_data!J784))</f>
        <v>New</v>
      </c>
      <c r="L784" t="str">
        <f>PROPER(TRIM(sales_data!L784))</f>
        <v>Credit Card</v>
      </c>
      <c r="M784" t="str">
        <f>PROPER(TRIM(sales_data!M784))</f>
        <v>Online</v>
      </c>
      <c r="N784">
        <f t="shared" si="49"/>
        <v>255.88999999999987</v>
      </c>
      <c r="O784">
        <f t="shared" si="50"/>
        <v>10235.599999999995</v>
      </c>
      <c r="P784" t="str">
        <f t="shared" si="51"/>
        <v>Jul</v>
      </c>
    </row>
    <row r="785" spans="1:16" x14ac:dyDescent="0.25">
      <c r="A785">
        <v>1066</v>
      </c>
      <c r="B785" s="1">
        <v>45101</v>
      </c>
      <c r="C785">
        <f t="shared" si="48"/>
        <v>49293.164700000001</v>
      </c>
      <c r="D785">
        <v>13</v>
      </c>
      <c r="E785">
        <v>4133.92</v>
      </c>
      <c r="F785">
        <v>4358.37</v>
      </c>
      <c r="G785">
        <v>0.13</v>
      </c>
      <c r="H785" t="str">
        <f>PROPER(TRIM(sales_data!C785))</f>
        <v>Bob</v>
      </c>
      <c r="I785" t="str">
        <f>PROPER(TRIM(sales_data!D785))</f>
        <v>West</v>
      </c>
      <c r="J785" t="str">
        <f>PROPER(TRIM(sales_data!G785))</f>
        <v>Furniture</v>
      </c>
      <c r="K785" t="str">
        <f>PROPER(TRIM(sales_data!J785))</f>
        <v>New</v>
      </c>
      <c r="L785" t="str">
        <f>PROPER(TRIM(sales_data!L785))</f>
        <v>Cash</v>
      </c>
      <c r="M785" t="str">
        <f>PROPER(TRIM(sales_data!M785))</f>
        <v>Retail</v>
      </c>
      <c r="N785">
        <f t="shared" si="49"/>
        <v>224.44999999999982</v>
      </c>
      <c r="O785">
        <f t="shared" si="50"/>
        <v>2917.8499999999976</v>
      </c>
      <c r="P785" t="str">
        <f t="shared" si="51"/>
        <v>Jun</v>
      </c>
    </row>
    <row r="786" spans="1:16" x14ac:dyDescent="0.25">
      <c r="A786">
        <v>1010</v>
      </c>
      <c r="B786" s="1">
        <v>45211</v>
      </c>
      <c r="C786">
        <f t="shared" si="48"/>
        <v>75183.191999999981</v>
      </c>
      <c r="D786">
        <v>20</v>
      </c>
      <c r="E786">
        <v>4298.74</v>
      </c>
      <c r="F786">
        <v>4475.1899999999996</v>
      </c>
      <c r="G786">
        <v>0.16</v>
      </c>
      <c r="H786" t="str">
        <f>PROPER(TRIM(sales_data!C786))</f>
        <v>Charlie</v>
      </c>
      <c r="I786" t="str">
        <f>PROPER(TRIM(sales_data!D786))</f>
        <v>North</v>
      </c>
      <c r="J786" t="str">
        <f>PROPER(TRIM(sales_data!G786))</f>
        <v>Furniture</v>
      </c>
      <c r="K786" t="str">
        <f>PROPER(TRIM(sales_data!J786))</f>
        <v>Returning</v>
      </c>
      <c r="L786" t="str">
        <f>PROPER(TRIM(sales_data!L786))</f>
        <v>Cash</v>
      </c>
      <c r="M786" t="str">
        <f>PROPER(TRIM(sales_data!M786))</f>
        <v>Online</v>
      </c>
      <c r="N786">
        <f t="shared" si="49"/>
        <v>176.44999999999982</v>
      </c>
      <c r="O786">
        <f t="shared" si="50"/>
        <v>3528.9999999999964</v>
      </c>
      <c r="P786" t="str">
        <f t="shared" si="51"/>
        <v>Oct</v>
      </c>
    </row>
    <row r="787" spans="1:16" x14ac:dyDescent="0.25">
      <c r="A787">
        <v>1056</v>
      </c>
      <c r="B787" s="1">
        <v>45130</v>
      </c>
      <c r="C787">
        <f t="shared" si="48"/>
        <v>83383.3</v>
      </c>
      <c r="D787">
        <v>35</v>
      </c>
      <c r="E787">
        <v>2344.9299999999998</v>
      </c>
      <c r="F787">
        <v>2707.25</v>
      </c>
      <c r="G787">
        <v>0.12</v>
      </c>
      <c r="H787" t="str">
        <f>PROPER(TRIM(sales_data!C787))</f>
        <v>Bob</v>
      </c>
      <c r="I787" t="str">
        <f>PROPER(TRIM(sales_data!D787))</f>
        <v>West</v>
      </c>
      <c r="J787" t="str">
        <f>PROPER(TRIM(sales_data!G787))</f>
        <v>Furniture</v>
      </c>
      <c r="K787" t="str">
        <f>PROPER(TRIM(sales_data!J787))</f>
        <v>New</v>
      </c>
      <c r="L787" t="str">
        <f>PROPER(TRIM(sales_data!L787))</f>
        <v>Credit Card</v>
      </c>
      <c r="M787" t="str">
        <f>PROPER(TRIM(sales_data!M787))</f>
        <v>Retail</v>
      </c>
      <c r="N787">
        <f t="shared" si="49"/>
        <v>362.32000000000016</v>
      </c>
      <c r="O787">
        <f t="shared" si="50"/>
        <v>12681.200000000006</v>
      </c>
      <c r="P787" t="str">
        <f t="shared" si="51"/>
        <v>Jul</v>
      </c>
    </row>
    <row r="788" spans="1:16" x14ac:dyDescent="0.25">
      <c r="A788">
        <v>1030</v>
      </c>
      <c r="B788" s="1">
        <v>45090</v>
      </c>
      <c r="C788">
        <f t="shared" si="48"/>
        <v>15106.211999999965</v>
      </c>
      <c r="D788">
        <v>5</v>
      </c>
      <c r="E788">
        <v>3932.14</v>
      </c>
      <c r="F788">
        <v>4082.7599999999902</v>
      </c>
      <c r="G788">
        <v>0.26</v>
      </c>
      <c r="H788" t="str">
        <f>PROPER(TRIM(sales_data!C788))</f>
        <v>Charlie</v>
      </c>
      <c r="I788" t="str">
        <f>PROPER(TRIM(sales_data!D788))</f>
        <v>West</v>
      </c>
      <c r="J788" t="str">
        <f>PROPER(TRIM(sales_data!G788))</f>
        <v>Clothing</v>
      </c>
      <c r="K788" t="str">
        <f>PROPER(TRIM(sales_data!J788))</f>
        <v>New</v>
      </c>
      <c r="L788" t="str">
        <f>PROPER(TRIM(sales_data!L788))</f>
        <v>Credit Card</v>
      </c>
      <c r="M788" t="str">
        <f>PROPER(TRIM(sales_data!M788))</f>
        <v>Online</v>
      </c>
      <c r="N788">
        <f t="shared" si="49"/>
        <v>150.61999999999034</v>
      </c>
      <c r="O788">
        <f t="shared" si="50"/>
        <v>753.09999999995171</v>
      </c>
      <c r="P788" t="str">
        <f t="shared" si="51"/>
        <v>Jun</v>
      </c>
    </row>
    <row r="789" spans="1:16" x14ac:dyDescent="0.25">
      <c r="A789">
        <v>1005</v>
      </c>
      <c r="B789" s="1">
        <v>45177</v>
      </c>
      <c r="C789">
        <f t="shared" si="48"/>
        <v>40757.714999999997</v>
      </c>
      <c r="D789">
        <v>9</v>
      </c>
      <c r="E789">
        <v>4737.0600000000004</v>
      </c>
      <c r="F789">
        <v>4869.5</v>
      </c>
      <c r="G789">
        <v>7.0000000000000007E-2</v>
      </c>
      <c r="H789" t="str">
        <f>PROPER(TRIM(sales_data!C789))</f>
        <v>Eve</v>
      </c>
      <c r="I789" t="str">
        <f>PROPER(TRIM(sales_data!D789))</f>
        <v>North</v>
      </c>
      <c r="J789" t="str">
        <f>PROPER(TRIM(sales_data!G789))</f>
        <v>Electronics</v>
      </c>
      <c r="K789" t="str">
        <f>PROPER(TRIM(sales_data!J789))</f>
        <v>New</v>
      </c>
      <c r="L789" t="str">
        <f>PROPER(TRIM(sales_data!L789))</f>
        <v>Cash</v>
      </c>
      <c r="M789" t="str">
        <f>PROPER(TRIM(sales_data!M789))</f>
        <v>Online</v>
      </c>
      <c r="N789">
        <f t="shared" si="49"/>
        <v>132.4399999999996</v>
      </c>
      <c r="O789">
        <f t="shared" si="50"/>
        <v>1191.9599999999964</v>
      </c>
      <c r="P789" t="str">
        <f t="shared" si="51"/>
        <v>Sep</v>
      </c>
    </row>
    <row r="790" spans="1:16" x14ac:dyDescent="0.25">
      <c r="A790">
        <v>1033</v>
      </c>
      <c r="B790" s="1">
        <v>45153</v>
      </c>
      <c r="C790">
        <f t="shared" si="48"/>
        <v>43061.650499999734</v>
      </c>
      <c r="D790">
        <v>29</v>
      </c>
      <c r="E790">
        <v>1412.09</v>
      </c>
      <c r="F790">
        <v>1596.6499999999901</v>
      </c>
      <c r="G790">
        <v>7.0000000000000007E-2</v>
      </c>
      <c r="H790" t="str">
        <f>PROPER(TRIM(sales_data!C790))</f>
        <v>Eve</v>
      </c>
      <c r="I790" t="str">
        <f>PROPER(TRIM(sales_data!D790))</f>
        <v>East</v>
      </c>
      <c r="J790" t="str">
        <f>PROPER(TRIM(sales_data!G790))</f>
        <v>Clothing</v>
      </c>
      <c r="K790" t="str">
        <f>PROPER(TRIM(sales_data!J790))</f>
        <v>Returning</v>
      </c>
      <c r="L790" t="str">
        <f>PROPER(TRIM(sales_data!L790))</f>
        <v>Cash</v>
      </c>
      <c r="M790" t="str">
        <f>PROPER(TRIM(sales_data!M790))</f>
        <v>Online</v>
      </c>
      <c r="N790">
        <f t="shared" si="49"/>
        <v>184.55999999999017</v>
      </c>
      <c r="O790">
        <f t="shared" si="50"/>
        <v>5352.2399999997151</v>
      </c>
      <c r="P790" t="str">
        <f t="shared" si="51"/>
        <v>Aug</v>
      </c>
    </row>
    <row r="791" spans="1:16" x14ac:dyDescent="0.25">
      <c r="A791">
        <v>1065</v>
      </c>
      <c r="B791" s="1">
        <v>44933</v>
      </c>
      <c r="C791">
        <f t="shared" si="48"/>
        <v>11303.391599999999</v>
      </c>
      <c r="D791">
        <v>6</v>
      </c>
      <c r="E791">
        <v>2019.9</v>
      </c>
      <c r="F791">
        <v>2116.7399999999998</v>
      </c>
      <c r="G791">
        <v>0.11</v>
      </c>
      <c r="H791" t="str">
        <f>PROPER(TRIM(sales_data!C791))</f>
        <v>Eve</v>
      </c>
      <c r="I791" t="str">
        <f>PROPER(TRIM(sales_data!D791))</f>
        <v>North</v>
      </c>
      <c r="J791" t="str">
        <f>PROPER(TRIM(sales_data!G791))</f>
        <v>Clothing</v>
      </c>
      <c r="K791" t="str">
        <f>PROPER(TRIM(sales_data!J791))</f>
        <v>New</v>
      </c>
      <c r="L791" t="str">
        <f>PROPER(TRIM(sales_data!L791))</f>
        <v>Credit Card</v>
      </c>
      <c r="M791" t="str">
        <f>PROPER(TRIM(sales_data!M791))</f>
        <v>Online</v>
      </c>
      <c r="N791">
        <f t="shared" si="49"/>
        <v>96.839999999999691</v>
      </c>
      <c r="O791">
        <f t="shared" si="50"/>
        <v>581.03999999999814</v>
      </c>
      <c r="P791" t="str">
        <f t="shared" si="51"/>
        <v>Jan</v>
      </c>
    </row>
    <row r="792" spans="1:16" x14ac:dyDescent="0.25">
      <c r="A792">
        <v>1018</v>
      </c>
      <c r="B792" s="1">
        <v>44955</v>
      </c>
      <c r="C792">
        <f t="shared" si="48"/>
        <v>116515.74749999976</v>
      </c>
      <c r="D792">
        <v>25</v>
      </c>
      <c r="E792">
        <v>4660.82</v>
      </c>
      <c r="F792">
        <v>5011.4299999999903</v>
      </c>
      <c r="G792">
        <v>7.0000000000000007E-2</v>
      </c>
      <c r="H792" t="str">
        <f>PROPER(TRIM(sales_data!C792))</f>
        <v>David</v>
      </c>
      <c r="I792" t="str">
        <f>PROPER(TRIM(sales_data!D792))</f>
        <v>West</v>
      </c>
      <c r="J792" t="str">
        <f>PROPER(TRIM(sales_data!G792))</f>
        <v>Food</v>
      </c>
      <c r="K792" t="str">
        <f>PROPER(TRIM(sales_data!J792))</f>
        <v>New</v>
      </c>
      <c r="L792" t="str">
        <f>PROPER(TRIM(sales_data!L792))</f>
        <v>Bank Transfer</v>
      </c>
      <c r="M792" t="str">
        <f>PROPER(TRIM(sales_data!M792))</f>
        <v>Online</v>
      </c>
      <c r="N792">
        <f t="shared" si="49"/>
        <v>350.60999999999058</v>
      </c>
      <c r="O792">
        <f t="shared" si="50"/>
        <v>8765.2499999997635</v>
      </c>
      <c r="P792" t="str">
        <f t="shared" si="51"/>
        <v>Jan</v>
      </c>
    </row>
    <row r="793" spans="1:16" x14ac:dyDescent="0.25">
      <c r="A793">
        <v>1096</v>
      </c>
      <c r="B793" s="1">
        <v>44959</v>
      </c>
      <c r="C793">
        <f t="shared" si="48"/>
        <v>52391.425999999999</v>
      </c>
      <c r="D793">
        <v>31</v>
      </c>
      <c r="E793">
        <v>1724.24</v>
      </c>
      <c r="F793">
        <v>2036.2</v>
      </c>
      <c r="G793">
        <v>0.17</v>
      </c>
      <c r="H793" t="str">
        <f>PROPER(TRIM(sales_data!C793))</f>
        <v>Alice</v>
      </c>
      <c r="I793" t="str">
        <f>PROPER(TRIM(sales_data!D793))</f>
        <v>East</v>
      </c>
      <c r="J793" t="str">
        <f>PROPER(TRIM(sales_data!G793))</f>
        <v>Electronics</v>
      </c>
      <c r="K793" t="str">
        <f>PROPER(TRIM(sales_data!J793))</f>
        <v>New</v>
      </c>
      <c r="L793" t="str">
        <f>PROPER(TRIM(sales_data!L793))</f>
        <v>Cash</v>
      </c>
      <c r="M793" t="str">
        <f>PROPER(TRIM(sales_data!M793))</f>
        <v>Online</v>
      </c>
      <c r="N793">
        <f t="shared" si="49"/>
        <v>311.96000000000004</v>
      </c>
      <c r="O793">
        <f t="shared" si="50"/>
        <v>9670.760000000002</v>
      </c>
      <c r="P793" t="str">
        <f t="shared" si="51"/>
        <v>Feb</v>
      </c>
    </row>
    <row r="794" spans="1:16" x14ac:dyDescent="0.25">
      <c r="A794">
        <v>1049</v>
      </c>
      <c r="B794" s="1">
        <v>45060</v>
      </c>
      <c r="C794">
        <f t="shared" si="48"/>
        <v>101804.73599999979</v>
      </c>
      <c r="D794">
        <v>22</v>
      </c>
      <c r="E794">
        <v>4573.6899999999996</v>
      </c>
      <c r="F794">
        <v>4820.2999999999902</v>
      </c>
      <c r="G794">
        <v>0.04</v>
      </c>
      <c r="H794" t="str">
        <f>PROPER(TRIM(sales_data!C794))</f>
        <v>Eve</v>
      </c>
      <c r="I794" t="str">
        <f>PROPER(TRIM(sales_data!D794))</f>
        <v>South</v>
      </c>
      <c r="J794" t="str">
        <f>PROPER(TRIM(sales_data!G794))</f>
        <v>Electronics</v>
      </c>
      <c r="K794" t="str">
        <f>PROPER(TRIM(sales_data!J794))</f>
        <v>New</v>
      </c>
      <c r="L794" t="str">
        <f>PROPER(TRIM(sales_data!L794))</f>
        <v>Cash</v>
      </c>
      <c r="M794" t="str">
        <f>PROPER(TRIM(sales_data!M794))</f>
        <v>Online</v>
      </c>
      <c r="N794">
        <f t="shared" si="49"/>
        <v>246.60999999999058</v>
      </c>
      <c r="O794">
        <f t="shared" si="50"/>
        <v>5425.4199999997927</v>
      </c>
      <c r="P794" t="str">
        <f t="shared" si="51"/>
        <v>May</v>
      </c>
    </row>
    <row r="795" spans="1:16" x14ac:dyDescent="0.25">
      <c r="A795">
        <v>1011</v>
      </c>
      <c r="B795" s="1">
        <v>45005</v>
      </c>
      <c r="C795">
        <f t="shared" si="48"/>
        <v>9193.3740000000016</v>
      </c>
      <c r="D795">
        <v>2</v>
      </c>
      <c r="E795">
        <v>4906.17</v>
      </c>
      <c r="F795">
        <v>5107.43</v>
      </c>
      <c r="G795">
        <v>0.1</v>
      </c>
      <c r="H795" t="str">
        <f>PROPER(TRIM(sales_data!C795))</f>
        <v>Bob</v>
      </c>
      <c r="I795" t="str">
        <f>PROPER(TRIM(sales_data!D795))</f>
        <v>East</v>
      </c>
      <c r="J795" t="str">
        <f>PROPER(TRIM(sales_data!G795))</f>
        <v>Furniture</v>
      </c>
      <c r="K795" t="str">
        <f>PROPER(TRIM(sales_data!J795))</f>
        <v>Returning</v>
      </c>
      <c r="L795" t="str">
        <f>PROPER(TRIM(sales_data!L795))</f>
        <v>Cash</v>
      </c>
      <c r="M795" t="str">
        <f>PROPER(TRIM(sales_data!M795))</f>
        <v>Online</v>
      </c>
      <c r="N795">
        <f t="shared" si="49"/>
        <v>201.26000000000022</v>
      </c>
      <c r="O795">
        <f t="shared" si="50"/>
        <v>402.52000000000044</v>
      </c>
      <c r="P795" t="str">
        <f t="shared" si="51"/>
        <v>Mar</v>
      </c>
    </row>
    <row r="796" spans="1:16" x14ac:dyDescent="0.25">
      <c r="A796">
        <v>1085</v>
      </c>
      <c r="B796" s="1">
        <v>44984</v>
      </c>
      <c r="C796">
        <f t="shared" si="48"/>
        <v>124218.98999999999</v>
      </c>
      <c r="D796">
        <v>45</v>
      </c>
      <c r="E796">
        <v>3325.96</v>
      </c>
      <c r="F796">
        <v>3781.4</v>
      </c>
      <c r="G796">
        <v>0.27</v>
      </c>
      <c r="H796" t="str">
        <f>PROPER(TRIM(sales_data!C796))</f>
        <v>Eve</v>
      </c>
      <c r="I796" t="str">
        <f>PROPER(TRIM(sales_data!D796))</f>
        <v>West</v>
      </c>
      <c r="J796" t="str">
        <f>PROPER(TRIM(sales_data!G796))</f>
        <v>Furniture</v>
      </c>
      <c r="K796" t="str">
        <f>PROPER(TRIM(sales_data!J796))</f>
        <v>Returning</v>
      </c>
      <c r="L796" t="str">
        <f>PROPER(TRIM(sales_data!L796))</f>
        <v>Credit Card</v>
      </c>
      <c r="M796" t="str">
        <f>PROPER(TRIM(sales_data!M796))</f>
        <v>Online</v>
      </c>
      <c r="N796">
        <f t="shared" si="49"/>
        <v>455.44000000000005</v>
      </c>
      <c r="O796">
        <f t="shared" si="50"/>
        <v>20494.800000000003</v>
      </c>
      <c r="P796" t="str">
        <f t="shared" si="51"/>
        <v>Feb</v>
      </c>
    </row>
    <row r="797" spans="1:16" x14ac:dyDescent="0.25">
      <c r="A797">
        <v>1026</v>
      </c>
      <c r="B797" s="1">
        <v>44952</v>
      </c>
      <c r="C797">
        <f t="shared" si="48"/>
        <v>18118.672000000002</v>
      </c>
      <c r="D797">
        <v>5</v>
      </c>
      <c r="E797">
        <v>4093.61</v>
      </c>
      <c r="F797">
        <v>4117.88</v>
      </c>
      <c r="G797">
        <v>0.12</v>
      </c>
      <c r="H797" t="str">
        <f>PROPER(TRIM(sales_data!C797))</f>
        <v>David</v>
      </c>
      <c r="I797" t="str">
        <f>PROPER(TRIM(sales_data!D797))</f>
        <v>East</v>
      </c>
      <c r="J797" t="str">
        <f>PROPER(TRIM(sales_data!G797))</f>
        <v>Food</v>
      </c>
      <c r="K797" t="str">
        <f>PROPER(TRIM(sales_data!J797))</f>
        <v>Returning</v>
      </c>
      <c r="L797" t="str">
        <f>PROPER(TRIM(sales_data!L797))</f>
        <v>Credit Card</v>
      </c>
      <c r="M797" t="str">
        <f>PROPER(TRIM(sales_data!M797))</f>
        <v>Retail</v>
      </c>
      <c r="N797">
        <f t="shared" si="49"/>
        <v>24.269999999999982</v>
      </c>
      <c r="O797">
        <f t="shared" si="50"/>
        <v>121.34999999999991</v>
      </c>
      <c r="P797" t="str">
        <f t="shared" si="51"/>
        <v>Jan</v>
      </c>
    </row>
    <row r="798" spans="1:16" x14ac:dyDescent="0.25">
      <c r="A798">
        <v>1063</v>
      </c>
      <c r="B798" s="1">
        <v>45152</v>
      </c>
      <c r="C798">
        <f t="shared" si="48"/>
        <v>87338.136599999998</v>
      </c>
      <c r="D798">
        <v>27</v>
      </c>
      <c r="E798">
        <v>3760.25</v>
      </c>
      <c r="F798">
        <v>4147.1099999999997</v>
      </c>
      <c r="G798">
        <v>0.22</v>
      </c>
      <c r="H798" t="str">
        <f>PROPER(TRIM(sales_data!C798))</f>
        <v>Bob</v>
      </c>
      <c r="I798" t="str">
        <f>PROPER(TRIM(sales_data!D798))</f>
        <v>North</v>
      </c>
      <c r="J798" t="str">
        <f>PROPER(TRIM(sales_data!G798))</f>
        <v>Clothing</v>
      </c>
      <c r="K798" t="str">
        <f>PROPER(TRIM(sales_data!J798))</f>
        <v>New</v>
      </c>
      <c r="L798" t="str">
        <f>PROPER(TRIM(sales_data!L798))</f>
        <v>Cash</v>
      </c>
      <c r="M798" t="str">
        <f>PROPER(TRIM(sales_data!M798))</f>
        <v>Online</v>
      </c>
      <c r="N798">
        <f t="shared" si="49"/>
        <v>386.85999999999967</v>
      </c>
      <c r="O798">
        <f t="shared" si="50"/>
        <v>10445.21999999999</v>
      </c>
      <c r="P798" t="str">
        <f t="shared" si="51"/>
        <v>Aug</v>
      </c>
    </row>
    <row r="799" spans="1:16" x14ac:dyDescent="0.25">
      <c r="A799">
        <v>1089</v>
      </c>
      <c r="B799" s="1">
        <v>45211</v>
      </c>
      <c r="C799">
        <f t="shared" si="48"/>
        <v>96142.277499999997</v>
      </c>
      <c r="D799">
        <v>25</v>
      </c>
      <c r="E799">
        <v>3512.69</v>
      </c>
      <c r="F799">
        <v>3964.63</v>
      </c>
      <c r="G799">
        <v>0.03</v>
      </c>
      <c r="H799" t="str">
        <f>PROPER(TRIM(sales_data!C799))</f>
        <v>David</v>
      </c>
      <c r="I799" t="str">
        <f>PROPER(TRIM(sales_data!D799))</f>
        <v>South</v>
      </c>
      <c r="J799" t="str">
        <f>PROPER(TRIM(sales_data!G799))</f>
        <v>Furniture</v>
      </c>
      <c r="K799" t="str">
        <f>PROPER(TRIM(sales_data!J799))</f>
        <v>Returning</v>
      </c>
      <c r="L799" t="str">
        <f>PROPER(TRIM(sales_data!L799))</f>
        <v>Credit Card</v>
      </c>
      <c r="M799" t="str">
        <f>PROPER(TRIM(sales_data!M799))</f>
        <v>Retail</v>
      </c>
      <c r="N799">
        <f t="shared" si="49"/>
        <v>451.94000000000005</v>
      </c>
      <c r="O799">
        <f t="shared" si="50"/>
        <v>11298.500000000002</v>
      </c>
      <c r="P799" t="str">
        <f t="shared" si="51"/>
        <v>Oct</v>
      </c>
    </row>
    <row r="800" spans="1:16" x14ac:dyDescent="0.25">
      <c r="A800">
        <v>1086</v>
      </c>
      <c r="B800" s="1">
        <v>44930</v>
      </c>
      <c r="C800">
        <f t="shared" si="48"/>
        <v>13377.2688</v>
      </c>
      <c r="D800">
        <v>8</v>
      </c>
      <c r="E800">
        <v>1569.31</v>
      </c>
      <c r="F800">
        <v>1798.02</v>
      </c>
      <c r="G800">
        <v>7.0000000000000007E-2</v>
      </c>
      <c r="H800" t="str">
        <f>PROPER(TRIM(sales_data!C800))</f>
        <v>Bob</v>
      </c>
      <c r="I800" t="str">
        <f>PROPER(TRIM(sales_data!D800))</f>
        <v>South</v>
      </c>
      <c r="J800" t="str">
        <f>PROPER(TRIM(sales_data!G800))</f>
        <v>Furniture</v>
      </c>
      <c r="K800" t="str">
        <f>PROPER(TRIM(sales_data!J800))</f>
        <v>New</v>
      </c>
      <c r="L800" t="str">
        <f>PROPER(TRIM(sales_data!L800))</f>
        <v>Credit Card</v>
      </c>
      <c r="M800" t="str">
        <f>PROPER(TRIM(sales_data!M800))</f>
        <v>Online</v>
      </c>
      <c r="N800">
        <f t="shared" si="49"/>
        <v>228.71000000000004</v>
      </c>
      <c r="O800">
        <f t="shared" si="50"/>
        <v>1829.6800000000003</v>
      </c>
      <c r="P800" t="str">
        <f t="shared" si="51"/>
        <v>Jan</v>
      </c>
    </row>
    <row r="801" spans="1:16" x14ac:dyDescent="0.25">
      <c r="A801">
        <v>1059</v>
      </c>
      <c r="B801" s="1">
        <v>45025</v>
      </c>
      <c r="C801">
        <f t="shared" si="48"/>
        <v>465.46960000000001</v>
      </c>
      <c r="D801">
        <v>1</v>
      </c>
      <c r="E801">
        <v>332.62</v>
      </c>
      <c r="F801">
        <v>612.46</v>
      </c>
      <c r="G801">
        <v>0.24</v>
      </c>
      <c r="H801" t="str">
        <f>PROPER(TRIM(sales_data!C801))</f>
        <v>Charlie</v>
      </c>
      <c r="I801" t="str">
        <f>PROPER(TRIM(sales_data!D801))</f>
        <v>South</v>
      </c>
      <c r="J801" t="str">
        <f>PROPER(TRIM(sales_data!G801))</f>
        <v>Electronics</v>
      </c>
      <c r="K801" t="str">
        <f>PROPER(TRIM(sales_data!J801))</f>
        <v>Returning</v>
      </c>
      <c r="L801" t="str">
        <f>PROPER(TRIM(sales_data!L801))</f>
        <v>Cash</v>
      </c>
      <c r="M801" t="str">
        <f>PROPER(TRIM(sales_data!M801))</f>
        <v>Retail</v>
      </c>
      <c r="N801">
        <f t="shared" si="49"/>
        <v>279.84000000000003</v>
      </c>
      <c r="O801">
        <f t="shared" si="50"/>
        <v>279.84000000000003</v>
      </c>
      <c r="P801" t="str">
        <f t="shared" si="51"/>
        <v>Apr</v>
      </c>
    </row>
    <row r="802" spans="1:16" x14ac:dyDescent="0.25">
      <c r="A802">
        <v>1027</v>
      </c>
      <c r="B802" s="1">
        <v>44965</v>
      </c>
      <c r="C802">
        <f t="shared" si="48"/>
        <v>34201.86</v>
      </c>
      <c r="D802">
        <v>20</v>
      </c>
      <c r="E802">
        <v>1748.11</v>
      </c>
      <c r="F802">
        <v>2220.9</v>
      </c>
      <c r="G802">
        <v>0.23</v>
      </c>
      <c r="H802" t="str">
        <f>PROPER(TRIM(sales_data!C802))</f>
        <v>Alice</v>
      </c>
      <c r="I802" t="str">
        <f>PROPER(TRIM(sales_data!D802))</f>
        <v>West</v>
      </c>
      <c r="J802" t="str">
        <f>PROPER(TRIM(sales_data!G802))</f>
        <v>Electronics</v>
      </c>
      <c r="K802" t="str">
        <f>PROPER(TRIM(sales_data!J802))</f>
        <v>New</v>
      </c>
      <c r="L802" t="str">
        <f>PROPER(TRIM(sales_data!L802))</f>
        <v>Credit Card</v>
      </c>
      <c r="M802" t="str">
        <f>PROPER(TRIM(sales_data!M802))</f>
        <v>Retail</v>
      </c>
      <c r="N802">
        <f t="shared" si="49"/>
        <v>472.79000000000019</v>
      </c>
      <c r="O802">
        <f t="shared" si="50"/>
        <v>9455.8000000000029</v>
      </c>
      <c r="P802" t="str">
        <f t="shared" si="51"/>
        <v>Feb</v>
      </c>
    </row>
    <row r="803" spans="1:16" x14ac:dyDescent="0.25">
      <c r="A803">
        <v>1049</v>
      </c>
      <c r="B803" s="1">
        <v>45197</v>
      </c>
      <c r="C803">
        <f t="shared" si="48"/>
        <v>134178.35199999998</v>
      </c>
      <c r="D803">
        <v>44</v>
      </c>
      <c r="E803">
        <v>3351.33</v>
      </c>
      <c r="F803">
        <v>3465.35</v>
      </c>
      <c r="G803">
        <v>0.12</v>
      </c>
      <c r="H803" t="str">
        <f>PROPER(TRIM(sales_data!C803))</f>
        <v>Alice</v>
      </c>
      <c r="I803" t="str">
        <f>PROPER(TRIM(sales_data!D803))</f>
        <v>West</v>
      </c>
      <c r="J803" t="str">
        <f>PROPER(TRIM(sales_data!G803))</f>
        <v>Furniture</v>
      </c>
      <c r="K803" t="str">
        <f>PROPER(TRIM(sales_data!J803))</f>
        <v>Returning</v>
      </c>
      <c r="L803" t="str">
        <f>PROPER(TRIM(sales_data!L803))</f>
        <v>Bank Transfer</v>
      </c>
      <c r="M803" t="str">
        <f>PROPER(TRIM(sales_data!M803))</f>
        <v>Online</v>
      </c>
      <c r="N803">
        <f t="shared" si="49"/>
        <v>114.01999999999998</v>
      </c>
      <c r="O803">
        <f t="shared" si="50"/>
        <v>5016.8799999999992</v>
      </c>
      <c r="P803" t="str">
        <f t="shared" si="51"/>
        <v>Sep</v>
      </c>
    </row>
    <row r="804" spans="1:16" x14ac:dyDescent="0.25">
      <c r="A804">
        <v>1077</v>
      </c>
      <c r="B804" s="1">
        <v>45211</v>
      </c>
      <c r="C804">
        <f t="shared" si="48"/>
        <v>13429.628699999999</v>
      </c>
      <c r="D804">
        <v>23</v>
      </c>
      <c r="E804">
        <v>557.52</v>
      </c>
      <c r="F804">
        <v>822.39</v>
      </c>
      <c r="G804">
        <v>0.28999999999999998</v>
      </c>
      <c r="H804" t="str">
        <f>PROPER(TRIM(sales_data!C804))</f>
        <v>David</v>
      </c>
      <c r="I804" t="str">
        <f>PROPER(TRIM(sales_data!D804))</f>
        <v>South</v>
      </c>
      <c r="J804" t="str">
        <f>PROPER(TRIM(sales_data!G804))</f>
        <v>Electronics</v>
      </c>
      <c r="K804" t="str">
        <f>PROPER(TRIM(sales_data!J804))</f>
        <v>Returning</v>
      </c>
      <c r="L804" t="str">
        <f>PROPER(TRIM(sales_data!L804))</f>
        <v>Credit Card</v>
      </c>
      <c r="M804" t="str">
        <f>PROPER(TRIM(sales_data!M804))</f>
        <v>Online</v>
      </c>
      <c r="N804">
        <f t="shared" si="49"/>
        <v>264.87</v>
      </c>
      <c r="O804">
        <f t="shared" si="50"/>
        <v>6092.01</v>
      </c>
      <c r="P804" t="str">
        <f t="shared" si="51"/>
        <v>Oct</v>
      </c>
    </row>
    <row r="805" spans="1:16" x14ac:dyDescent="0.25">
      <c r="A805">
        <v>1033</v>
      </c>
      <c r="B805" s="1">
        <v>45083</v>
      </c>
      <c r="C805">
        <f t="shared" si="48"/>
        <v>8213.3760000000002</v>
      </c>
      <c r="D805">
        <v>32</v>
      </c>
      <c r="E805">
        <v>108.99</v>
      </c>
      <c r="F805">
        <v>351.6</v>
      </c>
      <c r="G805">
        <v>0.27</v>
      </c>
      <c r="H805" t="str">
        <f>PROPER(TRIM(sales_data!C805))</f>
        <v>Alice</v>
      </c>
      <c r="I805" t="str">
        <f>PROPER(TRIM(sales_data!D805))</f>
        <v>East</v>
      </c>
      <c r="J805" t="str">
        <f>PROPER(TRIM(sales_data!G805))</f>
        <v>Food</v>
      </c>
      <c r="K805" t="str">
        <f>PROPER(TRIM(sales_data!J805))</f>
        <v>Returning</v>
      </c>
      <c r="L805" t="str">
        <f>PROPER(TRIM(sales_data!L805))</f>
        <v>Credit Card</v>
      </c>
      <c r="M805" t="str">
        <f>PROPER(TRIM(sales_data!M805))</f>
        <v>Retail</v>
      </c>
      <c r="N805">
        <f t="shared" si="49"/>
        <v>242.61</v>
      </c>
      <c r="O805">
        <f t="shared" si="50"/>
        <v>7763.52</v>
      </c>
      <c r="P805" t="str">
        <f t="shared" si="51"/>
        <v>Jun</v>
      </c>
    </row>
    <row r="806" spans="1:16" x14ac:dyDescent="0.25">
      <c r="A806">
        <v>1098</v>
      </c>
      <c r="B806" s="1">
        <v>45001</v>
      </c>
      <c r="C806">
        <f t="shared" si="48"/>
        <v>6857.8828999999996</v>
      </c>
      <c r="D806">
        <v>11</v>
      </c>
      <c r="E806">
        <v>741.48</v>
      </c>
      <c r="F806">
        <v>878.09</v>
      </c>
      <c r="G806">
        <v>0.28999999999999998</v>
      </c>
      <c r="H806" t="str">
        <f>PROPER(TRIM(sales_data!C806))</f>
        <v>David</v>
      </c>
      <c r="I806" t="str">
        <f>PROPER(TRIM(sales_data!D806))</f>
        <v>South</v>
      </c>
      <c r="J806" t="str">
        <f>PROPER(TRIM(sales_data!G806))</f>
        <v>Furniture</v>
      </c>
      <c r="K806" t="str">
        <f>PROPER(TRIM(sales_data!J806))</f>
        <v>New</v>
      </c>
      <c r="L806" t="str">
        <f>PROPER(TRIM(sales_data!L806))</f>
        <v>Cash</v>
      </c>
      <c r="M806" t="str">
        <f>PROPER(TRIM(sales_data!M806))</f>
        <v>Retail</v>
      </c>
      <c r="N806">
        <f t="shared" si="49"/>
        <v>136.61000000000001</v>
      </c>
      <c r="O806">
        <f t="shared" si="50"/>
        <v>1502.71</v>
      </c>
      <c r="P806" t="str">
        <f t="shared" si="51"/>
        <v>Mar</v>
      </c>
    </row>
    <row r="807" spans="1:16" x14ac:dyDescent="0.25">
      <c r="A807">
        <v>1099</v>
      </c>
      <c r="B807" s="1">
        <v>45214</v>
      </c>
      <c r="C807">
        <f t="shared" si="48"/>
        <v>135855.72</v>
      </c>
      <c r="D807">
        <v>39</v>
      </c>
      <c r="E807">
        <v>3592.89</v>
      </c>
      <c r="F807">
        <v>4004</v>
      </c>
      <c r="G807">
        <v>0.13</v>
      </c>
      <c r="H807" t="str">
        <f>PROPER(TRIM(sales_data!C807))</f>
        <v>David</v>
      </c>
      <c r="I807" t="str">
        <f>PROPER(TRIM(sales_data!D807))</f>
        <v>East</v>
      </c>
      <c r="J807" t="str">
        <f>PROPER(TRIM(sales_data!G807))</f>
        <v>Electronics</v>
      </c>
      <c r="K807" t="str">
        <f>PROPER(TRIM(sales_data!J807))</f>
        <v>New</v>
      </c>
      <c r="L807" t="str">
        <f>PROPER(TRIM(sales_data!L807))</f>
        <v>Cash</v>
      </c>
      <c r="M807" t="str">
        <f>PROPER(TRIM(sales_data!M807))</f>
        <v>Online</v>
      </c>
      <c r="N807">
        <f t="shared" si="49"/>
        <v>411.11000000000013</v>
      </c>
      <c r="O807">
        <f t="shared" si="50"/>
        <v>16033.290000000005</v>
      </c>
      <c r="P807" t="str">
        <f t="shared" si="51"/>
        <v>Oct</v>
      </c>
    </row>
    <row r="808" spans="1:16" x14ac:dyDescent="0.25">
      <c r="A808">
        <v>1001</v>
      </c>
      <c r="B808" s="1">
        <v>45056</v>
      </c>
      <c r="C808">
        <f t="shared" si="48"/>
        <v>234866.62340000001</v>
      </c>
      <c r="D808">
        <v>47</v>
      </c>
      <c r="E808">
        <v>4865.33</v>
      </c>
      <c r="F808">
        <v>5316.13</v>
      </c>
      <c r="G808">
        <v>0.06</v>
      </c>
      <c r="H808" t="str">
        <f>PROPER(TRIM(sales_data!C808))</f>
        <v>David</v>
      </c>
      <c r="I808" t="str">
        <f>PROPER(TRIM(sales_data!D808))</f>
        <v>East</v>
      </c>
      <c r="J808" t="str">
        <f>PROPER(TRIM(sales_data!G808))</f>
        <v>Food</v>
      </c>
      <c r="K808" t="str">
        <f>PROPER(TRIM(sales_data!J808))</f>
        <v>New</v>
      </c>
      <c r="L808" t="str">
        <f>PROPER(TRIM(sales_data!L808))</f>
        <v>Bank Transfer</v>
      </c>
      <c r="M808" t="str">
        <f>PROPER(TRIM(sales_data!M808))</f>
        <v>Online</v>
      </c>
      <c r="N808">
        <f t="shared" si="49"/>
        <v>450.80000000000018</v>
      </c>
      <c r="O808">
        <f t="shared" si="50"/>
        <v>21187.600000000009</v>
      </c>
      <c r="P808" t="str">
        <f t="shared" si="51"/>
        <v>May</v>
      </c>
    </row>
    <row r="809" spans="1:16" x14ac:dyDescent="0.25">
      <c r="A809">
        <v>1021</v>
      </c>
      <c r="B809" s="1">
        <v>45101</v>
      </c>
      <c r="C809">
        <f t="shared" si="48"/>
        <v>103213.1808</v>
      </c>
      <c r="D809">
        <v>24</v>
      </c>
      <c r="E809">
        <v>4916.17</v>
      </c>
      <c r="F809">
        <v>5309.32</v>
      </c>
      <c r="G809">
        <v>0.19</v>
      </c>
      <c r="H809" t="str">
        <f>PROPER(TRIM(sales_data!C809))</f>
        <v>Alice</v>
      </c>
      <c r="I809" t="str">
        <f>PROPER(TRIM(sales_data!D809))</f>
        <v>West</v>
      </c>
      <c r="J809" t="str">
        <f>PROPER(TRIM(sales_data!G809))</f>
        <v>Electronics</v>
      </c>
      <c r="K809" t="str">
        <f>PROPER(TRIM(sales_data!J809))</f>
        <v>Returning</v>
      </c>
      <c r="L809" t="str">
        <f>PROPER(TRIM(sales_data!L809))</f>
        <v>Credit Card</v>
      </c>
      <c r="M809" t="str">
        <f>PROPER(TRIM(sales_data!M809))</f>
        <v>Online</v>
      </c>
      <c r="N809">
        <f t="shared" si="49"/>
        <v>393.14999999999964</v>
      </c>
      <c r="O809">
        <f t="shared" si="50"/>
        <v>9435.5999999999913</v>
      </c>
      <c r="P809" t="str">
        <f t="shared" si="51"/>
        <v>Jun</v>
      </c>
    </row>
    <row r="810" spans="1:16" x14ac:dyDescent="0.25">
      <c r="A810">
        <v>1055</v>
      </c>
      <c r="B810" s="1">
        <v>45010</v>
      </c>
      <c r="C810">
        <f t="shared" si="48"/>
        <v>22602.081700000002</v>
      </c>
      <c r="D810">
        <v>11</v>
      </c>
      <c r="E810">
        <v>2495.1999999999998</v>
      </c>
      <c r="F810">
        <v>2600.9299999999998</v>
      </c>
      <c r="G810">
        <v>0.21</v>
      </c>
      <c r="H810" t="str">
        <f>PROPER(TRIM(sales_data!C810))</f>
        <v>David</v>
      </c>
      <c r="I810" t="str">
        <f>PROPER(TRIM(sales_data!D810))</f>
        <v>East</v>
      </c>
      <c r="J810" t="str">
        <f>PROPER(TRIM(sales_data!G810))</f>
        <v>Electronics</v>
      </c>
      <c r="K810" t="str">
        <f>PROPER(TRIM(sales_data!J810))</f>
        <v>New</v>
      </c>
      <c r="L810" t="str">
        <f>PROPER(TRIM(sales_data!L810))</f>
        <v>Bank Transfer</v>
      </c>
      <c r="M810" t="str">
        <f>PROPER(TRIM(sales_data!M810))</f>
        <v>Retail</v>
      </c>
      <c r="N810">
        <f t="shared" si="49"/>
        <v>105.73000000000002</v>
      </c>
      <c r="O810">
        <f t="shared" si="50"/>
        <v>1163.0300000000002</v>
      </c>
      <c r="P810" t="str">
        <f t="shared" si="51"/>
        <v>Mar</v>
      </c>
    </row>
    <row r="811" spans="1:16" x14ac:dyDescent="0.25">
      <c r="A811">
        <v>1006</v>
      </c>
      <c r="B811" s="1">
        <v>44948</v>
      </c>
      <c r="C811">
        <f t="shared" si="48"/>
        <v>122657.47200000001</v>
      </c>
      <c r="D811">
        <v>29</v>
      </c>
      <c r="E811">
        <v>4353.29</v>
      </c>
      <c r="F811">
        <v>4405.8</v>
      </c>
      <c r="G811">
        <v>0.04</v>
      </c>
      <c r="H811" t="str">
        <f>PROPER(TRIM(sales_data!C811))</f>
        <v>Alice</v>
      </c>
      <c r="I811" t="str">
        <f>PROPER(TRIM(sales_data!D811))</f>
        <v>South</v>
      </c>
      <c r="J811" t="str">
        <f>PROPER(TRIM(sales_data!G811))</f>
        <v>Electronics</v>
      </c>
      <c r="K811" t="str">
        <f>PROPER(TRIM(sales_data!J811))</f>
        <v>New</v>
      </c>
      <c r="L811" t="str">
        <f>PROPER(TRIM(sales_data!L811))</f>
        <v>Bank Transfer</v>
      </c>
      <c r="M811" t="str">
        <f>PROPER(TRIM(sales_data!M811))</f>
        <v>Online</v>
      </c>
      <c r="N811">
        <f t="shared" si="49"/>
        <v>52.510000000000218</v>
      </c>
      <c r="O811">
        <f t="shared" si="50"/>
        <v>1522.7900000000063</v>
      </c>
      <c r="P811" t="str">
        <f t="shared" si="51"/>
        <v>Jan</v>
      </c>
    </row>
    <row r="812" spans="1:16" x14ac:dyDescent="0.25">
      <c r="A812">
        <v>1092</v>
      </c>
      <c r="B812" s="1">
        <v>44953</v>
      </c>
      <c r="C812">
        <f t="shared" si="48"/>
        <v>79118.24960000001</v>
      </c>
      <c r="D812">
        <v>26</v>
      </c>
      <c r="E812">
        <v>3697.29</v>
      </c>
      <c r="F812">
        <v>4003.96</v>
      </c>
      <c r="G812">
        <v>0.24</v>
      </c>
      <c r="H812" t="str">
        <f>PROPER(TRIM(sales_data!C812))</f>
        <v>David</v>
      </c>
      <c r="I812" t="str">
        <f>PROPER(TRIM(sales_data!D812))</f>
        <v>West</v>
      </c>
      <c r="J812" t="str">
        <f>PROPER(TRIM(sales_data!G812))</f>
        <v>Furniture</v>
      </c>
      <c r="K812" t="str">
        <f>PROPER(TRIM(sales_data!J812))</f>
        <v>New</v>
      </c>
      <c r="L812" t="str">
        <f>PROPER(TRIM(sales_data!L812))</f>
        <v>Cash</v>
      </c>
      <c r="M812" t="str">
        <f>PROPER(TRIM(sales_data!M812))</f>
        <v>Online</v>
      </c>
      <c r="N812">
        <f t="shared" si="49"/>
        <v>306.67000000000007</v>
      </c>
      <c r="O812">
        <f t="shared" si="50"/>
        <v>7973.4200000000019</v>
      </c>
      <c r="P812" t="str">
        <f t="shared" si="51"/>
        <v>Jan</v>
      </c>
    </row>
    <row r="813" spans="1:16" x14ac:dyDescent="0.25">
      <c r="A813">
        <v>1081</v>
      </c>
      <c r="B813" s="1">
        <v>45121</v>
      </c>
      <c r="C813">
        <f t="shared" si="48"/>
        <v>40679.179199999999</v>
      </c>
      <c r="D813">
        <v>16</v>
      </c>
      <c r="E813">
        <v>2530.15</v>
      </c>
      <c r="F813">
        <v>2568.13</v>
      </c>
      <c r="G813">
        <v>0.01</v>
      </c>
      <c r="H813" t="str">
        <f>PROPER(TRIM(sales_data!C813))</f>
        <v>Eve</v>
      </c>
      <c r="I813" t="str">
        <f>PROPER(TRIM(sales_data!D813))</f>
        <v>North</v>
      </c>
      <c r="J813" t="str">
        <f>PROPER(TRIM(sales_data!G813))</f>
        <v>Clothing</v>
      </c>
      <c r="K813" t="str">
        <f>PROPER(TRIM(sales_data!J813))</f>
        <v>New</v>
      </c>
      <c r="L813" t="str">
        <f>PROPER(TRIM(sales_data!L813))</f>
        <v>Credit Card</v>
      </c>
      <c r="M813" t="str">
        <f>PROPER(TRIM(sales_data!M813))</f>
        <v>Online</v>
      </c>
      <c r="N813">
        <f t="shared" si="49"/>
        <v>37.980000000000018</v>
      </c>
      <c r="O813">
        <f t="shared" si="50"/>
        <v>607.68000000000029</v>
      </c>
      <c r="P813" t="str">
        <f t="shared" si="51"/>
        <v>Jul</v>
      </c>
    </row>
    <row r="814" spans="1:16" x14ac:dyDescent="0.25">
      <c r="A814">
        <v>1069</v>
      </c>
      <c r="B814" s="1">
        <v>45263</v>
      </c>
      <c r="C814">
        <f t="shared" si="48"/>
        <v>97067.683999999703</v>
      </c>
      <c r="D814">
        <v>35</v>
      </c>
      <c r="E814">
        <v>2885.16</v>
      </c>
      <c r="F814">
        <v>3224.8399999999901</v>
      </c>
      <c r="G814">
        <v>0.14000000000000001</v>
      </c>
      <c r="H814" t="str">
        <f>PROPER(TRIM(sales_data!C814))</f>
        <v>David</v>
      </c>
      <c r="I814" t="str">
        <f>PROPER(TRIM(sales_data!D814))</f>
        <v>North</v>
      </c>
      <c r="J814" t="str">
        <f>PROPER(TRIM(sales_data!G814))</f>
        <v>Electronics</v>
      </c>
      <c r="K814" t="str">
        <f>PROPER(TRIM(sales_data!J814))</f>
        <v>New</v>
      </c>
      <c r="L814" t="str">
        <f>PROPER(TRIM(sales_data!L814))</f>
        <v>Cash</v>
      </c>
      <c r="M814" t="str">
        <f>PROPER(TRIM(sales_data!M814))</f>
        <v>Online</v>
      </c>
      <c r="N814">
        <f t="shared" si="49"/>
        <v>339.67999999999029</v>
      </c>
      <c r="O814">
        <f t="shared" si="50"/>
        <v>11888.799999999661</v>
      </c>
      <c r="P814" t="str">
        <f t="shared" si="51"/>
        <v>Dec</v>
      </c>
    </row>
    <row r="815" spans="1:16" x14ac:dyDescent="0.25">
      <c r="A815">
        <v>1095</v>
      </c>
      <c r="B815" s="1">
        <v>45162</v>
      </c>
      <c r="C815">
        <f t="shared" si="48"/>
        <v>17985.239999999998</v>
      </c>
      <c r="D815">
        <v>20</v>
      </c>
      <c r="E815">
        <v>729.27</v>
      </c>
      <c r="F815">
        <v>999.18</v>
      </c>
      <c r="G815">
        <v>0.1</v>
      </c>
      <c r="H815" t="str">
        <f>PROPER(TRIM(sales_data!C815))</f>
        <v>Bob</v>
      </c>
      <c r="I815" t="str">
        <f>PROPER(TRIM(sales_data!D815))</f>
        <v>West</v>
      </c>
      <c r="J815" t="str">
        <f>PROPER(TRIM(sales_data!G815))</f>
        <v>Food</v>
      </c>
      <c r="K815" t="str">
        <f>PROPER(TRIM(sales_data!J815))</f>
        <v>New</v>
      </c>
      <c r="L815" t="str">
        <f>PROPER(TRIM(sales_data!L815))</f>
        <v>Bank Transfer</v>
      </c>
      <c r="M815" t="str">
        <f>PROPER(TRIM(sales_data!M815))</f>
        <v>Online</v>
      </c>
      <c r="N815">
        <f t="shared" si="49"/>
        <v>269.90999999999997</v>
      </c>
      <c r="O815">
        <f t="shared" si="50"/>
        <v>5398.1999999999989</v>
      </c>
      <c r="P815" t="str">
        <f t="shared" si="51"/>
        <v>Aug</v>
      </c>
    </row>
    <row r="816" spans="1:16" x14ac:dyDescent="0.25">
      <c r="A816">
        <v>1005</v>
      </c>
      <c r="B816" s="1">
        <v>45018</v>
      </c>
      <c r="C816">
        <f t="shared" si="48"/>
        <v>180339.6972</v>
      </c>
      <c r="D816">
        <v>46</v>
      </c>
      <c r="E816">
        <v>4691.42</v>
      </c>
      <c r="F816">
        <v>5026.1899999999996</v>
      </c>
      <c r="G816">
        <v>0.22</v>
      </c>
      <c r="H816" t="str">
        <f>PROPER(TRIM(sales_data!C816))</f>
        <v>David</v>
      </c>
      <c r="I816" t="str">
        <f>PROPER(TRIM(sales_data!D816))</f>
        <v>South</v>
      </c>
      <c r="J816" t="str">
        <f>PROPER(TRIM(sales_data!G816))</f>
        <v>Furniture</v>
      </c>
      <c r="K816" t="str">
        <f>PROPER(TRIM(sales_data!J816))</f>
        <v>Returning</v>
      </c>
      <c r="L816" t="str">
        <f>PROPER(TRIM(sales_data!L816))</f>
        <v>Bank Transfer</v>
      </c>
      <c r="M816" t="str">
        <f>PROPER(TRIM(sales_data!M816))</f>
        <v>Retail</v>
      </c>
      <c r="N816">
        <f t="shared" si="49"/>
        <v>334.76999999999953</v>
      </c>
      <c r="O816">
        <f t="shared" si="50"/>
        <v>15399.419999999978</v>
      </c>
      <c r="P816" t="str">
        <f t="shared" si="51"/>
        <v>Apr</v>
      </c>
    </row>
    <row r="817" spans="1:16" x14ac:dyDescent="0.25">
      <c r="A817">
        <v>1003</v>
      </c>
      <c r="B817" s="1">
        <v>44947</v>
      </c>
      <c r="C817">
        <f t="shared" si="48"/>
        <v>5709.0579000000007</v>
      </c>
      <c r="D817">
        <v>3</v>
      </c>
      <c r="E817">
        <v>1792.05</v>
      </c>
      <c r="F817">
        <v>2091.23</v>
      </c>
      <c r="G817">
        <v>0.09</v>
      </c>
      <c r="H817" t="str">
        <f>PROPER(TRIM(sales_data!C817))</f>
        <v>Charlie</v>
      </c>
      <c r="I817" t="str">
        <f>PROPER(TRIM(sales_data!D817))</f>
        <v>North</v>
      </c>
      <c r="J817" t="str">
        <f>PROPER(TRIM(sales_data!G817))</f>
        <v>Furniture</v>
      </c>
      <c r="K817" t="str">
        <f>PROPER(TRIM(sales_data!J817))</f>
        <v>Returning</v>
      </c>
      <c r="L817" t="str">
        <f>PROPER(TRIM(sales_data!L817))</f>
        <v>Cash</v>
      </c>
      <c r="M817" t="str">
        <f>PROPER(TRIM(sales_data!M817))</f>
        <v>Retail</v>
      </c>
      <c r="N817">
        <f t="shared" si="49"/>
        <v>299.18000000000006</v>
      </c>
      <c r="O817">
        <f t="shared" si="50"/>
        <v>897.54000000000019</v>
      </c>
      <c r="P817" t="str">
        <f t="shared" si="51"/>
        <v>Jan</v>
      </c>
    </row>
    <row r="818" spans="1:16" x14ac:dyDescent="0.25">
      <c r="A818">
        <v>1053</v>
      </c>
      <c r="B818" s="1">
        <v>45229</v>
      </c>
      <c r="C818">
        <f t="shared" si="48"/>
        <v>1856.67</v>
      </c>
      <c r="D818">
        <v>1</v>
      </c>
      <c r="E818">
        <v>2258.44</v>
      </c>
      <c r="F818">
        <v>2475.56</v>
      </c>
      <c r="G818">
        <v>0.25</v>
      </c>
      <c r="H818" t="str">
        <f>PROPER(TRIM(sales_data!C818))</f>
        <v>David</v>
      </c>
      <c r="I818" t="str">
        <f>PROPER(TRIM(sales_data!D818))</f>
        <v>North</v>
      </c>
      <c r="J818" t="str">
        <f>PROPER(TRIM(sales_data!G818))</f>
        <v>Food</v>
      </c>
      <c r="K818" t="str">
        <f>PROPER(TRIM(sales_data!J818))</f>
        <v>New</v>
      </c>
      <c r="L818" t="str">
        <f>PROPER(TRIM(sales_data!L818))</f>
        <v>Cash</v>
      </c>
      <c r="M818" t="str">
        <f>PROPER(TRIM(sales_data!M818))</f>
        <v>Online</v>
      </c>
      <c r="N818">
        <f t="shared" si="49"/>
        <v>217.11999999999989</v>
      </c>
      <c r="O818">
        <f t="shared" si="50"/>
        <v>217.11999999999989</v>
      </c>
      <c r="P818" t="str">
        <f t="shared" si="51"/>
        <v>Oct</v>
      </c>
    </row>
    <row r="819" spans="1:16" x14ac:dyDescent="0.25">
      <c r="A819">
        <v>1023</v>
      </c>
      <c r="B819" s="1">
        <v>45283</v>
      </c>
      <c r="C819">
        <f t="shared" si="48"/>
        <v>134240.60099999962</v>
      </c>
      <c r="D819">
        <v>47</v>
      </c>
      <c r="E819">
        <v>3374.72</v>
      </c>
      <c r="F819">
        <v>3483.1499999999901</v>
      </c>
      <c r="G819">
        <v>0.18</v>
      </c>
      <c r="H819" t="str">
        <f>PROPER(TRIM(sales_data!C819))</f>
        <v>Bob</v>
      </c>
      <c r="I819" t="str">
        <f>PROPER(TRIM(sales_data!D819))</f>
        <v>East</v>
      </c>
      <c r="J819" t="str">
        <f>PROPER(TRIM(sales_data!G819))</f>
        <v>Electronics</v>
      </c>
      <c r="K819" t="str">
        <f>PROPER(TRIM(sales_data!J819))</f>
        <v>Returning</v>
      </c>
      <c r="L819" t="str">
        <f>PROPER(TRIM(sales_data!L819))</f>
        <v>Cash</v>
      </c>
      <c r="M819" t="str">
        <f>PROPER(TRIM(sales_data!M819))</f>
        <v>Online</v>
      </c>
      <c r="N819">
        <f t="shared" si="49"/>
        <v>108.42999999999029</v>
      </c>
      <c r="O819">
        <f t="shared" si="50"/>
        <v>5096.2099999995435</v>
      </c>
      <c r="P819" t="str">
        <f t="shared" si="51"/>
        <v>Dec</v>
      </c>
    </row>
    <row r="820" spans="1:16" x14ac:dyDescent="0.25">
      <c r="A820">
        <v>1053</v>
      </c>
      <c r="B820" s="1">
        <v>45010</v>
      </c>
      <c r="C820">
        <f t="shared" si="48"/>
        <v>1415.5835999999999</v>
      </c>
      <c r="D820">
        <v>1</v>
      </c>
      <c r="E820">
        <v>1702.82</v>
      </c>
      <c r="F820">
        <v>1862.61</v>
      </c>
      <c r="G820">
        <v>0.24</v>
      </c>
      <c r="H820" t="str">
        <f>PROPER(TRIM(sales_data!C820))</f>
        <v>Bob</v>
      </c>
      <c r="I820" t="str">
        <f>PROPER(TRIM(sales_data!D820))</f>
        <v>East</v>
      </c>
      <c r="J820" t="str">
        <f>PROPER(TRIM(sales_data!G820))</f>
        <v>Clothing</v>
      </c>
      <c r="K820" t="str">
        <f>PROPER(TRIM(sales_data!J820))</f>
        <v>Returning</v>
      </c>
      <c r="L820" t="str">
        <f>PROPER(TRIM(sales_data!L820))</f>
        <v>Cash</v>
      </c>
      <c r="M820" t="str">
        <f>PROPER(TRIM(sales_data!M820))</f>
        <v>Retail</v>
      </c>
      <c r="N820">
        <f t="shared" si="49"/>
        <v>159.78999999999996</v>
      </c>
      <c r="O820">
        <f t="shared" si="50"/>
        <v>159.78999999999996</v>
      </c>
      <c r="P820" t="str">
        <f t="shared" si="51"/>
        <v>Mar</v>
      </c>
    </row>
    <row r="821" spans="1:16" x14ac:dyDescent="0.25">
      <c r="A821">
        <v>1037</v>
      </c>
      <c r="B821" s="1">
        <v>45188</v>
      </c>
      <c r="C821">
        <f t="shared" si="48"/>
        <v>18749.520999999997</v>
      </c>
      <c r="D821">
        <v>17</v>
      </c>
      <c r="E821">
        <v>1308.58</v>
      </c>
      <c r="F821">
        <v>1575.59</v>
      </c>
      <c r="G821">
        <v>0.3</v>
      </c>
      <c r="H821" t="str">
        <f>PROPER(TRIM(sales_data!C821))</f>
        <v>Alice</v>
      </c>
      <c r="I821" t="str">
        <f>PROPER(TRIM(sales_data!D821))</f>
        <v>South</v>
      </c>
      <c r="J821" t="str">
        <f>PROPER(TRIM(sales_data!G821))</f>
        <v>Electronics</v>
      </c>
      <c r="K821" t="str">
        <f>PROPER(TRIM(sales_data!J821))</f>
        <v>New</v>
      </c>
      <c r="L821" t="str">
        <f>PROPER(TRIM(sales_data!L821))</f>
        <v>Cash</v>
      </c>
      <c r="M821" t="str">
        <f>PROPER(TRIM(sales_data!M821))</f>
        <v>Online</v>
      </c>
      <c r="N821">
        <f t="shared" si="49"/>
        <v>267.01</v>
      </c>
      <c r="O821">
        <f t="shared" si="50"/>
        <v>4539.17</v>
      </c>
      <c r="P821" t="str">
        <f t="shared" si="51"/>
        <v>Sep</v>
      </c>
    </row>
    <row r="822" spans="1:16" x14ac:dyDescent="0.25">
      <c r="A822">
        <v>1074</v>
      </c>
      <c r="B822" s="1">
        <v>45073</v>
      </c>
      <c r="C822">
        <f t="shared" si="48"/>
        <v>5604.9760000000006</v>
      </c>
      <c r="D822">
        <v>2</v>
      </c>
      <c r="E822">
        <v>3173.69</v>
      </c>
      <c r="F822">
        <v>3503.11</v>
      </c>
      <c r="G822">
        <v>0.2</v>
      </c>
      <c r="H822" t="str">
        <f>PROPER(TRIM(sales_data!C822))</f>
        <v>Eve</v>
      </c>
      <c r="I822" t="str">
        <f>PROPER(TRIM(sales_data!D822))</f>
        <v>West</v>
      </c>
      <c r="J822" t="str">
        <f>PROPER(TRIM(sales_data!G822))</f>
        <v>Food</v>
      </c>
      <c r="K822" t="str">
        <f>PROPER(TRIM(sales_data!J822))</f>
        <v>New</v>
      </c>
      <c r="L822" t="str">
        <f>PROPER(TRIM(sales_data!L822))</f>
        <v>Bank Transfer</v>
      </c>
      <c r="M822" t="str">
        <f>PROPER(TRIM(sales_data!M822))</f>
        <v>Retail</v>
      </c>
      <c r="N822">
        <f t="shared" si="49"/>
        <v>329.42000000000007</v>
      </c>
      <c r="O822">
        <f t="shared" si="50"/>
        <v>658.84000000000015</v>
      </c>
      <c r="P822" t="str">
        <f t="shared" si="51"/>
        <v>May</v>
      </c>
    </row>
    <row r="823" spans="1:16" x14ac:dyDescent="0.25">
      <c r="A823">
        <v>1074</v>
      </c>
      <c r="B823" s="1">
        <v>45183</v>
      </c>
      <c r="C823">
        <f t="shared" si="48"/>
        <v>11482.085999999999</v>
      </c>
      <c r="D823">
        <v>29</v>
      </c>
      <c r="E823">
        <v>173.67</v>
      </c>
      <c r="F823">
        <v>565.62</v>
      </c>
      <c r="G823">
        <v>0.3</v>
      </c>
      <c r="H823" t="str">
        <f>PROPER(TRIM(sales_data!C823))</f>
        <v>David</v>
      </c>
      <c r="I823" t="str">
        <f>PROPER(TRIM(sales_data!D823))</f>
        <v>South</v>
      </c>
      <c r="J823" t="str">
        <f>PROPER(TRIM(sales_data!G823))</f>
        <v>Furniture</v>
      </c>
      <c r="K823" t="str">
        <f>PROPER(TRIM(sales_data!J823))</f>
        <v>Returning</v>
      </c>
      <c r="L823" t="str">
        <f>PROPER(TRIM(sales_data!L823))</f>
        <v>Cash</v>
      </c>
      <c r="M823" t="str">
        <f>PROPER(TRIM(sales_data!M823))</f>
        <v>Online</v>
      </c>
      <c r="N823">
        <f t="shared" si="49"/>
        <v>391.95000000000005</v>
      </c>
      <c r="O823">
        <f t="shared" si="50"/>
        <v>11366.550000000001</v>
      </c>
      <c r="P823" t="str">
        <f t="shared" si="51"/>
        <v>Sep</v>
      </c>
    </row>
    <row r="824" spans="1:16" x14ac:dyDescent="0.25">
      <c r="A824">
        <v>1083</v>
      </c>
      <c r="B824" s="1">
        <v>44984</v>
      </c>
      <c r="C824">
        <f t="shared" si="48"/>
        <v>79269.3</v>
      </c>
      <c r="D824">
        <v>20</v>
      </c>
      <c r="E824">
        <v>3617.59</v>
      </c>
      <c r="F824">
        <v>4003.5</v>
      </c>
      <c r="G824">
        <v>0.01</v>
      </c>
      <c r="H824" t="str">
        <f>PROPER(TRIM(sales_data!C824))</f>
        <v>Alice</v>
      </c>
      <c r="I824" t="str">
        <f>PROPER(TRIM(sales_data!D824))</f>
        <v>West</v>
      </c>
      <c r="J824" t="str">
        <f>PROPER(TRIM(sales_data!G824))</f>
        <v>Clothing</v>
      </c>
      <c r="K824" t="str">
        <f>PROPER(TRIM(sales_data!J824))</f>
        <v>New</v>
      </c>
      <c r="L824" t="str">
        <f>PROPER(TRIM(sales_data!L824))</f>
        <v>Credit Card</v>
      </c>
      <c r="M824" t="str">
        <f>PROPER(TRIM(sales_data!M824))</f>
        <v>Retail</v>
      </c>
      <c r="N824">
        <f t="shared" si="49"/>
        <v>385.90999999999985</v>
      </c>
      <c r="O824">
        <f t="shared" si="50"/>
        <v>7718.1999999999971</v>
      </c>
      <c r="P824" t="str">
        <f t="shared" si="51"/>
        <v>Feb</v>
      </c>
    </row>
    <row r="825" spans="1:16" x14ac:dyDescent="0.25">
      <c r="A825">
        <v>1017</v>
      </c>
      <c r="B825" s="1">
        <v>44941</v>
      </c>
      <c r="C825">
        <f t="shared" si="48"/>
        <v>16637.615999999998</v>
      </c>
      <c r="D825">
        <v>6</v>
      </c>
      <c r="E825">
        <v>2594.42</v>
      </c>
      <c r="F825">
        <v>3081.04</v>
      </c>
      <c r="G825">
        <v>0.1</v>
      </c>
      <c r="H825" t="str">
        <f>PROPER(TRIM(sales_data!C825))</f>
        <v>Eve</v>
      </c>
      <c r="I825" t="str">
        <f>PROPER(TRIM(sales_data!D825))</f>
        <v>North</v>
      </c>
      <c r="J825" t="str">
        <f>PROPER(TRIM(sales_data!G825))</f>
        <v>Furniture</v>
      </c>
      <c r="K825" t="str">
        <f>PROPER(TRIM(sales_data!J825))</f>
        <v>Returning</v>
      </c>
      <c r="L825" t="str">
        <f>PROPER(TRIM(sales_data!L825))</f>
        <v>Bank Transfer</v>
      </c>
      <c r="M825" t="str">
        <f>PROPER(TRIM(sales_data!M825))</f>
        <v>Retail</v>
      </c>
      <c r="N825">
        <f t="shared" si="49"/>
        <v>486.61999999999989</v>
      </c>
      <c r="O825">
        <f t="shared" si="50"/>
        <v>2919.7199999999993</v>
      </c>
      <c r="P825" t="str">
        <f t="shared" si="51"/>
        <v>Jan</v>
      </c>
    </row>
    <row r="826" spans="1:16" x14ac:dyDescent="0.25">
      <c r="A826">
        <v>1085</v>
      </c>
      <c r="B826" s="1">
        <v>45088</v>
      </c>
      <c r="C826">
        <f t="shared" si="48"/>
        <v>24820.670399999999</v>
      </c>
      <c r="D826">
        <v>8</v>
      </c>
      <c r="E826">
        <v>3048.48</v>
      </c>
      <c r="F826">
        <v>3198.54</v>
      </c>
      <c r="G826">
        <v>0.03</v>
      </c>
      <c r="H826" t="str">
        <f>PROPER(TRIM(sales_data!C826))</f>
        <v>David</v>
      </c>
      <c r="I826" t="str">
        <f>PROPER(TRIM(sales_data!D826))</f>
        <v>East</v>
      </c>
      <c r="J826" t="str">
        <f>PROPER(TRIM(sales_data!G826))</f>
        <v>Food</v>
      </c>
      <c r="K826" t="str">
        <f>PROPER(TRIM(sales_data!J826))</f>
        <v>Returning</v>
      </c>
      <c r="L826" t="str">
        <f>PROPER(TRIM(sales_data!L826))</f>
        <v>Bank Transfer</v>
      </c>
      <c r="M826" t="str">
        <f>PROPER(TRIM(sales_data!M826))</f>
        <v>Online</v>
      </c>
      <c r="N826">
        <f t="shared" si="49"/>
        <v>150.05999999999995</v>
      </c>
      <c r="O826">
        <f t="shared" si="50"/>
        <v>1200.4799999999996</v>
      </c>
      <c r="P826" t="str">
        <f t="shared" si="51"/>
        <v>Jun</v>
      </c>
    </row>
    <row r="827" spans="1:16" x14ac:dyDescent="0.25">
      <c r="A827">
        <v>1078</v>
      </c>
      <c r="B827" s="1">
        <v>45089</v>
      </c>
      <c r="C827">
        <f t="shared" si="48"/>
        <v>85980.302000000011</v>
      </c>
      <c r="D827">
        <v>29</v>
      </c>
      <c r="E827">
        <v>3177.81</v>
      </c>
      <c r="F827">
        <v>3222.65</v>
      </c>
      <c r="G827">
        <v>0.08</v>
      </c>
      <c r="H827" t="str">
        <f>PROPER(TRIM(sales_data!C827))</f>
        <v>Charlie</v>
      </c>
      <c r="I827" t="str">
        <f>PROPER(TRIM(sales_data!D827))</f>
        <v>South</v>
      </c>
      <c r="J827" t="str">
        <f>PROPER(TRIM(sales_data!G827))</f>
        <v>Electronics</v>
      </c>
      <c r="K827" t="str">
        <f>PROPER(TRIM(sales_data!J827))</f>
        <v>Returning</v>
      </c>
      <c r="L827" t="str">
        <f>PROPER(TRIM(sales_data!L827))</f>
        <v>Credit Card</v>
      </c>
      <c r="M827" t="str">
        <f>PROPER(TRIM(sales_data!M827))</f>
        <v>Retail</v>
      </c>
      <c r="N827">
        <f t="shared" si="49"/>
        <v>44.840000000000146</v>
      </c>
      <c r="O827">
        <f t="shared" si="50"/>
        <v>1300.3600000000042</v>
      </c>
      <c r="P827" t="str">
        <f t="shared" si="51"/>
        <v>Jun</v>
      </c>
    </row>
    <row r="828" spans="1:16" x14ac:dyDescent="0.25">
      <c r="A828">
        <v>1073</v>
      </c>
      <c r="B828" s="1">
        <v>45246</v>
      </c>
      <c r="C828">
        <f t="shared" si="48"/>
        <v>102177.72</v>
      </c>
      <c r="D828">
        <v>48</v>
      </c>
      <c r="E828">
        <v>2658.9</v>
      </c>
      <c r="F828">
        <v>2838.27</v>
      </c>
      <c r="G828">
        <v>0.25</v>
      </c>
      <c r="H828" t="str">
        <f>PROPER(TRIM(sales_data!C828))</f>
        <v>David</v>
      </c>
      <c r="I828" t="str">
        <f>PROPER(TRIM(sales_data!D828))</f>
        <v>South</v>
      </c>
      <c r="J828" t="str">
        <f>PROPER(TRIM(sales_data!G828))</f>
        <v>Clothing</v>
      </c>
      <c r="K828" t="str">
        <f>PROPER(TRIM(sales_data!J828))</f>
        <v>New</v>
      </c>
      <c r="L828" t="str">
        <f>PROPER(TRIM(sales_data!L828))</f>
        <v>Credit Card</v>
      </c>
      <c r="M828" t="str">
        <f>PROPER(TRIM(sales_data!M828))</f>
        <v>Online</v>
      </c>
      <c r="N828">
        <f t="shared" si="49"/>
        <v>179.36999999999989</v>
      </c>
      <c r="O828">
        <f t="shared" si="50"/>
        <v>8609.7599999999948</v>
      </c>
      <c r="P828" t="str">
        <f t="shared" si="51"/>
        <v>Nov</v>
      </c>
    </row>
    <row r="829" spans="1:16" x14ac:dyDescent="0.25">
      <c r="A829">
        <v>1001</v>
      </c>
      <c r="B829" s="1">
        <v>45207</v>
      </c>
      <c r="C829">
        <f t="shared" si="48"/>
        <v>108064.1925</v>
      </c>
      <c r="D829">
        <v>33</v>
      </c>
      <c r="E829">
        <v>2933.54</v>
      </c>
      <c r="F829">
        <v>3307.75</v>
      </c>
      <c r="G829">
        <v>0.01</v>
      </c>
      <c r="H829" t="str">
        <f>PROPER(TRIM(sales_data!C829))</f>
        <v>Bob</v>
      </c>
      <c r="I829" t="str">
        <f>PROPER(TRIM(sales_data!D829))</f>
        <v>West</v>
      </c>
      <c r="J829" t="str">
        <f>PROPER(TRIM(sales_data!G829))</f>
        <v>Furniture</v>
      </c>
      <c r="K829" t="str">
        <f>PROPER(TRIM(sales_data!J829))</f>
        <v>Returning</v>
      </c>
      <c r="L829" t="str">
        <f>PROPER(TRIM(sales_data!L829))</f>
        <v>Bank Transfer</v>
      </c>
      <c r="M829" t="str">
        <f>PROPER(TRIM(sales_data!M829))</f>
        <v>Retail</v>
      </c>
      <c r="N829">
        <f t="shared" si="49"/>
        <v>374.21000000000004</v>
      </c>
      <c r="O829">
        <f t="shared" si="50"/>
        <v>12348.93</v>
      </c>
      <c r="P829" t="str">
        <f t="shared" si="51"/>
        <v>Oct</v>
      </c>
    </row>
    <row r="830" spans="1:16" x14ac:dyDescent="0.25">
      <c r="A830">
        <v>1051</v>
      </c>
      <c r="B830" s="1">
        <v>45206</v>
      </c>
      <c r="C830">
        <f t="shared" si="48"/>
        <v>9221.7384000000002</v>
      </c>
      <c r="D830">
        <v>3</v>
      </c>
      <c r="E830">
        <v>3434.75</v>
      </c>
      <c r="F830">
        <v>3659.42</v>
      </c>
      <c r="G830">
        <v>0.16</v>
      </c>
      <c r="H830" t="str">
        <f>PROPER(TRIM(sales_data!C830))</f>
        <v>Bob</v>
      </c>
      <c r="I830" t="str">
        <f>PROPER(TRIM(sales_data!D830))</f>
        <v>West</v>
      </c>
      <c r="J830" t="str">
        <f>PROPER(TRIM(sales_data!G830))</f>
        <v>Furniture</v>
      </c>
      <c r="K830" t="str">
        <f>PROPER(TRIM(sales_data!J830))</f>
        <v>New</v>
      </c>
      <c r="L830" t="str">
        <f>PROPER(TRIM(sales_data!L830))</f>
        <v>Cash</v>
      </c>
      <c r="M830" t="str">
        <f>PROPER(TRIM(sales_data!M830))</f>
        <v>Online</v>
      </c>
      <c r="N830">
        <f t="shared" si="49"/>
        <v>224.67000000000007</v>
      </c>
      <c r="O830">
        <f t="shared" si="50"/>
        <v>674.01000000000022</v>
      </c>
      <c r="P830" t="str">
        <f t="shared" si="51"/>
        <v>Oct</v>
      </c>
    </row>
    <row r="831" spans="1:16" x14ac:dyDescent="0.25">
      <c r="A831">
        <v>1045</v>
      </c>
      <c r="B831" s="1">
        <v>44938</v>
      </c>
      <c r="C831">
        <f t="shared" si="48"/>
        <v>121680.573</v>
      </c>
      <c r="D831">
        <v>35</v>
      </c>
      <c r="E831">
        <v>3777.94</v>
      </c>
      <c r="F831">
        <v>4188.66</v>
      </c>
      <c r="G831">
        <v>0.17</v>
      </c>
      <c r="H831" t="str">
        <f>PROPER(TRIM(sales_data!C831))</f>
        <v>Charlie</v>
      </c>
      <c r="I831" t="str">
        <f>PROPER(TRIM(sales_data!D831))</f>
        <v>South</v>
      </c>
      <c r="J831" t="str">
        <f>PROPER(TRIM(sales_data!G831))</f>
        <v>Furniture</v>
      </c>
      <c r="K831" t="str">
        <f>PROPER(TRIM(sales_data!J831))</f>
        <v>New</v>
      </c>
      <c r="L831" t="str">
        <f>PROPER(TRIM(sales_data!L831))</f>
        <v>Bank Transfer</v>
      </c>
      <c r="M831" t="str">
        <f>PROPER(TRIM(sales_data!M831))</f>
        <v>Online</v>
      </c>
      <c r="N831">
        <f t="shared" si="49"/>
        <v>410.7199999999998</v>
      </c>
      <c r="O831">
        <f t="shared" si="50"/>
        <v>14375.199999999993</v>
      </c>
      <c r="P831" t="str">
        <f t="shared" si="51"/>
        <v>Jan</v>
      </c>
    </row>
    <row r="832" spans="1:16" x14ac:dyDescent="0.25">
      <c r="A832">
        <v>1077</v>
      </c>
      <c r="B832" s="1">
        <v>45200</v>
      </c>
      <c r="C832">
        <f t="shared" si="48"/>
        <v>16309.748999999998</v>
      </c>
      <c r="D832">
        <v>5</v>
      </c>
      <c r="E832">
        <v>3650.89</v>
      </c>
      <c r="F832">
        <v>3930.06</v>
      </c>
      <c r="G832">
        <v>0.17</v>
      </c>
      <c r="H832" t="str">
        <f>PROPER(TRIM(sales_data!C832))</f>
        <v>Alice</v>
      </c>
      <c r="I832" t="str">
        <f>PROPER(TRIM(sales_data!D832))</f>
        <v>West</v>
      </c>
      <c r="J832" t="str">
        <f>PROPER(TRIM(sales_data!G832))</f>
        <v>Electronics</v>
      </c>
      <c r="K832" t="str">
        <f>PROPER(TRIM(sales_data!J832))</f>
        <v>New</v>
      </c>
      <c r="L832" t="str">
        <f>PROPER(TRIM(sales_data!L832))</f>
        <v>Bank Transfer</v>
      </c>
      <c r="M832" t="str">
        <f>PROPER(TRIM(sales_data!M832))</f>
        <v>Online</v>
      </c>
      <c r="N832">
        <f t="shared" si="49"/>
        <v>279.17000000000007</v>
      </c>
      <c r="O832">
        <f t="shared" si="50"/>
        <v>1395.8500000000004</v>
      </c>
      <c r="P832" t="str">
        <f t="shared" si="51"/>
        <v>Oct</v>
      </c>
    </row>
    <row r="833" spans="1:16" x14ac:dyDescent="0.25">
      <c r="A833">
        <v>1004</v>
      </c>
      <c r="B833" s="1">
        <v>45197</v>
      </c>
      <c r="C833">
        <f t="shared" si="48"/>
        <v>111925.04399999999</v>
      </c>
      <c r="D833">
        <v>27</v>
      </c>
      <c r="E833">
        <v>4354.6000000000004</v>
      </c>
      <c r="F833">
        <v>4820.2</v>
      </c>
      <c r="G833">
        <v>0.14000000000000001</v>
      </c>
      <c r="H833" t="str">
        <f>PROPER(TRIM(sales_data!C833))</f>
        <v>Eve</v>
      </c>
      <c r="I833" t="str">
        <f>PROPER(TRIM(sales_data!D833))</f>
        <v>South</v>
      </c>
      <c r="J833" t="str">
        <f>PROPER(TRIM(sales_data!G833))</f>
        <v>Clothing</v>
      </c>
      <c r="K833" t="str">
        <f>PROPER(TRIM(sales_data!J833))</f>
        <v>New</v>
      </c>
      <c r="L833" t="str">
        <f>PROPER(TRIM(sales_data!L833))</f>
        <v>Credit Card</v>
      </c>
      <c r="M833" t="str">
        <f>PROPER(TRIM(sales_data!M833))</f>
        <v>Retail</v>
      </c>
      <c r="N833">
        <f t="shared" si="49"/>
        <v>465.59999999999945</v>
      </c>
      <c r="O833">
        <f t="shared" si="50"/>
        <v>12571.199999999986</v>
      </c>
      <c r="P833" t="str">
        <f t="shared" si="51"/>
        <v>Sep</v>
      </c>
    </row>
    <row r="834" spans="1:16" x14ac:dyDescent="0.25">
      <c r="A834">
        <v>1062</v>
      </c>
      <c r="B834" s="1">
        <v>45134</v>
      </c>
      <c r="C834">
        <f t="shared" ref="C834:C897" si="52">(D834*F834)*(1-G834)</f>
        <v>48895.633600000001</v>
      </c>
      <c r="D834">
        <v>44</v>
      </c>
      <c r="E834">
        <v>987.74</v>
      </c>
      <c r="F834">
        <v>1462.19</v>
      </c>
      <c r="G834">
        <v>0.24</v>
      </c>
      <c r="H834" t="str">
        <f>PROPER(TRIM(sales_data!C834))</f>
        <v>David</v>
      </c>
      <c r="I834" t="str">
        <f>PROPER(TRIM(sales_data!D834))</f>
        <v>South</v>
      </c>
      <c r="J834" t="str">
        <f>PROPER(TRIM(sales_data!G834))</f>
        <v>Electronics</v>
      </c>
      <c r="K834" t="str">
        <f>PROPER(TRIM(sales_data!J834))</f>
        <v>New</v>
      </c>
      <c r="L834" t="str">
        <f>PROPER(TRIM(sales_data!L834))</f>
        <v>Bank Transfer</v>
      </c>
      <c r="M834" t="str">
        <f>PROPER(TRIM(sales_data!M834))</f>
        <v>Online</v>
      </c>
      <c r="N834">
        <f t="shared" ref="N834:N897" si="53">F834-E834</f>
        <v>474.45000000000005</v>
      </c>
      <c r="O834">
        <f t="shared" ref="O834:O897" si="54">N834*D834</f>
        <v>20875.800000000003</v>
      </c>
      <c r="P834" t="str">
        <f t="shared" ref="P834:P897" si="55">TEXT(B834,"mmm")</f>
        <v>Jul</v>
      </c>
    </row>
    <row r="835" spans="1:16" x14ac:dyDescent="0.25">
      <c r="A835">
        <v>1065</v>
      </c>
      <c r="B835" s="1">
        <v>44953</v>
      </c>
      <c r="C835">
        <f t="shared" si="52"/>
        <v>23957.452799999999</v>
      </c>
      <c r="D835">
        <v>12</v>
      </c>
      <c r="E835">
        <v>2035.68</v>
      </c>
      <c r="F835">
        <v>2079.64</v>
      </c>
      <c r="G835">
        <v>0.04</v>
      </c>
      <c r="H835" t="str">
        <f>PROPER(TRIM(sales_data!C835))</f>
        <v>Bob</v>
      </c>
      <c r="I835" t="str">
        <f>PROPER(TRIM(sales_data!D835))</f>
        <v>South</v>
      </c>
      <c r="J835" t="str">
        <f>PROPER(TRIM(sales_data!G835))</f>
        <v>Electronics</v>
      </c>
      <c r="K835" t="str">
        <f>PROPER(TRIM(sales_data!J835))</f>
        <v>Returning</v>
      </c>
      <c r="L835" t="str">
        <f>PROPER(TRIM(sales_data!L835))</f>
        <v>Cash</v>
      </c>
      <c r="M835" t="str">
        <f>PROPER(TRIM(sales_data!M835))</f>
        <v>Online</v>
      </c>
      <c r="N835">
        <f t="shared" si="53"/>
        <v>43.959999999999809</v>
      </c>
      <c r="O835">
        <f t="shared" si="54"/>
        <v>527.51999999999771</v>
      </c>
      <c r="P835" t="str">
        <f t="shared" si="55"/>
        <v>Jan</v>
      </c>
    </row>
    <row r="836" spans="1:16" x14ac:dyDescent="0.25">
      <c r="A836">
        <v>1032</v>
      </c>
      <c r="B836" s="1">
        <v>44998</v>
      </c>
      <c r="C836">
        <f t="shared" si="52"/>
        <v>90549.186000000002</v>
      </c>
      <c r="D836">
        <v>20</v>
      </c>
      <c r="E836">
        <v>4741.59</v>
      </c>
      <c r="F836">
        <v>4975.2299999999996</v>
      </c>
      <c r="G836">
        <v>0.09</v>
      </c>
      <c r="H836" t="str">
        <f>PROPER(TRIM(sales_data!C836))</f>
        <v>Alice</v>
      </c>
      <c r="I836" t="str">
        <f>PROPER(TRIM(sales_data!D836))</f>
        <v>North</v>
      </c>
      <c r="J836" t="str">
        <f>PROPER(TRIM(sales_data!G836))</f>
        <v>Electronics</v>
      </c>
      <c r="K836" t="str">
        <f>PROPER(TRIM(sales_data!J836))</f>
        <v>New</v>
      </c>
      <c r="L836" t="str">
        <f>PROPER(TRIM(sales_data!L836))</f>
        <v>Credit Card</v>
      </c>
      <c r="M836" t="str">
        <f>PROPER(TRIM(sales_data!M836))</f>
        <v>Online</v>
      </c>
      <c r="N836">
        <f t="shared" si="53"/>
        <v>233.63999999999942</v>
      </c>
      <c r="O836">
        <f t="shared" si="54"/>
        <v>4672.7999999999884</v>
      </c>
      <c r="P836" t="str">
        <f t="shared" si="55"/>
        <v>Mar</v>
      </c>
    </row>
    <row r="837" spans="1:16" x14ac:dyDescent="0.25">
      <c r="A837">
        <v>1034</v>
      </c>
      <c r="B837" s="1">
        <v>44986</v>
      </c>
      <c r="C837">
        <f t="shared" si="52"/>
        <v>85677.002999999997</v>
      </c>
      <c r="D837">
        <v>45</v>
      </c>
      <c r="E837">
        <v>2013.12</v>
      </c>
      <c r="F837">
        <v>2321.87</v>
      </c>
      <c r="G837">
        <v>0.18</v>
      </c>
      <c r="H837" t="str">
        <f>PROPER(TRIM(sales_data!C837))</f>
        <v>Charlie</v>
      </c>
      <c r="I837" t="str">
        <f>PROPER(TRIM(sales_data!D837))</f>
        <v>West</v>
      </c>
      <c r="J837" t="str">
        <f>PROPER(TRIM(sales_data!G837))</f>
        <v>Food</v>
      </c>
      <c r="K837" t="str">
        <f>PROPER(TRIM(sales_data!J837))</f>
        <v>New</v>
      </c>
      <c r="L837" t="str">
        <f>PROPER(TRIM(sales_data!L837))</f>
        <v>Bank Transfer</v>
      </c>
      <c r="M837" t="str">
        <f>PROPER(TRIM(sales_data!M837))</f>
        <v>Retail</v>
      </c>
      <c r="N837">
        <f t="shared" si="53"/>
        <v>308.75</v>
      </c>
      <c r="O837">
        <f t="shared" si="54"/>
        <v>13893.75</v>
      </c>
      <c r="P837" t="str">
        <f t="shared" si="55"/>
        <v>Mar</v>
      </c>
    </row>
    <row r="838" spans="1:16" x14ac:dyDescent="0.25">
      <c r="A838">
        <v>1092</v>
      </c>
      <c r="B838" s="1">
        <v>45071</v>
      </c>
      <c r="C838">
        <f t="shared" si="52"/>
        <v>12695.142</v>
      </c>
      <c r="D838">
        <v>20</v>
      </c>
      <c r="E838">
        <v>668.11</v>
      </c>
      <c r="F838">
        <v>803.49</v>
      </c>
      <c r="G838">
        <v>0.21</v>
      </c>
      <c r="H838" t="str">
        <f>PROPER(TRIM(sales_data!C838))</f>
        <v>Bob</v>
      </c>
      <c r="I838" t="str">
        <f>PROPER(TRIM(sales_data!D838))</f>
        <v>East</v>
      </c>
      <c r="J838" t="str">
        <f>PROPER(TRIM(sales_data!G838))</f>
        <v>Food</v>
      </c>
      <c r="K838" t="str">
        <f>PROPER(TRIM(sales_data!J838))</f>
        <v>New</v>
      </c>
      <c r="L838" t="str">
        <f>PROPER(TRIM(sales_data!L838))</f>
        <v>Bank Transfer</v>
      </c>
      <c r="M838" t="str">
        <f>PROPER(TRIM(sales_data!M838))</f>
        <v>Online</v>
      </c>
      <c r="N838">
        <f t="shared" si="53"/>
        <v>135.38</v>
      </c>
      <c r="O838">
        <f t="shared" si="54"/>
        <v>2707.6</v>
      </c>
      <c r="P838" t="str">
        <f t="shared" si="55"/>
        <v>May</v>
      </c>
    </row>
    <row r="839" spans="1:16" x14ac:dyDescent="0.25">
      <c r="A839">
        <v>1095</v>
      </c>
      <c r="B839" s="1">
        <v>45019</v>
      </c>
      <c r="C839">
        <f t="shared" si="52"/>
        <v>22654.526399999922</v>
      </c>
      <c r="D839">
        <v>9</v>
      </c>
      <c r="E839">
        <v>2650.95</v>
      </c>
      <c r="F839">
        <v>2860.4199999999901</v>
      </c>
      <c r="G839">
        <v>0.12</v>
      </c>
      <c r="H839" t="str">
        <f>PROPER(TRIM(sales_data!C839))</f>
        <v>Charlie</v>
      </c>
      <c r="I839" t="str">
        <f>PROPER(TRIM(sales_data!D839))</f>
        <v>East</v>
      </c>
      <c r="J839" t="str">
        <f>PROPER(TRIM(sales_data!G839))</f>
        <v>Food</v>
      </c>
      <c r="K839" t="str">
        <f>PROPER(TRIM(sales_data!J839))</f>
        <v>New</v>
      </c>
      <c r="L839" t="str">
        <f>PROPER(TRIM(sales_data!L839))</f>
        <v>Cash</v>
      </c>
      <c r="M839" t="str">
        <f>PROPER(TRIM(sales_data!M839))</f>
        <v>Retail</v>
      </c>
      <c r="N839">
        <f t="shared" si="53"/>
        <v>209.46999999999025</v>
      </c>
      <c r="O839">
        <f t="shared" si="54"/>
        <v>1885.2299999999123</v>
      </c>
      <c r="P839" t="str">
        <f t="shared" si="55"/>
        <v>Apr</v>
      </c>
    </row>
    <row r="840" spans="1:16" x14ac:dyDescent="0.25">
      <c r="A840">
        <v>1072</v>
      </c>
      <c r="B840" s="1">
        <v>45235</v>
      </c>
      <c r="C840">
        <f t="shared" si="52"/>
        <v>26956.394399999997</v>
      </c>
      <c r="D840">
        <v>39</v>
      </c>
      <c r="E840">
        <v>591.98</v>
      </c>
      <c r="F840">
        <v>934.04</v>
      </c>
      <c r="G840">
        <v>0.26</v>
      </c>
      <c r="H840" t="str">
        <f>PROPER(TRIM(sales_data!C840))</f>
        <v>David</v>
      </c>
      <c r="I840" t="str">
        <f>PROPER(TRIM(sales_data!D840))</f>
        <v>West</v>
      </c>
      <c r="J840" t="str">
        <f>PROPER(TRIM(sales_data!G840))</f>
        <v>Clothing</v>
      </c>
      <c r="K840" t="str">
        <f>PROPER(TRIM(sales_data!J840))</f>
        <v>New</v>
      </c>
      <c r="L840" t="str">
        <f>PROPER(TRIM(sales_data!L840))</f>
        <v>Bank Transfer</v>
      </c>
      <c r="M840" t="str">
        <f>PROPER(TRIM(sales_data!M840))</f>
        <v>Retail</v>
      </c>
      <c r="N840">
        <f t="shared" si="53"/>
        <v>342.05999999999995</v>
      </c>
      <c r="O840">
        <f t="shared" si="54"/>
        <v>13340.339999999998</v>
      </c>
      <c r="P840" t="str">
        <f t="shared" si="55"/>
        <v>Nov</v>
      </c>
    </row>
    <row r="841" spans="1:16" x14ac:dyDescent="0.25">
      <c r="A841">
        <v>1039</v>
      </c>
      <c r="B841" s="1">
        <v>44934</v>
      </c>
      <c r="C841">
        <f t="shared" si="52"/>
        <v>4136.7743999999648</v>
      </c>
      <c r="D841">
        <v>4</v>
      </c>
      <c r="E841">
        <v>1054.1199999999999</v>
      </c>
      <c r="F841">
        <v>1175.21999999999</v>
      </c>
      <c r="G841">
        <v>0.12</v>
      </c>
      <c r="H841" t="str">
        <f>PROPER(TRIM(sales_data!C841))</f>
        <v>Eve</v>
      </c>
      <c r="I841" t="str">
        <f>PROPER(TRIM(sales_data!D841))</f>
        <v>South</v>
      </c>
      <c r="J841" t="str">
        <f>PROPER(TRIM(sales_data!G841))</f>
        <v>Electronics</v>
      </c>
      <c r="K841" t="str">
        <f>PROPER(TRIM(sales_data!J841))</f>
        <v>Returning</v>
      </c>
      <c r="L841" t="str">
        <f>PROPER(TRIM(sales_data!L841))</f>
        <v>Bank Transfer</v>
      </c>
      <c r="M841" t="str">
        <f>PROPER(TRIM(sales_data!M841))</f>
        <v>Retail</v>
      </c>
      <c r="N841">
        <f t="shared" si="53"/>
        <v>121.09999999999013</v>
      </c>
      <c r="O841">
        <f t="shared" si="54"/>
        <v>484.39999999996053</v>
      </c>
      <c r="P841" t="str">
        <f t="shared" si="55"/>
        <v>Jan</v>
      </c>
    </row>
    <row r="842" spans="1:16" x14ac:dyDescent="0.25">
      <c r="A842">
        <v>1026</v>
      </c>
      <c r="B842" s="1">
        <v>45005</v>
      </c>
      <c r="C842">
        <f t="shared" si="52"/>
        <v>88559.987999999998</v>
      </c>
      <c r="D842">
        <v>19</v>
      </c>
      <c r="E842">
        <v>4991.68</v>
      </c>
      <c r="F842">
        <v>5296.65</v>
      </c>
      <c r="G842">
        <v>0.12</v>
      </c>
      <c r="H842" t="str">
        <f>PROPER(TRIM(sales_data!C842))</f>
        <v>Bob</v>
      </c>
      <c r="I842" t="str">
        <f>PROPER(TRIM(sales_data!D842))</f>
        <v>East</v>
      </c>
      <c r="J842" t="str">
        <f>PROPER(TRIM(sales_data!G842))</f>
        <v>Electronics</v>
      </c>
      <c r="K842" t="str">
        <f>PROPER(TRIM(sales_data!J842))</f>
        <v>New</v>
      </c>
      <c r="L842" t="str">
        <f>PROPER(TRIM(sales_data!L842))</f>
        <v>Bank Transfer</v>
      </c>
      <c r="M842" t="str">
        <f>PROPER(TRIM(sales_data!M842))</f>
        <v>Online</v>
      </c>
      <c r="N842">
        <f t="shared" si="53"/>
        <v>304.96999999999935</v>
      </c>
      <c r="O842">
        <f t="shared" si="54"/>
        <v>5794.4299999999876</v>
      </c>
      <c r="P842" t="str">
        <f t="shared" si="55"/>
        <v>Mar</v>
      </c>
    </row>
    <row r="843" spans="1:16" x14ac:dyDescent="0.25">
      <c r="A843">
        <v>1034</v>
      </c>
      <c r="B843" s="1">
        <v>44953</v>
      </c>
      <c r="C843">
        <f t="shared" si="52"/>
        <v>115926.03</v>
      </c>
      <c r="D843">
        <v>38</v>
      </c>
      <c r="E843">
        <v>2729.75</v>
      </c>
      <c r="F843">
        <v>3081.5</v>
      </c>
      <c r="G843">
        <v>0.01</v>
      </c>
      <c r="H843" t="str">
        <f>PROPER(TRIM(sales_data!C843))</f>
        <v>Bob</v>
      </c>
      <c r="I843" t="str">
        <f>PROPER(TRIM(sales_data!D843))</f>
        <v>East</v>
      </c>
      <c r="J843" t="str">
        <f>PROPER(TRIM(sales_data!G843))</f>
        <v>Food</v>
      </c>
      <c r="K843" t="str">
        <f>PROPER(TRIM(sales_data!J843))</f>
        <v>New</v>
      </c>
      <c r="L843" t="str">
        <f>PROPER(TRIM(sales_data!L843))</f>
        <v>Bank Transfer</v>
      </c>
      <c r="M843" t="str">
        <f>PROPER(TRIM(sales_data!M843))</f>
        <v>Online</v>
      </c>
      <c r="N843">
        <f t="shared" si="53"/>
        <v>351.75</v>
      </c>
      <c r="O843">
        <f t="shared" si="54"/>
        <v>13366.5</v>
      </c>
      <c r="P843" t="str">
        <f t="shared" si="55"/>
        <v>Jan</v>
      </c>
    </row>
    <row r="844" spans="1:16" x14ac:dyDescent="0.25">
      <c r="A844">
        <v>1054</v>
      </c>
      <c r="B844" s="1">
        <v>45100</v>
      </c>
      <c r="C844">
        <f t="shared" si="52"/>
        <v>33848.736299999779</v>
      </c>
      <c r="D844">
        <v>27</v>
      </c>
      <c r="E844">
        <v>1456.09</v>
      </c>
      <c r="F844">
        <v>1510.4299999999901</v>
      </c>
      <c r="G844">
        <v>0.17</v>
      </c>
      <c r="H844" t="str">
        <f>PROPER(TRIM(sales_data!C844))</f>
        <v>David</v>
      </c>
      <c r="I844" t="str">
        <f>PROPER(TRIM(sales_data!D844))</f>
        <v>West</v>
      </c>
      <c r="J844" t="str">
        <f>PROPER(TRIM(sales_data!G844))</f>
        <v>Electronics</v>
      </c>
      <c r="K844" t="str">
        <f>PROPER(TRIM(sales_data!J844))</f>
        <v>Returning</v>
      </c>
      <c r="L844" t="str">
        <f>PROPER(TRIM(sales_data!L844))</f>
        <v>Cash</v>
      </c>
      <c r="M844" t="str">
        <f>PROPER(TRIM(sales_data!M844))</f>
        <v>Retail</v>
      </c>
      <c r="N844">
        <f t="shared" si="53"/>
        <v>54.339999999990141</v>
      </c>
      <c r="O844">
        <f t="shared" si="54"/>
        <v>1467.1799999997338</v>
      </c>
      <c r="P844" t="str">
        <f t="shared" si="55"/>
        <v>Jun</v>
      </c>
    </row>
    <row r="845" spans="1:16" x14ac:dyDescent="0.25">
      <c r="A845">
        <v>1003</v>
      </c>
      <c r="B845" s="1">
        <v>44976</v>
      </c>
      <c r="C845">
        <f t="shared" si="52"/>
        <v>185852.91150000002</v>
      </c>
      <c r="D845">
        <v>45</v>
      </c>
      <c r="E845">
        <v>4974.1400000000003</v>
      </c>
      <c r="F845">
        <v>5227.93</v>
      </c>
      <c r="G845">
        <v>0.21</v>
      </c>
      <c r="H845" t="str">
        <f>PROPER(TRIM(sales_data!C845))</f>
        <v>Alice</v>
      </c>
      <c r="I845" t="str">
        <f>PROPER(TRIM(sales_data!D845))</f>
        <v>East</v>
      </c>
      <c r="J845" t="str">
        <f>PROPER(TRIM(sales_data!G845))</f>
        <v>Electronics</v>
      </c>
      <c r="K845" t="str">
        <f>PROPER(TRIM(sales_data!J845))</f>
        <v>New</v>
      </c>
      <c r="L845" t="str">
        <f>PROPER(TRIM(sales_data!L845))</f>
        <v>Bank Transfer</v>
      </c>
      <c r="M845" t="str">
        <f>PROPER(TRIM(sales_data!M845))</f>
        <v>Online</v>
      </c>
      <c r="N845">
        <f t="shared" si="53"/>
        <v>253.78999999999996</v>
      </c>
      <c r="O845">
        <f t="shared" si="54"/>
        <v>11420.55</v>
      </c>
      <c r="P845" t="str">
        <f t="shared" si="55"/>
        <v>Feb</v>
      </c>
    </row>
    <row r="846" spans="1:16" x14ac:dyDescent="0.25">
      <c r="A846">
        <v>1050</v>
      </c>
      <c r="B846" s="1">
        <v>45125</v>
      </c>
      <c r="C846">
        <f t="shared" si="52"/>
        <v>207439.67979999998</v>
      </c>
      <c r="D846">
        <v>43</v>
      </c>
      <c r="E846">
        <v>4834.47</v>
      </c>
      <c r="F846">
        <v>4973.38</v>
      </c>
      <c r="G846">
        <v>0.03</v>
      </c>
      <c r="H846" t="str">
        <f>PROPER(TRIM(sales_data!C846))</f>
        <v>Eve</v>
      </c>
      <c r="I846" t="str">
        <f>PROPER(TRIM(sales_data!D846))</f>
        <v>South</v>
      </c>
      <c r="J846" t="str">
        <f>PROPER(TRIM(sales_data!G846))</f>
        <v>Furniture</v>
      </c>
      <c r="K846" t="str">
        <f>PROPER(TRIM(sales_data!J846))</f>
        <v>Returning</v>
      </c>
      <c r="L846" t="str">
        <f>PROPER(TRIM(sales_data!L846))</f>
        <v>Bank Transfer</v>
      </c>
      <c r="M846" t="str">
        <f>PROPER(TRIM(sales_data!M846))</f>
        <v>Online</v>
      </c>
      <c r="N846">
        <f t="shared" si="53"/>
        <v>138.90999999999985</v>
      </c>
      <c r="O846">
        <f t="shared" si="54"/>
        <v>5973.1299999999937</v>
      </c>
      <c r="P846" t="str">
        <f t="shared" si="55"/>
        <v>Jul</v>
      </c>
    </row>
    <row r="847" spans="1:16" x14ac:dyDescent="0.25">
      <c r="A847">
        <v>1012</v>
      </c>
      <c r="B847" s="1">
        <v>45275</v>
      </c>
      <c r="C847">
        <f t="shared" si="52"/>
        <v>30717.896299999884</v>
      </c>
      <c r="D847">
        <v>13</v>
      </c>
      <c r="E847">
        <v>2231.66</v>
      </c>
      <c r="F847">
        <v>2596.6099999999901</v>
      </c>
      <c r="G847">
        <v>0.09</v>
      </c>
      <c r="H847" t="str">
        <f>PROPER(TRIM(sales_data!C847))</f>
        <v>Bob</v>
      </c>
      <c r="I847" t="str">
        <f>PROPER(TRIM(sales_data!D847))</f>
        <v>West</v>
      </c>
      <c r="J847" t="str">
        <f>PROPER(TRIM(sales_data!G847))</f>
        <v>Electronics</v>
      </c>
      <c r="K847" t="str">
        <f>PROPER(TRIM(sales_data!J847))</f>
        <v>Returning</v>
      </c>
      <c r="L847" t="str">
        <f>PROPER(TRIM(sales_data!L847))</f>
        <v>Bank Transfer</v>
      </c>
      <c r="M847" t="str">
        <f>PROPER(TRIM(sales_data!M847))</f>
        <v>Retail</v>
      </c>
      <c r="N847">
        <f t="shared" si="53"/>
        <v>364.94999999999027</v>
      </c>
      <c r="O847">
        <f t="shared" si="54"/>
        <v>4744.349999999873</v>
      </c>
      <c r="P847" t="str">
        <f t="shared" si="55"/>
        <v>Dec</v>
      </c>
    </row>
    <row r="848" spans="1:16" x14ac:dyDescent="0.25">
      <c r="A848">
        <v>1065</v>
      </c>
      <c r="B848" s="1">
        <v>45107</v>
      </c>
      <c r="C848">
        <f t="shared" si="52"/>
        <v>14433.218800000002</v>
      </c>
      <c r="D848">
        <v>13</v>
      </c>
      <c r="E848">
        <v>1339</v>
      </c>
      <c r="F848">
        <v>1441.88</v>
      </c>
      <c r="G848">
        <v>0.23</v>
      </c>
      <c r="H848" t="str">
        <f>PROPER(TRIM(sales_data!C848))</f>
        <v>Eve</v>
      </c>
      <c r="I848" t="str">
        <f>PROPER(TRIM(sales_data!D848))</f>
        <v>South</v>
      </c>
      <c r="J848" t="str">
        <f>PROPER(TRIM(sales_data!G848))</f>
        <v>Furniture</v>
      </c>
      <c r="K848" t="str">
        <f>PROPER(TRIM(sales_data!J848))</f>
        <v>Returning</v>
      </c>
      <c r="L848" t="str">
        <f>PROPER(TRIM(sales_data!L848))</f>
        <v>Credit Card</v>
      </c>
      <c r="M848" t="str">
        <f>PROPER(TRIM(sales_data!M848))</f>
        <v>Retail</v>
      </c>
      <c r="N848">
        <f t="shared" si="53"/>
        <v>102.88000000000011</v>
      </c>
      <c r="O848">
        <f t="shared" si="54"/>
        <v>1337.4400000000014</v>
      </c>
      <c r="P848" t="str">
        <f t="shared" si="55"/>
        <v>Jun</v>
      </c>
    </row>
    <row r="849" spans="1:16" x14ac:dyDescent="0.25">
      <c r="A849">
        <v>1054</v>
      </c>
      <c r="B849" s="1">
        <v>44950</v>
      </c>
      <c r="C849">
        <f t="shared" si="52"/>
        <v>90993.742399999988</v>
      </c>
      <c r="D849">
        <v>22</v>
      </c>
      <c r="E849">
        <v>4200.08</v>
      </c>
      <c r="F849">
        <v>4647.28</v>
      </c>
      <c r="G849">
        <v>0.11</v>
      </c>
      <c r="H849" t="str">
        <f>PROPER(TRIM(sales_data!C849))</f>
        <v>Bob</v>
      </c>
      <c r="I849" t="str">
        <f>PROPER(TRIM(sales_data!D849))</f>
        <v>East</v>
      </c>
      <c r="J849" t="str">
        <f>PROPER(TRIM(sales_data!G849))</f>
        <v>Electronics</v>
      </c>
      <c r="K849" t="str">
        <f>PROPER(TRIM(sales_data!J849))</f>
        <v>Returning</v>
      </c>
      <c r="L849" t="str">
        <f>PROPER(TRIM(sales_data!L849))</f>
        <v>Cash</v>
      </c>
      <c r="M849" t="str">
        <f>PROPER(TRIM(sales_data!M849))</f>
        <v>Online</v>
      </c>
      <c r="N849">
        <f t="shared" si="53"/>
        <v>447.19999999999982</v>
      </c>
      <c r="O849">
        <f t="shared" si="54"/>
        <v>9838.399999999996</v>
      </c>
      <c r="P849" t="str">
        <f t="shared" si="55"/>
        <v>Jan</v>
      </c>
    </row>
    <row r="850" spans="1:16" x14ac:dyDescent="0.25">
      <c r="A850">
        <v>1005</v>
      </c>
      <c r="B850" s="1">
        <v>45242</v>
      </c>
      <c r="C850">
        <f t="shared" si="52"/>
        <v>99303.019199999995</v>
      </c>
      <c r="D850">
        <v>28</v>
      </c>
      <c r="E850">
        <v>3592.32</v>
      </c>
      <c r="F850">
        <v>3813.48</v>
      </c>
      <c r="G850">
        <v>7.0000000000000007E-2</v>
      </c>
      <c r="H850" t="str">
        <f>PROPER(TRIM(sales_data!C850))</f>
        <v>Eve</v>
      </c>
      <c r="I850" t="str">
        <f>PROPER(TRIM(sales_data!D850))</f>
        <v>East</v>
      </c>
      <c r="J850" t="str">
        <f>PROPER(TRIM(sales_data!G850))</f>
        <v>Clothing</v>
      </c>
      <c r="K850" t="str">
        <f>PROPER(TRIM(sales_data!J850))</f>
        <v>New</v>
      </c>
      <c r="L850" t="str">
        <f>PROPER(TRIM(sales_data!L850))</f>
        <v>Credit Card</v>
      </c>
      <c r="M850" t="str">
        <f>PROPER(TRIM(sales_data!M850))</f>
        <v>Retail</v>
      </c>
      <c r="N850">
        <f t="shared" si="53"/>
        <v>221.15999999999985</v>
      </c>
      <c r="O850">
        <f t="shared" si="54"/>
        <v>6192.4799999999959</v>
      </c>
      <c r="P850" t="str">
        <f t="shared" si="55"/>
        <v>Nov</v>
      </c>
    </row>
    <row r="851" spans="1:16" x14ac:dyDescent="0.25">
      <c r="A851">
        <v>1094</v>
      </c>
      <c r="B851" s="1">
        <v>44972</v>
      </c>
      <c r="C851">
        <f t="shared" si="52"/>
        <v>133757.48800000001</v>
      </c>
      <c r="D851">
        <v>47</v>
      </c>
      <c r="E851">
        <v>3450.36</v>
      </c>
      <c r="F851">
        <v>3557.38</v>
      </c>
      <c r="G851">
        <v>0.2</v>
      </c>
      <c r="H851" t="str">
        <f>PROPER(TRIM(sales_data!C851))</f>
        <v>Charlie</v>
      </c>
      <c r="I851" t="str">
        <f>PROPER(TRIM(sales_data!D851))</f>
        <v>South</v>
      </c>
      <c r="J851" t="str">
        <f>PROPER(TRIM(sales_data!G851))</f>
        <v>Food</v>
      </c>
      <c r="K851" t="str">
        <f>PROPER(TRIM(sales_data!J851))</f>
        <v>New</v>
      </c>
      <c r="L851" t="str">
        <f>PROPER(TRIM(sales_data!L851))</f>
        <v>Credit Card</v>
      </c>
      <c r="M851" t="str">
        <f>PROPER(TRIM(sales_data!M851))</f>
        <v>Online</v>
      </c>
      <c r="N851">
        <f t="shared" si="53"/>
        <v>107.01999999999998</v>
      </c>
      <c r="O851">
        <f t="shared" si="54"/>
        <v>5029.9399999999987</v>
      </c>
      <c r="P851" t="str">
        <f t="shared" si="55"/>
        <v>Feb</v>
      </c>
    </row>
    <row r="852" spans="1:16" x14ac:dyDescent="0.25">
      <c r="A852">
        <v>1094</v>
      </c>
      <c r="B852" s="1">
        <v>44941</v>
      </c>
      <c r="C852">
        <f t="shared" si="52"/>
        <v>198621.34199999998</v>
      </c>
      <c r="D852">
        <v>45</v>
      </c>
      <c r="E852">
        <v>4470.91</v>
      </c>
      <c r="F852">
        <v>4695.54</v>
      </c>
      <c r="G852">
        <v>0.06</v>
      </c>
      <c r="H852" t="str">
        <f>PROPER(TRIM(sales_data!C852))</f>
        <v>Bob</v>
      </c>
      <c r="I852" t="str">
        <f>PROPER(TRIM(sales_data!D852))</f>
        <v>North</v>
      </c>
      <c r="J852" t="str">
        <f>PROPER(TRIM(sales_data!G852))</f>
        <v>Furniture</v>
      </c>
      <c r="K852" t="str">
        <f>PROPER(TRIM(sales_data!J852))</f>
        <v>Returning</v>
      </c>
      <c r="L852" t="str">
        <f>PROPER(TRIM(sales_data!L852))</f>
        <v>Cash</v>
      </c>
      <c r="M852" t="str">
        <f>PROPER(TRIM(sales_data!M852))</f>
        <v>Retail</v>
      </c>
      <c r="N852">
        <f t="shared" si="53"/>
        <v>224.63000000000011</v>
      </c>
      <c r="O852">
        <f t="shared" si="54"/>
        <v>10108.350000000006</v>
      </c>
      <c r="P852" t="str">
        <f t="shared" si="55"/>
        <v>Jan</v>
      </c>
    </row>
    <row r="853" spans="1:16" x14ac:dyDescent="0.25">
      <c r="A853">
        <v>1057</v>
      </c>
      <c r="B853" s="1">
        <v>45079</v>
      </c>
      <c r="C853">
        <f t="shared" si="52"/>
        <v>58986.613400000002</v>
      </c>
      <c r="D853">
        <v>22</v>
      </c>
      <c r="E853">
        <v>3462.61</v>
      </c>
      <c r="F853">
        <v>3672.89</v>
      </c>
      <c r="G853">
        <v>0.27</v>
      </c>
      <c r="H853" t="str">
        <f>PROPER(TRIM(sales_data!C853))</f>
        <v>Eve</v>
      </c>
      <c r="I853" t="str">
        <f>PROPER(TRIM(sales_data!D853))</f>
        <v>East</v>
      </c>
      <c r="J853" t="str">
        <f>PROPER(TRIM(sales_data!G853))</f>
        <v>Food</v>
      </c>
      <c r="K853" t="str">
        <f>PROPER(TRIM(sales_data!J853))</f>
        <v>Returning</v>
      </c>
      <c r="L853" t="str">
        <f>PROPER(TRIM(sales_data!L853))</f>
        <v>Credit Card</v>
      </c>
      <c r="M853" t="str">
        <f>PROPER(TRIM(sales_data!M853))</f>
        <v>Online</v>
      </c>
      <c r="N853">
        <f t="shared" si="53"/>
        <v>210.27999999999975</v>
      </c>
      <c r="O853">
        <f t="shared" si="54"/>
        <v>4626.1599999999944</v>
      </c>
      <c r="P853" t="str">
        <f t="shared" si="55"/>
        <v>Jun</v>
      </c>
    </row>
    <row r="854" spans="1:16" x14ac:dyDescent="0.25">
      <c r="A854">
        <v>1017</v>
      </c>
      <c r="B854" s="1">
        <v>45148</v>
      </c>
      <c r="C854">
        <f t="shared" si="52"/>
        <v>69862.998700000011</v>
      </c>
      <c r="D854">
        <v>43</v>
      </c>
      <c r="E854">
        <v>1454.8</v>
      </c>
      <c r="F854">
        <v>1674.97</v>
      </c>
      <c r="G854">
        <v>0.03</v>
      </c>
      <c r="H854" t="str">
        <f>PROPER(TRIM(sales_data!C854))</f>
        <v>Alice</v>
      </c>
      <c r="I854" t="str">
        <f>PROPER(TRIM(sales_data!D854))</f>
        <v>North</v>
      </c>
      <c r="J854" t="str">
        <f>PROPER(TRIM(sales_data!G854))</f>
        <v>Furniture</v>
      </c>
      <c r="K854" t="str">
        <f>PROPER(TRIM(sales_data!J854))</f>
        <v>New</v>
      </c>
      <c r="L854" t="str">
        <f>PROPER(TRIM(sales_data!L854))</f>
        <v>Credit Card</v>
      </c>
      <c r="M854" t="str">
        <f>PROPER(TRIM(sales_data!M854))</f>
        <v>Online</v>
      </c>
      <c r="N854">
        <f t="shared" si="53"/>
        <v>220.17000000000007</v>
      </c>
      <c r="O854">
        <f t="shared" si="54"/>
        <v>9467.3100000000031</v>
      </c>
      <c r="P854" t="str">
        <f t="shared" si="55"/>
        <v>Aug</v>
      </c>
    </row>
    <row r="855" spans="1:16" x14ac:dyDescent="0.25">
      <c r="A855">
        <v>1047</v>
      </c>
      <c r="B855" s="1">
        <v>45132</v>
      </c>
      <c r="C855">
        <f t="shared" si="52"/>
        <v>56761.065499999851</v>
      </c>
      <c r="D855">
        <v>19</v>
      </c>
      <c r="E855">
        <v>3484.62</v>
      </c>
      <c r="F855">
        <v>3781.5499999999902</v>
      </c>
      <c r="G855">
        <v>0.21</v>
      </c>
      <c r="H855" t="str">
        <f>PROPER(TRIM(sales_data!C855))</f>
        <v>Charlie</v>
      </c>
      <c r="I855" t="str">
        <f>PROPER(TRIM(sales_data!D855))</f>
        <v>East</v>
      </c>
      <c r="J855" t="str">
        <f>PROPER(TRIM(sales_data!G855))</f>
        <v>Furniture</v>
      </c>
      <c r="K855" t="str">
        <f>PROPER(TRIM(sales_data!J855))</f>
        <v>Returning</v>
      </c>
      <c r="L855" t="str">
        <f>PROPER(TRIM(sales_data!L855))</f>
        <v>Credit Card</v>
      </c>
      <c r="M855" t="str">
        <f>PROPER(TRIM(sales_data!M855))</f>
        <v>Retail</v>
      </c>
      <c r="N855">
        <f t="shared" si="53"/>
        <v>296.92999999999029</v>
      </c>
      <c r="O855">
        <f t="shared" si="54"/>
        <v>5641.6699999998154</v>
      </c>
      <c r="P855" t="str">
        <f t="shared" si="55"/>
        <v>Jul</v>
      </c>
    </row>
    <row r="856" spans="1:16" x14ac:dyDescent="0.25">
      <c r="A856">
        <v>1023</v>
      </c>
      <c r="B856" s="1">
        <v>45199</v>
      </c>
      <c r="C856">
        <f t="shared" si="52"/>
        <v>12438.287999999931</v>
      </c>
      <c r="D856">
        <v>8</v>
      </c>
      <c r="E856">
        <v>1563.78</v>
      </c>
      <c r="F856">
        <v>1829.1599999999901</v>
      </c>
      <c r="G856">
        <v>0.15</v>
      </c>
      <c r="H856" t="str">
        <f>PROPER(TRIM(sales_data!C856))</f>
        <v>Charlie</v>
      </c>
      <c r="I856" t="str">
        <f>PROPER(TRIM(sales_data!D856))</f>
        <v>North</v>
      </c>
      <c r="J856" t="str">
        <f>PROPER(TRIM(sales_data!G856))</f>
        <v>Furniture</v>
      </c>
      <c r="K856" t="str">
        <f>PROPER(TRIM(sales_data!J856))</f>
        <v>Returning</v>
      </c>
      <c r="L856" t="str">
        <f>PROPER(TRIM(sales_data!L856))</f>
        <v>Cash</v>
      </c>
      <c r="M856" t="str">
        <f>PROPER(TRIM(sales_data!M856))</f>
        <v>Online</v>
      </c>
      <c r="N856">
        <f t="shared" si="53"/>
        <v>265.3799999999901</v>
      </c>
      <c r="O856">
        <f t="shared" si="54"/>
        <v>2123.0399999999208</v>
      </c>
      <c r="P856" t="str">
        <f t="shared" si="55"/>
        <v>Sep</v>
      </c>
    </row>
    <row r="857" spans="1:16" x14ac:dyDescent="0.25">
      <c r="A857">
        <v>1079</v>
      </c>
      <c r="B857" s="1">
        <v>45162</v>
      </c>
      <c r="C857">
        <f t="shared" si="52"/>
        <v>23038.3904</v>
      </c>
      <c r="D857">
        <v>8</v>
      </c>
      <c r="E857">
        <v>3808.23</v>
      </c>
      <c r="F857">
        <v>3891.62</v>
      </c>
      <c r="G857">
        <v>0.26</v>
      </c>
      <c r="H857" t="str">
        <f>PROPER(TRIM(sales_data!C857))</f>
        <v>Alice</v>
      </c>
      <c r="I857" t="str">
        <f>PROPER(TRIM(sales_data!D857))</f>
        <v>North</v>
      </c>
      <c r="J857" t="str">
        <f>PROPER(TRIM(sales_data!G857))</f>
        <v>Clothing</v>
      </c>
      <c r="K857" t="str">
        <f>PROPER(TRIM(sales_data!J857))</f>
        <v>Returning</v>
      </c>
      <c r="L857" t="str">
        <f>PROPER(TRIM(sales_data!L857))</f>
        <v>Bank Transfer</v>
      </c>
      <c r="M857" t="str">
        <f>PROPER(TRIM(sales_data!M857))</f>
        <v>Online</v>
      </c>
      <c r="N857">
        <f t="shared" si="53"/>
        <v>83.389999999999873</v>
      </c>
      <c r="O857">
        <f t="shared" si="54"/>
        <v>667.11999999999898</v>
      </c>
      <c r="P857" t="str">
        <f t="shared" si="55"/>
        <v>Aug</v>
      </c>
    </row>
    <row r="858" spans="1:16" x14ac:dyDescent="0.25">
      <c r="A858">
        <v>1085</v>
      </c>
      <c r="B858" s="1">
        <v>45266</v>
      </c>
      <c r="C858">
        <f t="shared" si="52"/>
        <v>127406.36159999999</v>
      </c>
      <c r="D858">
        <v>42</v>
      </c>
      <c r="E858">
        <v>3117.75</v>
      </c>
      <c r="F858">
        <v>3159.88</v>
      </c>
      <c r="G858">
        <v>0.04</v>
      </c>
      <c r="H858" t="str">
        <f>PROPER(TRIM(sales_data!C858))</f>
        <v>Eve</v>
      </c>
      <c r="I858" t="str">
        <f>PROPER(TRIM(sales_data!D858))</f>
        <v>North</v>
      </c>
      <c r="J858" t="str">
        <f>PROPER(TRIM(sales_data!G858))</f>
        <v>Electronics</v>
      </c>
      <c r="K858" t="str">
        <f>PROPER(TRIM(sales_data!J858))</f>
        <v>New</v>
      </c>
      <c r="L858" t="str">
        <f>PROPER(TRIM(sales_data!L858))</f>
        <v>Cash</v>
      </c>
      <c r="M858" t="str">
        <f>PROPER(TRIM(sales_data!M858))</f>
        <v>Retail</v>
      </c>
      <c r="N858">
        <f t="shared" si="53"/>
        <v>42.130000000000109</v>
      </c>
      <c r="O858">
        <f t="shared" si="54"/>
        <v>1769.4600000000046</v>
      </c>
      <c r="P858" t="str">
        <f t="shared" si="55"/>
        <v>Dec</v>
      </c>
    </row>
    <row r="859" spans="1:16" x14ac:dyDescent="0.25">
      <c r="A859">
        <v>1014</v>
      </c>
      <c r="B859" s="1">
        <v>45154</v>
      </c>
      <c r="C859">
        <f t="shared" si="52"/>
        <v>16652.480000000003</v>
      </c>
      <c r="D859">
        <v>26</v>
      </c>
      <c r="E859">
        <v>433.19</v>
      </c>
      <c r="F859">
        <v>800.6</v>
      </c>
      <c r="G859">
        <v>0.2</v>
      </c>
      <c r="H859" t="str">
        <f>PROPER(TRIM(sales_data!C859))</f>
        <v>David</v>
      </c>
      <c r="I859" t="str">
        <f>PROPER(TRIM(sales_data!D859))</f>
        <v>South</v>
      </c>
      <c r="J859" t="str">
        <f>PROPER(TRIM(sales_data!G859))</f>
        <v>Furniture</v>
      </c>
      <c r="K859" t="str">
        <f>PROPER(TRIM(sales_data!J859))</f>
        <v>Returning</v>
      </c>
      <c r="L859" t="str">
        <f>PROPER(TRIM(sales_data!L859))</f>
        <v>Cash</v>
      </c>
      <c r="M859" t="str">
        <f>PROPER(TRIM(sales_data!M859))</f>
        <v>Online</v>
      </c>
      <c r="N859">
        <f t="shared" si="53"/>
        <v>367.41</v>
      </c>
      <c r="O859">
        <f t="shared" si="54"/>
        <v>9552.66</v>
      </c>
      <c r="P859" t="str">
        <f t="shared" si="55"/>
        <v>Aug</v>
      </c>
    </row>
    <row r="860" spans="1:16" x14ac:dyDescent="0.25">
      <c r="A860">
        <v>1066</v>
      </c>
      <c r="B860" s="1">
        <v>44935</v>
      </c>
      <c r="C860">
        <f t="shared" si="52"/>
        <v>114452.35200000001</v>
      </c>
      <c r="D860">
        <v>48</v>
      </c>
      <c r="E860">
        <v>2588.54</v>
      </c>
      <c r="F860">
        <v>2872.8</v>
      </c>
      <c r="G860">
        <v>0.17</v>
      </c>
      <c r="H860" t="str">
        <f>PROPER(TRIM(sales_data!C860))</f>
        <v>Alice</v>
      </c>
      <c r="I860" t="str">
        <f>PROPER(TRIM(sales_data!D860))</f>
        <v>North</v>
      </c>
      <c r="J860" t="str">
        <f>PROPER(TRIM(sales_data!G860))</f>
        <v>Clothing</v>
      </c>
      <c r="K860" t="str">
        <f>PROPER(TRIM(sales_data!J860))</f>
        <v>New</v>
      </c>
      <c r="L860" t="str">
        <f>PROPER(TRIM(sales_data!L860))</f>
        <v>Cash</v>
      </c>
      <c r="M860" t="str">
        <f>PROPER(TRIM(sales_data!M860))</f>
        <v>Online</v>
      </c>
      <c r="N860">
        <f t="shared" si="53"/>
        <v>284.26000000000022</v>
      </c>
      <c r="O860">
        <f t="shared" si="54"/>
        <v>13644.48000000001</v>
      </c>
      <c r="P860" t="str">
        <f t="shared" si="55"/>
        <v>Jan</v>
      </c>
    </row>
    <row r="861" spans="1:16" x14ac:dyDescent="0.25">
      <c r="A861">
        <v>1075</v>
      </c>
      <c r="B861" s="1">
        <v>45092</v>
      </c>
      <c r="C861">
        <f t="shared" si="52"/>
        <v>43272.19</v>
      </c>
      <c r="D861">
        <v>26</v>
      </c>
      <c r="E861">
        <v>1749.34</v>
      </c>
      <c r="F861">
        <v>1935.25</v>
      </c>
      <c r="G861">
        <v>0.14000000000000001</v>
      </c>
      <c r="H861" t="str">
        <f>PROPER(TRIM(sales_data!C861))</f>
        <v>Eve</v>
      </c>
      <c r="I861" t="str">
        <f>PROPER(TRIM(sales_data!D861))</f>
        <v>North</v>
      </c>
      <c r="J861" t="str">
        <f>PROPER(TRIM(sales_data!G861))</f>
        <v>Furniture</v>
      </c>
      <c r="K861" t="str">
        <f>PROPER(TRIM(sales_data!J861))</f>
        <v>New</v>
      </c>
      <c r="L861" t="str">
        <f>PROPER(TRIM(sales_data!L861))</f>
        <v>Credit Card</v>
      </c>
      <c r="M861" t="str">
        <f>PROPER(TRIM(sales_data!M861))</f>
        <v>Online</v>
      </c>
      <c r="N861">
        <f t="shared" si="53"/>
        <v>185.91000000000008</v>
      </c>
      <c r="O861">
        <f t="shared" si="54"/>
        <v>4833.6600000000017</v>
      </c>
      <c r="P861" t="str">
        <f t="shared" si="55"/>
        <v>Jun</v>
      </c>
    </row>
    <row r="862" spans="1:16" x14ac:dyDescent="0.25">
      <c r="A862">
        <v>1051</v>
      </c>
      <c r="B862" s="1">
        <v>45245</v>
      </c>
      <c r="C862">
        <f t="shared" si="52"/>
        <v>40713.265999999996</v>
      </c>
      <c r="D862">
        <v>23</v>
      </c>
      <c r="E862">
        <v>1676.42</v>
      </c>
      <c r="F862">
        <v>2082.52</v>
      </c>
      <c r="G862">
        <v>0.15</v>
      </c>
      <c r="H862" t="str">
        <f>PROPER(TRIM(sales_data!C862))</f>
        <v>Alice</v>
      </c>
      <c r="I862" t="str">
        <f>PROPER(TRIM(sales_data!D862))</f>
        <v>North</v>
      </c>
      <c r="J862" t="str">
        <f>PROPER(TRIM(sales_data!G862))</f>
        <v>Electronics</v>
      </c>
      <c r="K862" t="str">
        <f>PROPER(TRIM(sales_data!J862))</f>
        <v>New</v>
      </c>
      <c r="L862" t="str">
        <f>PROPER(TRIM(sales_data!L862))</f>
        <v>Bank Transfer</v>
      </c>
      <c r="M862" t="str">
        <f>PROPER(TRIM(sales_data!M862))</f>
        <v>Retail</v>
      </c>
      <c r="N862">
        <f t="shared" si="53"/>
        <v>406.09999999999991</v>
      </c>
      <c r="O862">
        <f t="shared" si="54"/>
        <v>9340.2999999999975</v>
      </c>
      <c r="P862" t="str">
        <f t="shared" si="55"/>
        <v>Nov</v>
      </c>
    </row>
    <row r="863" spans="1:16" x14ac:dyDescent="0.25">
      <c r="A863">
        <v>1038</v>
      </c>
      <c r="B863" s="1">
        <v>45140</v>
      </c>
      <c r="C863">
        <f t="shared" si="52"/>
        <v>108378.47280000002</v>
      </c>
      <c r="D863">
        <v>43</v>
      </c>
      <c r="E863">
        <v>3031.17</v>
      </c>
      <c r="F863">
        <v>3231.32</v>
      </c>
      <c r="G863">
        <v>0.22</v>
      </c>
      <c r="H863" t="str">
        <f>PROPER(TRIM(sales_data!C863))</f>
        <v>Alice</v>
      </c>
      <c r="I863" t="str">
        <f>PROPER(TRIM(sales_data!D863))</f>
        <v>East</v>
      </c>
      <c r="J863" t="str">
        <f>PROPER(TRIM(sales_data!G863))</f>
        <v>Furniture</v>
      </c>
      <c r="K863" t="str">
        <f>PROPER(TRIM(sales_data!J863))</f>
        <v>Returning</v>
      </c>
      <c r="L863" t="str">
        <f>PROPER(TRIM(sales_data!L863))</f>
        <v>Cash</v>
      </c>
      <c r="M863" t="str">
        <f>PROPER(TRIM(sales_data!M863))</f>
        <v>Retail</v>
      </c>
      <c r="N863">
        <f t="shared" si="53"/>
        <v>200.15000000000009</v>
      </c>
      <c r="O863">
        <f t="shared" si="54"/>
        <v>8606.4500000000044</v>
      </c>
      <c r="P863" t="str">
        <f t="shared" si="55"/>
        <v>Aug</v>
      </c>
    </row>
    <row r="864" spans="1:16" x14ac:dyDescent="0.25">
      <c r="A864">
        <v>1064</v>
      </c>
      <c r="B864" s="1">
        <v>45043</v>
      </c>
      <c r="C864">
        <f t="shared" si="52"/>
        <v>19146.160799999998</v>
      </c>
      <c r="D864">
        <v>13</v>
      </c>
      <c r="E864">
        <v>1645.51</v>
      </c>
      <c r="F864">
        <v>2045.53</v>
      </c>
      <c r="G864">
        <v>0.28000000000000003</v>
      </c>
      <c r="H864" t="str">
        <f>PROPER(TRIM(sales_data!C864))</f>
        <v>Bob</v>
      </c>
      <c r="I864" t="str">
        <f>PROPER(TRIM(sales_data!D864))</f>
        <v>North</v>
      </c>
      <c r="J864" t="str">
        <f>PROPER(TRIM(sales_data!G864))</f>
        <v>Clothing</v>
      </c>
      <c r="K864" t="str">
        <f>PROPER(TRIM(sales_data!J864))</f>
        <v>Returning</v>
      </c>
      <c r="L864" t="str">
        <f>PROPER(TRIM(sales_data!L864))</f>
        <v>Cash</v>
      </c>
      <c r="M864" t="str">
        <f>PROPER(TRIM(sales_data!M864))</f>
        <v>Retail</v>
      </c>
      <c r="N864">
        <f t="shared" si="53"/>
        <v>400.02</v>
      </c>
      <c r="O864">
        <f t="shared" si="54"/>
        <v>5200.26</v>
      </c>
      <c r="P864" t="str">
        <f t="shared" si="55"/>
        <v>Apr</v>
      </c>
    </row>
    <row r="865" spans="1:16" x14ac:dyDescent="0.25">
      <c r="A865">
        <v>1098</v>
      </c>
      <c r="B865" s="1">
        <v>45270</v>
      </c>
      <c r="C865">
        <f t="shared" si="52"/>
        <v>110145.7504</v>
      </c>
      <c r="D865">
        <v>28</v>
      </c>
      <c r="E865">
        <v>3895.62</v>
      </c>
      <c r="F865">
        <v>4055.44</v>
      </c>
      <c r="G865">
        <v>0.03</v>
      </c>
      <c r="H865" t="str">
        <f>PROPER(TRIM(sales_data!C865))</f>
        <v>Eve</v>
      </c>
      <c r="I865" t="str">
        <f>PROPER(TRIM(sales_data!D865))</f>
        <v>East</v>
      </c>
      <c r="J865" t="str">
        <f>PROPER(TRIM(sales_data!G865))</f>
        <v>Electronics</v>
      </c>
      <c r="K865" t="str">
        <f>PROPER(TRIM(sales_data!J865))</f>
        <v>New</v>
      </c>
      <c r="L865" t="str">
        <f>PROPER(TRIM(sales_data!L865))</f>
        <v>Bank Transfer</v>
      </c>
      <c r="M865" t="str">
        <f>PROPER(TRIM(sales_data!M865))</f>
        <v>Retail</v>
      </c>
      <c r="N865">
        <f t="shared" si="53"/>
        <v>159.82000000000016</v>
      </c>
      <c r="O865">
        <f t="shared" si="54"/>
        <v>4474.9600000000046</v>
      </c>
      <c r="P865" t="str">
        <f t="shared" si="55"/>
        <v>Dec</v>
      </c>
    </row>
    <row r="866" spans="1:16" x14ac:dyDescent="0.25">
      <c r="A866">
        <v>1038</v>
      </c>
      <c r="B866" s="1">
        <v>44998</v>
      </c>
      <c r="C866">
        <f t="shared" si="52"/>
        <v>3974.8401000000003</v>
      </c>
      <c r="D866">
        <v>9</v>
      </c>
      <c r="E866">
        <v>400.42</v>
      </c>
      <c r="F866">
        <v>446.11</v>
      </c>
      <c r="G866">
        <v>0.01</v>
      </c>
      <c r="H866" t="str">
        <f>PROPER(TRIM(sales_data!C866))</f>
        <v>David</v>
      </c>
      <c r="I866" t="str">
        <f>PROPER(TRIM(sales_data!D866))</f>
        <v>North</v>
      </c>
      <c r="J866" t="str">
        <f>PROPER(TRIM(sales_data!G866))</f>
        <v>Clothing</v>
      </c>
      <c r="K866" t="str">
        <f>PROPER(TRIM(sales_data!J866))</f>
        <v>New</v>
      </c>
      <c r="L866" t="str">
        <f>PROPER(TRIM(sales_data!L866))</f>
        <v>Bank Transfer</v>
      </c>
      <c r="M866" t="str">
        <f>PROPER(TRIM(sales_data!M866))</f>
        <v>Retail</v>
      </c>
      <c r="N866">
        <f t="shared" si="53"/>
        <v>45.69</v>
      </c>
      <c r="O866">
        <f t="shared" si="54"/>
        <v>411.21</v>
      </c>
      <c r="P866" t="str">
        <f t="shared" si="55"/>
        <v>Mar</v>
      </c>
    </row>
    <row r="867" spans="1:16" x14ac:dyDescent="0.25">
      <c r="A867">
        <v>1050</v>
      </c>
      <c r="B867" s="1">
        <v>44990</v>
      </c>
      <c r="C867">
        <f t="shared" si="52"/>
        <v>57545.831999999995</v>
      </c>
      <c r="D867">
        <v>20</v>
      </c>
      <c r="E867">
        <v>3318.92</v>
      </c>
      <c r="F867">
        <v>3785.91</v>
      </c>
      <c r="G867">
        <v>0.24</v>
      </c>
      <c r="H867" t="str">
        <f>PROPER(TRIM(sales_data!C867))</f>
        <v>Bob</v>
      </c>
      <c r="I867" t="str">
        <f>PROPER(TRIM(sales_data!D867))</f>
        <v>North</v>
      </c>
      <c r="J867" t="str">
        <f>PROPER(TRIM(sales_data!G867))</f>
        <v>Electronics</v>
      </c>
      <c r="K867" t="str">
        <f>PROPER(TRIM(sales_data!J867))</f>
        <v>New</v>
      </c>
      <c r="L867" t="str">
        <f>PROPER(TRIM(sales_data!L867))</f>
        <v>Bank Transfer</v>
      </c>
      <c r="M867" t="str">
        <f>PROPER(TRIM(sales_data!M867))</f>
        <v>Online</v>
      </c>
      <c r="N867">
        <f t="shared" si="53"/>
        <v>466.98999999999978</v>
      </c>
      <c r="O867">
        <f t="shared" si="54"/>
        <v>9339.7999999999956</v>
      </c>
      <c r="P867" t="str">
        <f t="shared" si="55"/>
        <v>Mar</v>
      </c>
    </row>
    <row r="868" spans="1:16" x14ac:dyDescent="0.25">
      <c r="A868">
        <v>1098</v>
      </c>
      <c r="B868" s="1">
        <v>45131</v>
      </c>
      <c r="C868">
        <f t="shared" si="52"/>
        <v>78490.421199999997</v>
      </c>
      <c r="D868">
        <v>19</v>
      </c>
      <c r="E868">
        <v>4055.51</v>
      </c>
      <c r="F868">
        <v>4258.84</v>
      </c>
      <c r="G868">
        <v>0.03</v>
      </c>
      <c r="H868" t="str">
        <f>PROPER(TRIM(sales_data!C868))</f>
        <v>Alice</v>
      </c>
      <c r="I868" t="str">
        <f>PROPER(TRIM(sales_data!D868))</f>
        <v>South</v>
      </c>
      <c r="J868" t="str">
        <f>PROPER(TRIM(sales_data!G868))</f>
        <v>Electronics</v>
      </c>
      <c r="K868" t="str">
        <f>PROPER(TRIM(sales_data!J868))</f>
        <v>Returning</v>
      </c>
      <c r="L868" t="str">
        <f>PROPER(TRIM(sales_data!L868))</f>
        <v>Credit Card</v>
      </c>
      <c r="M868" t="str">
        <f>PROPER(TRIM(sales_data!M868))</f>
        <v>Online</v>
      </c>
      <c r="N868">
        <f t="shared" si="53"/>
        <v>203.32999999999993</v>
      </c>
      <c r="O868">
        <f t="shared" si="54"/>
        <v>3863.2699999999986</v>
      </c>
      <c r="P868" t="str">
        <f t="shared" si="55"/>
        <v>Jul</v>
      </c>
    </row>
    <row r="869" spans="1:16" x14ac:dyDescent="0.25">
      <c r="A869">
        <v>1082</v>
      </c>
      <c r="B869" s="1">
        <v>45135</v>
      </c>
      <c r="C869">
        <f t="shared" si="52"/>
        <v>126972.38399999999</v>
      </c>
      <c r="D869">
        <v>48</v>
      </c>
      <c r="E869">
        <v>3380.52</v>
      </c>
      <c r="F869">
        <v>3778.94</v>
      </c>
      <c r="G869">
        <v>0.3</v>
      </c>
      <c r="H869" t="str">
        <f>PROPER(TRIM(sales_data!C869))</f>
        <v>Alice</v>
      </c>
      <c r="I869" t="str">
        <f>PROPER(TRIM(sales_data!D869))</f>
        <v>East</v>
      </c>
      <c r="J869" t="str">
        <f>PROPER(TRIM(sales_data!G869))</f>
        <v>Food</v>
      </c>
      <c r="K869" t="str">
        <f>PROPER(TRIM(sales_data!J869))</f>
        <v>Returning</v>
      </c>
      <c r="L869" t="str">
        <f>PROPER(TRIM(sales_data!L869))</f>
        <v>Bank Transfer</v>
      </c>
      <c r="M869" t="str">
        <f>PROPER(TRIM(sales_data!M869))</f>
        <v>Online</v>
      </c>
      <c r="N869">
        <f t="shared" si="53"/>
        <v>398.42000000000007</v>
      </c>
      <c r="O869">
        <f t="shared" si="54"/>
        <v>19124.160000000003</v>
      </c>
      <c r="P869" t="str">
        <f t="shared" si="55"/>
        <v>Jul</v>
      </c>
    </row>
    <row r="870" spans="1:16" x14ac:dyDescent="0.25">
      <c r="A870">
        <v>1030</v>
      </c>
      <c r="B870" s="1">
        <v>44998</v>
      </c>
      <c r="C870">
        <f t="shared" si="52"/>
        <v>83968.11540000001</v>
      </c>
      <c r="D870">
        <v>39</v>
      </c>
      <c r="E870">
        <v>2511.2800000000002</v>
      </c>
      <c r="F870">
        <v>2658.06</v>
      </c>
      <c r="G870">
        <v>0.19</v>
      </c>
      <c r="H870" t="str">
        <f>PROPER(TRIM(sales_data!C870))</f>
        <v>Alice</v>
      </c>
      <c r="I870" t="str">
        <f>PROPER(TRIM(sales_data!D870))</f>
        <v>North</v>
      </c>
      <c r="J870" t="str">
        <f>PROPER(TRIM(sales_data!G870))</f>
        <v>Food</v>
      </c>
      <c r="K870" t="str">
        <f>PROPER(TRIM(sales_data!J870))</f>
        <v>New</v>
      </c>
      <c r="L870" t="str">
        <f>PROPER(TRIM(sales_data!L870))</f>
        <v>Credit Card</v>
      </c>
      <c r="M870" t="str">
        <f>PROPER(TRIM(sales_data!M870))</f>
        <v>Retail</v>
      </c>
      <c r="N870">
        <f t="shared" si="53"/>
        <v>146.77999999999975</v>
      </c>
      <c r="O870">
        <f t="shared" si="54"/>
        <v>5724.4199999999901</v>
      </c>
      <c r="P870" t="str">
        <f t="shared" si="55"/>
        <v>Mar</v>
      </c>
    </row>
    <row r="871" spans="1:16" x14ac:dyDescent="0.25">
      <c r="A871">
        <v>1079</v>
      </c>
      <c r="B871" s="1">
        <v>45203</v>
      </c>
      <c r="C871">
        <f t="shared" si="52"/>
        <v>48775.103999999999</v>
      </c>
      <c r="D871">
        <v>12</v>
      </c>
      <c r="E871">
        <v>4754.0200000000004</v>
      </c>
      <c r="F871">
        <v>5080.74</v>
      </c>
      <c r="G871">
        <v>0.2</v>
      </c>
      <c r="H871" t="str">
        <f>PROPER(TRIM(sales_data!C871))</f>
        <v>Eve</v>
      </c>
      <c r="I871" t="str">
        <f>PROPER(TRIM(sales_data!D871))</f>
        <v>East</v>
      </c>
      <c r="J871" t="str">
        <f>PROPER(TRIM(sales_data!G871))</f>
        <v>Food</v>
      </c>
      <c r="K871" t="str">
        <f>PROPER(TRIM(sales_data!J871))</f>
        <v>New</v>
      </c>
      <c r="L871" t="str">
        <f>PROPER(TRIM(sales_data!L871))</f>
        <v>Cash</v>
      </c>
      <c r="M871" t="str">
        <f>PROPER(TRIM(sales_data!M871))</f>
        <v>Online</v>
      </c>
      <c r="N871">
        <f t="shared" si="53"/>
        <v>326.71999999999935</v>
      </c>
      <c r="O871">
        <f t="shared" si="54"/>
        <v>3920.6399999999921</v>
      </c>
      <c r="P871" t="str">
        <f t="shared" si="55"/>
        <v>Oct</v>
      </c>
    </row>
    <row r="872" spans="1:16" x14ac:dyDescent="0.25">
      <c r="A872">
        <v>1091</v>
      </c>
      <c r="B872" s="1">
        <v>45200</v>
      </c>
      <c r="C872">
        <f t="shared" si="52"/>
        <v>27813.941999999999</v>
      </c>
      <c r="D872">
        <v>15</v>
      </c>
      <c r="E872">
        <v>1534.7</v>
      </c>
      <c r="F872">
        <v>1972.62</v>
      </c>
      <c r="G872">
        <v>0.06</v>
      </c>
      <c r="H872" t="str">
        <f>PROPER(TRIM(sales_data!C872))</f>
        <v>Eve</v>
      </c>
      <c r="I872" t="str">
        <f>PROPER(TRIM(sales_data!D872))</f>
        <v>East</v>
      </c>
      <c r="J872" t="str">
        <f>PROPER(TRIM(sales_data!G872))</f>
        <v>Electronics</v>
      </c>
      <c r="K872" t="str">
        <f>PROPER(TRIM(sales_data!J872))</f>
        <v>Returning</v>
      </c>
      <c r="L872" t="str">
        <f>PROPER(TRIM(sales_data!L872))</f>
        <v>Credit Card</v>
      </c>
      <c r="M872" t="str">
        <f>PROPER(TRIM(sales_data!M872))</f>
        <v>Retail</v>
      </c>
      <c r="N872">
        <f t="shared" si="53"/>
        <v>437.91999999999985</v>
      </c>
      <c r="O872">
        <f t="shared" si="54"/>
        <v>6568.7999999999975</v>
      </c>
      <c r="P872" t="str">
        <f t="shared" si="55"/>
        <v>Oct</v>
      </c>
    </row>
    <row r="873" spans="1:16" x14ac:dyDescent="0.25">
      <c r="A873">
        <v>1051</v>
      </c>
      <c r="B873" s="1">
        <v>45246</v>
      </c>
      <c r="C873">
        <f t="shared" si="52"/>
        <v>5053.6106999999993</v>
      </c>
      <c r="D873">
        <v>31</v>
      </c>
      <c r="E873">
        <v>144.88</v>
      </c>
      <c r="F873">
        <v>175.29</v>
      </c>
      <c r="G873">
        <v>7.0000000000000007E-2</v>
      </c>
      <c r="H873" t="str">
        <f>PROPER(TRIM(sales_data!C873))</f>
        <v>Bob</v>
      </c>
      <c r="I873" t="str">
        <f>PROPER(TRIM(sales_data!D873))</f>
        <v>West</v>
      </c>
      <c r="J873" t="str">
        <f>PROPER(TRIM(sales_data!G873))</f>
        <v>Furniture</v>
      </c>
      <c r="K873" t="str">
        <f>PROPER(TRIM(sales_data!J873))</f>
        <v>New</v>
      </c>
      <c r="L873" t="str">
        <f>PROPER(TRIM(sales_data!L873))</f>
        <v>Bank Transfer</v>
      </c>
      <c r="M873" t="str">
        <f>PROPER(TRIM(sales_data!M873))</f>
        <v>Online</v>
      </c>
      <c r="N873">
        <f t="shared" si="53"/>
        <v>30.409999999999997</v>
      </c>
      <c r="O873">
        <f t="shared" si="54"/>
        <v>942.70999999999992</v>
      </c>
      <c r="P873" t="str">
        <f t="shared" si="55"/>
        <v>Nov</v>
      </c>
    </row>
    <row r="874" spans="1:16" x14ac:dyDescent="0.25">
      <c r="A874">
        <v>1063</v>
      </c>
      <c r="B874" s="1">
        <v>45264</v>
      </c>
      <c r="C874">
        <f t="shared" si="52"/>
        <v>29180.03199999989</v>
      </c>
      <c r="D874">
        <v>14</v>
      </c>
      <c r="E874">
        <v>2188.35</v>
      </c>
      <c r="F874">
        <v>2605.3599999999901</v>
      </c>
      <c r="G874">
        <v>0.2</v>
      </c>
      <c r="H874" t="str">
        <f>PROPER(TRIM(sales_data!C874))</f>
        <v>David</v>
      </c>
      <c r="I874" t="str">
        <f>PROPER(TRIM(sales_data!D874))</f>
        <v>South</v>
      </c>
      <c r="J874" t="str">
        <f>PROPER(TRIM(sales_data!G874))</f>
        <v>Clothing</v>
      </c>
      <c r="K874" t="str">
        <f>PROPER(TRIM(sales_data!J874))</f>
        <v>Returning</v>
      </c>
      <c r="L874" t="str">
        <f>PROPER(TRIM(sales_data!L874))</f>
        <v>Credit Card</v>
      </c>
      <c r="M874" t="str">
        <f>PROPER(TRIM(sales_data!M874))</f>
        <v>Retail</v>
      </c>
      <c r="N874">
        <f t="shared" si="53"/>
        <v>417.00999999999021</v>
      </c>
      <c r="O874">
        <f t="shared" si="54"/>
        <v>5838.139999999863</v>
      </c>
      <c r="P874" t="str">
        <f t="shared" si="55"/>
        <v>Dec</v>
      </c>
    </row>
    <row r="875" spans="1:16" x14ac:dyDescent="0.25">
      <c r="A875">
        <v>1098</v>
      </c>
      <c r="B875" s="1">
        <v>45292</v>
      </c>
      <c r="C875">
        <f t="shared" si="52"/>
        <v>4041.9807999999998</v>
      </c>
      <c r="D875">
        <v>11</v>
      </c>
      <c r="E875">
        <v>213.41</v>
      </c>
      <c r="F875">
        <v>503.36</v>
      </c>
      <c r="G875">
        <v>0.27</v>
      </c>
      <c r="H875" t="str">
        <f>PROPER(TRIM(sales_data!C875))</f>
        <v>Bob</v>
      </c>
      <c r="I875" t="str">
        <f>PROPER(TRIM(sales_data!D875))</f>
        <v>South</v>
      </c>
      <c r="J875" t="str">
        <f>PROPER(TRIM(sales_data!G875))</f>
        <v>Clothing</v>
      </c>
      <c r="K875" t="str">
        <f>PROPER(TRIM(sales_data!J875))</f>
        <v>Returning</v>
      </c>
      <c r="L875" t="str">
        <f>PROPER(TRIM(sales_data!L875))</f>
        <v>Bank Transfer</v>
      </c>
      <c r="M875" t="str">
        <f>PROPER(TRIM(sales_data!M875))</f>
        <v>Online</v>
      </c>
      <c r="N875">
        <f t="shared" si="53"/>
        <v>289.95000000000005</v>
      </c>
      <c r="O875">
        <f t="shared" si="54"/>
        <v>3189.4500000000007</v>
      </c>
      <c r="P875" t="str">
        <f t="shared" si="55"/>
        <v>Jan</v>
      </c>
    </row>
    <row r="876" spans="1:16" x14ac:dyDescent="0.25">
      <c r="A876">
        <v>1052</v>
      </c>
      <c r="B876" s="1">
        <v>45021</v>
      </c>
      <c r="C876">
        <f t="shared" si="52"/>
        <v>93770.338999999993</v>
      </c>
      <c r="D876">
        <v>26</v>
      </c>
      <c r="E876">
        <v>4771.99</v>
      </c>
      <c r="F876">
        <v>5079.6499999999996</v>
      </c>
      <c r="G876">
        <v>0.28999999999999998</v>
      </c>
      <c r="H876" t="str">
        <f>PROPER(TRIM(sales_data!C876))</f>
        <v>Charlie</v>
      </c>
      <c r="I876" t="str">
        <f>PROPER(TRIM(sales_data!D876))</f>
        <v>South</v>
      </c>
      <c r="J876" t="str">
        <f>PROPER(TRIM(sales_data!G876))</f>
        <v>Clothing</v>
      </c>
      <c r="K876" t="str">
        <f>PROPER(TRIM(sales_data!J876))</f>
        <v>New</v>
      </c>
      <c r="L876" t="str">
        <f>PROPER(TRIM(sales_data!L876))</f>
        <v>Credit Card</v>
      </c>
      <c r="M876" t="str">
        <f>PROPER(TRIM(sales_data!M876))</f>
        <v>Online</v>
      </c>
      <c r="N876">
        <f t="shared" si="53"/>
        <v>307.65999999999985</v>
      </c>
      <c r="O876">
        <f t="shared" si="54"/>
        <v>7999.1599999999962</v>
      </c>
      <c r="P876" t="str">
        <f t="shared" si="55"/>
        <v>Apr</v>
      </c>
    </row>
    <row r="877" spans="1:16" x14ac:dyDescent="0.25">
      <c r="A877">
        <v>1038</v>
      </c>
      <c r="B877" s="1">
        <v>45092</v>
      </c>
      <c r="C877">
        <f t="shared" si="52"/>
        <v>53512.771200000003</v>
      </c>
      <c r="D877">
        <v>42</v>
      </c>
      <c r="E877">
        <v>1089.0899999999999</v>
      </c>
      <c r="F877">
        <v>1355.44</v>
      </c>
      <c r="G877">
        <v>0.06</v>
      </c>
      <c r="H877" t="str">
        <f>PROPER(TRIM(sales_data!C877))</f>
        <v>Alice</v>
      </c>
      <c r="I877" t="str">
        <f>PROPER(TRIM(sales_data!D877))</f>
        <v>West</v>
      </c>
      <c r="J877" t="str">
        <f>PROPER(TRIM(sales_data!G877))</f>
        <v>Food</v>
      </c>
      <c r="K877" t="str">
        <f>PROPER(TRIM(sales_data!J877))</f>
        <v>New</v>
      </c>
      <c r="L877" t="str">
        <f>PROPER(TRIM(sales_data!L877))</f>
        <v>Cash</v>
      </c>
      <c r="M877" t="str">
        <f>PROPER(TRIM(sales_data!M877))</f>
        <v>Retail</v>
      </c>
      <c r="N877">
        <f t="shared" si="53"/>
        <v>266.35000000000014</v>
      </c>
      <c r="O877">
        <f t="shared" si="54"/>
        <v>11186.700000000006</v>
      </c>
      <c r="P877" t="str">
        <f t="shared" si="55"/>
        <v>Jun</v>
      </c>
    </row>
    <row r="878" spans="1:16" x14ac:dyDescent="0.25">
      <c r="A878">
        <v>1097</v>
      </c>
      <c r="B878" s="1">
        <v>44958</v>
      </c>
      <c r="C878">
        <f t="shared" si="52"/>
        <v>113884.18560000001</v>
      </c>
      <c r="D878">
        <v>27</v>
      </c>
      <c r="E878">
        <v>3955.19</v>
      </c>
      <c r="F878">
        <v>4393.68</v>
      </c>
      <c r="G878">
        <v>0.04</v>
      </c>
      <c r="H878" t="str">
        <f>PROPER(TRIM(sales_data!C878))</f>
        <v>Alice</v>
      </c>
      <c r="I878" t="str">
        <f>PROPER(TRIM(sales_data!D878))</f>
        <v>West</v>
      </c>
      <c r="J878" t="str">
        <f>PROPER(TRIM(sales_data!G878))</f>
        <v>Electronics</v>
      </c>
      <c r="K878" t="str">
        <f>PROPER(TRIM(sales_data!J878))</f>
        <v>Returning</v>
      </c>
      <c r="L878" t="str">
        <f>PROPER(TRIM(sales_data!L878))</f>
        <v>Credit Card</v>
      </c>
      <c r="M878" t="str">
        <f>PROPER(TRIM(sales_data!M878))</f>
        <v>Online</v>
      </c>
      <c r="N878">
        <f t="shared" si="53"/>
        <v>438.49000000000024</v>
      </c>
      <c r="O878">
        <f t="shared" si="54"/>
        <v>11839.230000000007</v>
      </c>
      <c r="P878" t="str">
        <f t="shared" si="55"/>
        <v>Feb</v>
      </c>
    </row>
    <row r="879" spans="1:16" x14ac:dyDescent="0.25">
      <c r="A879">
        <v>1088</v>
      </c>
      <c r="B879" s="1">
        <v>44937</v>
      </c>
      <c r="C879">
        <f t="shared" si="52"/>
        <v>42208.119799999993</v>
      </c>
      <c r="D879">
        <v>11</v>
      </c>
      <c r="E879">
        <v>3884.13</v>
      </c>
      <c r="F879">
        <v>3915.41</v>
      </c>
      <c r="G879">
        <v>0.02</v>
      </c>
      <c r="H879" t="str">
        <f>PROPER(TRIM(sales_data!C879))</f>
        <v>Alice</v>
      </c>
      <c r="I879" t="str">
        <f>PROPER(TRIM(sales_data!D879))</f>
        <v>South</v>
      </c>
      <c r="J879" t="str">
        <f>PROPER(TRIM(sales_data!G879))</f>
        <v>Food</v>
      </c>
      <c r="K879" t="str">
        <f>PROPER(TRIM(sales_data!J879))</f>
        <v>Returning</v>
      </c>
      <c r="L879" t="str">
        <f>PROPER(TRIM(sales_data!L879))</f>
        <v>Cash</v>
      </c>
      <c r="M879" t="str">
        <f>PROPER(TRIM(sales_data!M879))</f>
        <v>Online</v>
      </c>
      <c r="N879">
        <f t="shared" si="53"/>
        <v>31.279999999999745</v>
      </c>
      <c r="O879">
        <f t="shared" si="54"/>
        <v>344.0799999999972</v>
      </c>
      <c r="P879" t="str">
        <f t="shared" si="55"/>
        <v>Jan</v>
      </c>
    </row>
    <row r="880" spans="1:16" x14ac:dyDescent="0.25">
      <c r="A880">
        <v>1079</v>
      </c>
      <c r="B880" s="1">
        <v>45227</v>
      </c>
      <c r="C880">
        <f t="shared" si="52"/>
        <v>35590.359199999999</v>
      </c>
      <c r="D880">
        <v>38</v>
      </c>
      <c r="E880">
        <v>1127.76</v>
      </c>
      <c r="F880">
        <v>1265.6600000000001</v>
      </c>
      <c r="G880">
        <v>0.26</v>
      </c>
      <c r="H880" t="str">
        <f>PROPER(TRIM(sales_data!C880))</f>
        <v>Bob</v>
      </c>
      <c r="I880" t="str">
        <f>PROPER(TRIM(sales_data!D880))</f>
        <v>West</v>
      </c>
      <c r="J880" t="str">
        <f>PROPER(TRIM(sales_data!G880))</f>
        <v>Furniture</v>
      </c>
      <c r="K880" t="str">
        <f>PROPER(TRIM(sales_data!J880))</f>
        <v>Returning</v>
      </c>
      <c r="L880" t="str">
        <f>PROPER(TRIM(sales_data!L880))</f>
        <v>Bank Transfer</v>
      </c>
      <c r="M880" t="str">
        <f>PROPER(TRIM(sales_data!M880))</f>
        <v>Retail</v>
      </c>
      <c r="N880">
        <f t="shared" si="53"/>
        <v>137.90000000000009</v>
      </c>
      <c r="O880">
        <f t="shared" si="54"/>
        <v>5240.2000000000035</v>
      </c>
      <c r="P880" t="str">
        <f t="shared" si="55"/>
        <v>Oct</v>
      </c>
    </row>
    <row r="881" spans="1:16" x14ac:dyDescent="0.25">
      <c r="A881">
        <v>1030</v>
      </c>
      <c r="B881" s="1">
        <v>45143</v>
      </c>
      <c r="C881">
        <f t="shared" si="52"/>
        <v>110276.03860000001</v>
      </c>
      <c r="D881">
        <v>34</v>
      </c>
      <c r="E881">
        <v>3125.07</v>
      </c>
      <c r="F881">
        <v>3564.19</v>
      </c>
      <c r="G881">
        <v>0.09</v>
      </c>
      <c r="H881" t="str">
        <f>PROPER(TRIM(sales_data!C881))</f>
        <v>Bob</v>
      </c>
      <c r="I881" t="str">
        <f>PROPER(TRIM(sales_data!D881))</f>
        <v>West</v>
      </c>
      <c r="J881" t="str">
        <f>PROPER(TRIM(sales_data!G881))</f>
        <v>Electronics</v>
      </c>
      <c r="K881" t="str">
        <f>PROPER(TRIM(sales_data!J881))</f>
        <v>Returning</v>
      </c>
      <c r="L881" t="str">
        <f>PROPER(TRIM(sales_data!L881))</f>
        <v>Cash</v>
      </c>
      <c r="M881" t="str">
        <f>PROPER(TRIM(sales_data!M881))</f>
        <v>Online</v>
      </c>
      <c r="N881">
        <f t="shared" si="53"/>
        <v>439.11999999999989</v>
      </c>
      <c r="O881">
        <f t="shared" si="54"/>
        <v>14930.079999999996</v>
      </c>
      <c r="P881" t="str">
        <f t="shared" si="55"/>
        <v>Aug</v>
      </c>
    </row>
    <row r="882" spans="1:16" x14ac:dyDescent="0.25">
      <c r="A882">
        <v>1051</v>
      </c>
      <c r="B882" s="1">
        <v>45215</v>
      </c>
      <c r="C882">
        <f t="shared" si="52"/>
        <v>28665.52</v>
      </c>
      <c r="D882">
        <v>43</v>
      </c>
      <c r="E882">
        <v>287.99</v>
      </c>
      <c r="F882">
        <v>666.64</v>
      </c>
      <c r="G882">
        <v>0</v>
      </c>
      <c r="H882" t="str">
        <f>PROPER(TRIM(sales_data!C882))</f>
        <v>Alice</v>
      </c>
      <c r="I882" t="str">
        <f>PROPER(TRIM(sales_data!D882))</f>
        <v>West</v>
      </c>
      <c r="J882" t="str">
        <f>PROPER(TRIM(sales_data!G882))</f>
        <v>Clothing</v>
      </c>
      <c r="K882" t="str">
        <f>PROPER(TRIM(sales_data!J882))</f>
        <v>Returning</v>
      </c>
      <c r="L882" t="str">
        <f>PROPER(TRIM(sales_data!L882))</f>
        <v>Bank Transfer</v>
      </c>
      <c r="M882" t="str">
        <f>PROPER(TRIM(sales_data!M882))</f>
        <v>Online</v>
      </c>
      <c r="N882">
        <f t="shared" si="53"/>
        <v>378.65</v>
      </c>
      <c r="O882">
        <f t="shared" si="54"/>
        <v>16281.949999999999</v>
      </c>
      <c r="P882" t="str">
        <f t="shared" si="55"/>
        <v>Oct</v>
      </c>
    </row>
    <row r="883" spans="1:16" x14ac:dyDescent="0.25">
      <c r="A883">
        <v>1081</v>
      </c>
      <c r="B883" s="1">
        <v>45028</v>
      </c>
      <c r="C883">
        <f t="shared" si="52"/>
        <v>43509.5478</v>
      </c>
      <c r="D883">
        <v>19</v>
      </c>
      <c r="E883">
        <v>2443.69</v>
      </c>
      <c r="F883">
        <v>2462.34</v>
      </c>
      <c r="G883">
        <v>7.0000000000000007E-2</v>
      </c>
      <c r="H883" t="str">
        <f>PROPER(TRIM(sales_data!C883))</f>
        <v>Bob</v>
      </c>
      <c r="I883" t="str">
        <f>PROPER(TRIM(sales_data!D883))</f>
        <v>South</v>
      </c>
      <c r="J883" t="str">
        <f>PROPER(TRIM(sales_data!G883))</f>
        <v>Food</v>
      </c>
      <c r="K883" t="str">
        <f>PROPER(TRIM(sales_data!J883))</f>
        <v>New</v>
      </c>
      <c r="L883" t="str">
        <f>PROPER(TRIM(sales_data!L883))</f>
        <v>Bank Transfer</v>
      </c>
      <c r="M883" t="str">
        <f>PROPER(TRIM(sales_data!M883))</f>
        <v>Retail</v>
      </c>
      <c r="N883">
        <f t="shared" si="53"/>
        <v>18.650000000000091</v>
      </c>
      <c r="O883">
        <f t="shared" si="54"/>
        <v>354.35000000000173</v>
      </c>
      <c r="P883" t="str">
        <f t="shared" si="55"/>
        <v>Apr</v>
      </c>
    </row>
    <row r="884" spans="1:16" x14ac:dyDescent="0.25">
      <c r="A884">
        <v>1005</v>
      </c>
      <c r="B884" s="1">
        <v>45193</v>
      </c>
      <c r="C884">
        <f t="shared" si="52"/>
        <v>2083.482</v>
      </c>
      <c r="D884">
        <v>6</v>
      </c>
      <c r="E884">
        <v>122.5</v>
      </c>
      <c r="F884">
        <v>385.83</v>
      </c>
      <c r="G884">
        <v>0.1</v>
      </c>
      <c r="H884" t="str">
        <f>PROPER(TRIM(sales_data!C884))</f>
        <v>Eve</v>
      </c>
      <c r="I884" t="str">
        <f>PROPER(TRIM(sales_data!D884))</f>
        <v>South</v>
      </c>
      <c r="J884" t="str">
        <f>PROPER(TRIM(sales_data!G884))</f>
        <v>Food</v>
      </c>
      <c r="K884" t="str">
        <f>PROPER(TRIM(sales_data!J884))</f>
        <v>Returning</v>
      </c>
      <c r="L884" t="str">
        <f>PROPER(TRIM(sales_data!L884))</f>
        <v>Cash</v>
      </c>
      <c r="M884" t="str">
        <f>PROPER(TRIM(sales_data!M884))</f>
        <v>Retail</v>
      </c>
      <c r="N884">
        <f t="shared" si="53"/>
        <v>263.33</v>
      </c>
      <c r="O884">
        <f t="shared" si="54"/>
        <v>1579.98</v>
      </c>
      <c r="P884" t="str">
        <f t="shared" si="55"/>
        <v>Sep</v>
      </c>
    </row>
    <row r="885" spans="1:16" x14ac:dyDescent="0.25">
      <c r="A885">
        <v>1029</v>
      </c>
      <c r="B885" s="1">
        <v>45140</v>
      </c>
      <c r="C885">
        <f t="shared" si="52"/>
        <v>157108.62999999998</v>
      </c>
      <c r="D885">
        <v>46</v>
      </c>
      <c r="E885">
        <v>4609.66</v>
      </c>
      <c r="F885">
        <v>4879.1499999999996</v>
      </c>
      <c r="G885">
        <v>0.3</v>
      </c>
      <c r="H885" t="str">
        <f>PROPER(TRIM(sales_data!C885))</f>
        <v>Eve</v>
      </c>
      <c r="I885" t="str">
        <f>PROPER(TRIM(sales_data!D885))</f>
        <v>South</v>
      </c>
      <c r="J885" t="str">
        <f>PROPER(TRIM(sales_data!G885))</f>
        <v>Furniture</v>
      </c>
      <c r="K885" t="str">
        <f>PROPER(TRIM(sales_data!J885))</f>
        <v>Returning</v>
      </c>
      <c r="L885" t="str">
        <f>PROPER(TRIM(sales_data!L885))</f>
        <v>Cash</v>
      </c>
      <c r="M885" t="str">
        <f>PROPER(TRIM(sales_data!M885))</f>
        <v>Retail</v>
      </c>
      <c r="N885">
        <f t="shared" si="53"/>
        <v>269.48999999999978</v>
      </c>
      <c r="O885">
        <f t="shared" si="54"/>
        <v>12396.53999999999</v>
      </c>
      <c r="P885" t="str">
        <f t="shared" si="55"/>
        <v>Aug</v>
      </c>
    </row>
    <row r="886" spans="1:16" x14ac:dyDescent="0.25">
      <c r="A886">
        <v>1004</v>
      </c>
      <c r="B886" s="1">
        <v>45105</v>
      </c>
      <c r="C886">
        <f t="shared" si="52"/>
        <v>162410.87520000001</v>
      </c>
      <c r="D886">
        <v>38</v>
      </c>
      <c r="E886">
        <v>4881.63</v>
      </c>
      <c r="F886">
        <v>5088.0600000000004</v>
      </c>
      <c r="G886">
        <v>0.16</v>
      </c>
      <c r="H886" t="str">
        <f>PROPER(TRIM(sales_data!C886))</f>
        <v>Bob</v>
      </c>
      <c r="I886" t="str">
        <f>PROPER(TRIM(sales_data!D886))</f>
        <v>West</v>
      </c>
      <c r="J886" t="str">
        <f>PROPER(TRIM(sales_data!G886))</f>
        <v>Furniture</v>
      </c>
      <c r="K886" t="str">
        <f>PROPER(TRIM(sales_data!J886))</f>
        <v>Returning</v>
      </c>
      <c r="L886" t="str">
        <f>PROPER(TRIM(sales_data!L886))</f>
        <v>Credit Card</v>
      </c>
      <c r="M886" t="str">
        <f>PROPER(TRIM(sales_data!M886))</f>
        <v>Retail</v>
      </c>
      <c r="N886">
        <f t="shared" si="53"/>
        <v>206.43000000000029</v>
      </c>
      <c r="O886">
        <f t="shared" si="54"/>
        <v>7844.3400000000111</v>
      </c>
      <c r="P886" t="str">
        <f t="shared" si="55"/>
        <v>Jun</v>
      </c>
    </row>
    <row r="887" spans="1:16" x14ac:dyDescent="0.25">
      <c r="A887">
        <v>1010</v>
      </c>
      <c r="B887" s="1">
        <v>45014</v>
      </c>
      <c r="C887">
        <f t="shared" si="52"/>
        <v>60155.28119999999</v>
      </c>
      <c r="D887">
        <v>49</v>
      </c>
      <c r="E887">
        <v>1150.3</v>
      </c>
      <c r="F887">
        <v>1306.02</v>
      </c>
      <c r="G887">
        <v>0.06</v>
      </c>
      <c r="H887" t="str">
        <f>PROPER(TRIM(sales_data!C887))</f>
        <v>Alice</v>
      </c>
      <c r="I887" t="str">
        <f>PROPER(TRIM(sales_data!D887))</f>
        <v>South</v>
      </c>
      <c r="J887" t="str">
        <f>PROPER(TRIM(sales_data!G887))</f>
        <v>Food</v>
      </c>
      <c r="K887" t="str">
        <f>PROPER(TRIM(sales_data!J887))</f>
        <v>New</v>
      </c>
      <c r="L887" t="str">
        <f>PROPER(TRIM(sales_data!L887))</f>
        <v>Credit Card</v>
      </c>
      <c r="M887" t="str">
        <f>PROPER(TRIM(sales_data!M887))</f>
        <v>Retail</v>
      </c>
      <c r="N887">
        <f t="shared" si="53"/>
        <v>155.72000000000003</v>
      </c>
      <c r="O887">
        <f t="shared" si="54"/>
        <v>7630.2800000000016</v>
      </c>
      <c r="P887" t="str">
        <f t="shared" si="55"/>
        <v>Mar</v>
      </c>
    </row>
    <row r="888" spans="1:16" x14ac:dyDescent="0.25">
      <c r="A888">
        <v>1056</v>
      </c>
      <c r="B888" s="1">
        <v>44967</v>
      </c>
      <c r="C888">
        <f t="shared" si="52"/>
        <v>53833.625999999625</v>
      </c>
      <c r="D888">
        <v>42</v>
      </c>
      <c r="E888">
        <v>1080.1199999999999</v>
      </c>
      <c r="F888">
        <v>1424.1699999999901</v>
      </c>
      <c r="G888">
        <v>0.1</v>
      </c>
      <c r="H888" t="str">
        <f>PROPER(TRIM(sales_data!C888))</f>
        <v>Bob</v>
      </c>
      <c r="I888" t="str">
        <f>PROPER(TRIM(sales_data!D888))</f>
        <v>West</v>
      </c>
      <c r="J888" t="str">
        <f>PROPER(TRIM(sales_data!G888))</f>
        <v>Furniture</v>
      </c>
      <c r="K888" t="str">
        <f>PROPER(TRIM(sales_data!J888))</f>
        <v>New</v>
      </c>
      <c r="L888" t="str">
        <f>PROPER(TRIM(sales_data!L888))</f>
        <v>Cash</v>
      </c>
      <c r="M888" t="str">
        <f>PROPER(TRIM(sales_data!M888))</f>
        <v>Online</v>
      </c>
      <c r="N888">
        <f t="shared" si="53"/>
        <v>344.04999999999018</v>
      </c>
      <c r="O888">
        <f t="shared" si="54"/>
        <v>14450.099999999587</v>
      </c>
      <c r="P888" t="str">
        <f t="shared" si="55"/>
        <v>Feb</v>
      </c>
    </row>
    <row r="889" spans="1:16" x14ac:dyDescent="0.25">
      <c r="A889">
        <v>1017</v>
      </c>
      <c r="B889" s="1">
        <v>45002</v>
      </c>
      <c r="C889">
        <f t="shared" si="52"/>
        <v>98096.796000000002</v>
      </c>
      <c r="D889">
        <v>28</v>
      </c>
      <c r="E889">
        <v>3780.91</v>
      </c>
      <c r="F889">
        <v>3892.73</v>
      </c>
      <c r="G889">
        <v>0.1</v>
      </c>
      <c r="H889" t="str">
        <f>PROPER(TRIM(sales_data!C889))</f>
        <v>Bob</v>
      </c>
      <c r="I889" t="str">
        <f>PROPER(TRIM(sales_data!D889))</f>
        <v>North</v>
      </c>
      <c r="J889" t="str">
        <f>PROPER(TRIM(sales_data!G889))</f>
        <v>Clothing</v>
      </c>
      <c r="K889" t="str">
        <f>PROPER(TRIM(sales_data!J889))</f>
        <v>Returning</v>
      </c>
      <c r="L889" t="str">
        <f>PROPER(TRIM(sales_data!L889))</f>
        <v>Cash</v>
      </c>
      <c r="M889" t="str">
        <f>PROPER(TRIM(sales_data!M889))</f>
        <v>Retail</v>
      </c>
      <c r="N889">
        <f t="shared" si="53"/>
        <v>111.82000000000016</v>
      </c>
      <c r="O889">
        <f t="shared" si="54"/>
        <v>3130.9600000000046</v>
      </c>
      <c r="P889" t="str">
        <f t="shared" si="55"/>
        <v>Mar</v>
      </c>
    </row>
    <row r="890" spans="1:16" x14ac:dyDescent="0.25">
      <c r="A890">
        <v>1074</v>
      </c>
      <c r="B890" s="1">
        <v>44972</v>
      </c>
      <c r="C890">
        <f t="shared" si="52"/>
        <v>1688.6529</v>
      </c>
      <c r="D890">
        <v>1</v>
      </c>
      <c r="E890">
        <v>1304.23</v>
      </c>
      <c r="F890">
        <v>1705.71</v>
      </c>
      <c r="G890">
        <v>0.01</v>
      </c>
      <c r="H890" t="str">
        <f>PROPER(TRIM(sales_data!C890))</f>
        <v>Bob</v>
      </c>
      <c r="I890" t="str">
        <f>PROPER(TRIM(sales_data!D890))</f>
        <v>West</v>
      </c>
      <c r="J890" t="str">
        <f>PROPER(TRIM(sales_data!G890))</f>
        <v>Furniture</v>
      </c>
      <c r="K890" t="str">
        <f>PROPER(TRIM(sales_data!J890))</f>
        <v>Returning</v>
      </c>
      <c r="L890" t="str">
        <f>PROPER(TRIM(sales_data!L890))</f>
        <v>Cash</v>
      </c>
      <c r="M890" t="str">
        <f>PROPER(TRIM(sales_data!M890))</f>
        <v>Retail</v>
      </c>
      <c r="N890">
        <f t="shared" si="53"/>
        <v>401.48</v>
      </c>
      <c r="O890">
        <f t="shared" si="54"/>
        <v>401.48</v>
      </c>
      <c r="P890" t="str">
        <f t="shared" si="55"/>
        <v>Feb</v>
      </c>
    </row>
    <row r="891" spans="1:16" x14ac:dyDescent="0.25">
      <c r="A891">
        <v>1017</v>
      </c>
      <c r="B891" s="1">
        <v>45086</v>
      </c>
      <c r="C891">
        <f t="shared" si="52"/>
        <v>164106.43199999997</v>
      </c>
      <c r="D891">
        <v>35</v>
      </c>
      <c r="E891">
        <v>4480.63</v>
      </c>
      <c r="F891">
        <v>4884.12</v>
      </c>
      <c r="G891">
        <v>0.04</v>
      </c>
      <c r="H891" t="str">
        <f>PROPER(TRIM(sales_data!C891))</f>
        <v>Charlie</v>
      </c>
      <c r="I891" t="str">
        <f>PROPER(TRIM(sales_data!D891))</f>
        <v>East</v>
      </c>
      <c r="J891" t="str">
        <f>PROPER(TRIM(sales_data!G891))</f>
        <v>Furniture</v>
      </c>
      <c r="K891" t="str">
        <f>PROPER(TRIM(sales_data!J891))</f>
        <v>New</v>
      </c>
      <c r="L891" t="str">
        <f>PROPER(TRIM(sales_data!L891))</f>
        <v>Cash</v>
      </c>
      <c r="M891" t="str">
        <f>PROPER(TRIM(sales_data!M891))</f>
        <v>Online</v>
      </c>
      <c r="N891">
        <f t="shared" si="53"/>
        <v>403.48999999999978</v>
      </c>
      <c r="O891">
        <f t="shared" si="54"/>
        <v>14122.149999999992</v>
      </c>
      <c r="P891" t="str">
        <f t="shared" si="55"/>
        <v>Jun</v>
      </c>
    </row>
    <row r="892" spans="1:16" x14ac:dyDescent="0.25">
      <c r="A892">
        <v>1084</v>
      </c>
      <c r="B892" s="1">
        <v>45006</v>
      </c>
      <c r="C892">
        <f t="shared" si="52"/>
        <v>98099.987999999998</v>
      </c>
      <c r="D892">
        <v>40</v>
      </c>
      <c r="E892">
        <v>2890.95</v>
      </c>
      <c r="F892">
        <v>3104.43</v>
      </c>
      <c r="G892">
        <v>0.21</v>
      </c>
      <c r="H892" t="str">
        <f>PROPER(TRIM(sales_data!C892))</f>
        <v>Eve</v>
      </c>
      <c r="I892" t="str">
        <f>PROPER(TRIM(sales_data!D892))</f>
        <v>South</v>
      </c>
      <c r="J892" t="str">
        <f>PROPER(TRIM(sales_data!G892))</f>
        <v>Food</v>
      </c>
      <c r="K892" t="str">
        <f>PROPER(TRIM(sales_data!J892))</f>
        <v>New</v>
      </c>
      <c r="L892" t="str">
        <f>PROPER(TRIM(sales_data!L892))</f>
        <v>Bank Transfer</v>
      </c>
      <c r="M892" t="str">
        <f>PROPER(TRIM(sales_data!M892))</f>
        <v>Online</v>
      </c>
      <c r="N892">
        <f t="shared" si="53"/>
        <v>213.48000000000002</v>
      </c>
      <c r="O892">
        <f t="shared" si="54"/>
        <v>8539.2000000000007</v>
      </c>
      <c r="P892" t="str">
        <f t="shared" si="55"/>
        <v>Mar</v>
      </c>
    </row>
    <row r="893" spans="1:16" x14ac:dyDescent="0.25">
      <c r="A893">
        <v>1088</v>
      </c>
      <c r="B893" s="1">
        <v>45236</v>
      </c>
      <c r="C893">
        <f t="shared" si="52"/>
        <v>14863.027199999999</v>
      </c>
      <c r="D893">
        <v>8</v>
      </c>
      <c r="E893">
        <v>1786.35</v>
      </c>
      <c r="F893">
        <v>1935.29</v>
      </c>
      <c r="G893">
        <v>0.04</v>
      </c>
      <c r="H893" t="str">
        <f>PROPER(TRIM(sales_data!C893))</f>
        <v>David</v>
      </c>
      <c r="I893" t="str">
        <f>PROPER(TRIM(sales_data!D893))</f>
        <v>South</v>
      </c>
      <c r="J893" t="str">
        <f>PROPER(TRIM(sales_data!G893))</f>
        <v>Food</v>
      </c>
      <c r="K893" t="str">
        <f>PROPER(TRIM(sales_data!J893))</f>
        <v>New</v>
      </c>
      <c r="L893" t="str">
        <f>PROPER(TRIM(sales_data!L893))</f>
        <v>Cash</v>
      </c>
      <c r="M893" t="str">
        <f>PROPER(TRIM(sales_data!M893))</f>
        <v>Online</v>
      </c>
      <c r="N893">
        <f t="shared" si="53"/>
        <v>148.94000000000005</v>
      </c>
      <c r="O893">
        <f t="shared" si="54"/>
        <v>1191.5200000000004</v>
      </c>
      <c r="P893" t="str">
        <f t="shared" si="55"/>
        <v>Nov</v>
      </c>
    </row>
    <row r="894" spans="1:16" x14ac:dyDescent="0.25">
      <c r="A894">
        <v>1069</v>
      </c>
      <c r="B894" s="1">
        <v>45012</v>
      </c>
      <c r="C894">
        <f t="shared" si="52"/>
        <v>188867.85030000002</v>
      </c>
      <c r="D894">
        <v>47</v>
      </c>
      <c r="E894">
        <v>4171.83</v>
      </c>
      <c r="F894">
        <v>4320.93</v>
      </c>
      <c r="G894">
        <v>7.0000000000000007E-2</v>
      </c>
      <c r="H894" t="str">
        <f>PROPER(TRIM(sales_data!C894))</f>
        <v>David</v>
      </c>
      <c r="I894" t="str">
        <f>PROPER(TRIM(sales_data!D894))</f>
        <v>East</v>
      </c>
      <c r="J894" t="str">
        <f>PROPER(TRIM(sales_data!G894))</f>
        <v>Electronics</v>
      </c>
      <c r="K894" t="str">
        <f>PROPER(TRIM(sales_data!J894))</f>
        <v>New</v>
      </c>
      <c r="L894" t="str">
        <f>PROPER(TRIM(sales_data!L894))</f>
        <v>Cash</v>
      </c>
      <c r="M894" t="str">
        <f>PROPER(TRIM(sales_data!M894))</f>
        <v>Online</v>
      </c>
      <c r="N894">
        <f t="shared" si="53"/>
        <v>149.10000000000036</v>
      </c>
      <c r="O894">
        <f t="shared" si="54"/>
        <v>7007.7000000000171</v>
      </c>
      <c r="P894" t="str">
        <f t="shared" si="55"/>
        <v>Mar</v>
      </c>
    </row>
    <row r="895" spans="1:16" x14ac:dyDescent="0.25">
      <c r="A895">
        <v>1034</v>
      </c>
      <c r="B895" s="1">
        <v>45018</v>
      </c>
      <c r="C895">
        <f t="shared" si="52"/>
        <v>17061.9764</v>
      </c>
      <c r="D895">
        <v>7</v>
      </c>
      <c r="E895">
        <v>2492.36</v>
      </c>
      <c r="F895">
        <v>2738.68</v>
      </c>
      <c r="G895">
        <v>0.11</v>
      </c>
      <c r="H895" t="str">
        <f>PROPER(TRIM(sales_data!C895))</f>
        <v>Charlie</v>
      </c>
      <c r="I895" t="str">
        <f>PROPER(TRIM(sales_data!D895))</f>
        <v>West</v>
      </c>
      <c r="J895" t="str">
        <f>PROPER(TRIM(sales_data!G895))</f>
        <v>Electronics</v>
      </c>
      <c r="K895" t="str">
        <f>PROPER(TRIM(sales_data!J895))</f>
        <v>Returning</v>
      </c>
      <c r="L895" t="str">
        <f>PROPER(TRIM(sales_data!L895))</f>
        <v>Cash</v>
      </c>
      <c r="M895" t="str">
        <f>PROPER(TRIM(sales_data!M895))</f>
        <v>Online</v>
      </c>
      <c r="N895">
        <f t="shared" si="53"/>
        <v>246.31999999999971</v>
      </c>
      <c r="O895">
        <f t="shared" si="54"/>
        <v>1724.239999999998</v>
      </c>
      <c r="P895" t="str">
        <f t="shared" si="55"/>
        <v>Apr</v>
      </c>
    </row>
    <row r="896" spans="1:16" x14ac:dyDescent="0.25">
      <c r="A896">
        <v>1006</v>
      </c>
      <c r="B896" s="1">
        <v>45074</v>
      </c>
      <c r="C896">
        <f t="shared" si="52"/>
        <v>41716.189900000005</v>
      </c>
      <c r="D896">
        <v>11</v>
      </c>
      <c r="E896">
        <v>4562.58</v>
      </c>
      <c r="F896">
        <v>4925.17</v>
      </c>
      <c r="G896">
        <v>0.23</v>
      </c>
      <c r="H896" t="str">
        <f>PROPER(TRIM(sales_data!C896))</f>
        <v>Bob</v>
      </c>
      <c r="I896" t="str">
        <f>PROPER(TRIM(sales_data!D896))</f>
        <v>North</v>
      </c>
      <c r="J896" t="str">
        <f>PROPER(TRIM(sales_data!G896))</f>
        <v>Food</v>
      </c>
      <c r="K896" t="str">
        <f>PROPER(TRIM(sales_data!J896))</f>
        <v>New</v>
      </c>
      <c r="L896" t="str">
        <f>PROPER(TRIM(sales_data!L896))</f>
        <v>Cash</v>
      </c>
      <c r="M896" t="str">
        <f>PROPER(TRIM(sales_data!M896))</f>
        <v>Retail</v>
      </c>
      <c r="N896">
        <f t="shared" si="53"/>
        <v>362.59000000000015</v>
      </c>
      <c r="O896">
        <f t="shared" si="54"/>
        <v>3988.4900000000016</v>
      </c>
      <c r="P896" t="str">
        <f t="shared" si="55"/>
        <v>May</v>
      </c>
    </row>
    <row r="897" spans="1:16" x14ac:dyDescent="0.25">
      <c r="A897">
        <v>1053</v>
      </c>
      <c r="B897" s="1">
        <v>45087</v>
      </c>
      <c r="C897">
        <f t="shared" si="52"/>
        <v>156331.56240000002</v>
      </c>
      <c r="D897">
        <v>39</v>
      </c>
      <c r="E897">
        <v>4643.67</v>
      </c>
      <c r="F897">
        <v>4829.5200000000004</v>
      </c>
      <c r="G897">
        <v>0.17</v>
      </c>
      <c r="H897" t="str">
        <f>PROPER(TRIM(sales_data!C897))</f>
        <v>Charlie</v>
      </c>
      <c r="I897" t="str">
        <f>PROPER(TRIM(sales_data!D897))</f>
        <v>East</v>
      </c>
      <c r="J897" t="str">
        <f>PROPER(TRIM(sales_data!G897))</f>
        <v>Furniture</v>
      </c>
      <c r="K897" t="str">
        <f>PROPER(TRIM(sales_data!J897))</f>
        <v>Returning</v>
      </c>
      <c r="L897" t="str">
        <f>PROPER(TRIM(sales_data!L897))</f>
        <v>Bank Transfer</v>
      </c>
      <c r="M897" t="str">
        <f>PROPER(TRIM(sales_data!M897))</f>
        <v>Online</v>
      </c>
      <c r="N897">
        <f t="shared" si="53"/>
        <v>185.85000000000036</v>
      </c>
      <c r="O897">
        <f t="shared" si="54"/>
        <v>7248.1500000000142</v>
      </c>
      <c r="P897" t="str">
        <f t="shared" si="55"/>
        <v>Jun</v>
      </c>
    </row>
    <row r="898" spans="1:16" x14ac:dyDescent="0.25">
      <c r="A898">
        <v>1066</v>
      </c>
      <c r="B898" s="1">
        <v>45128</v>
      </c>
      <c r="C898">
        <f t="shared" ref="C898:C961" si="56">(D898*F898)*(1-G898)</f>
        <v>3721.69</v>
      </c>
      <c r="D898">
        <v>4</v>
      </c>
      <c r="E898">
        <v>868.83</v>
      </c>
      <c r="F898">
        <v>1177.75</v>
      </c>
      <c r="G898">
        <v>0.21</v>
      </c>
      <c r="H898" t="str">
        <f>PROPER(TRIM(sales_data!C898))</f>
        <v>Charlie</v>
      </c>
      <c r="I898" t="str">
        <f>PROPER(TRIM(sales_data!D898))</f>
        <v>East</v>
      </c>
      <c r="J898" t="str">
        <f>PROPER(TRIM(sales_data!G898))</f>
        <v>Furniture</v>
      </c>
      <c r="K898" t="str">
        <f>PROPER(TRIM(sales_data!J898))</f>
        <v>Returning</v>
      </c>
      <c r="L898" t="str">
        <f>PROPER(TRIM(sales_data!L898))</f>
        <v>Credit Card</v>
      </c>
      <c r="M898" t="str">
        <f>PROPER(TRIM(sales_data!M898))</f>
        <v>Retail</v>
      </c>
      <c r="N898">
        <f t="shared" ref="N898:N961" si="57">F898-E898</f>
        <v>308.91999999999996</v>
      </c>
      <c r="O898">
        <f t="shared" ref="O898:O961" si="58">N898*D898</f>
        <v>1235.6799999999998</v>
      </c>
      <c r="P898" t="str">
        <f t="shared" ref="P898:P961" si="59">TEXT(B898,"mmm")</f>
        <v>Jul</v>
      </c>
    </row>
    <row r="899" spans="1:16" x14ac:dyDescent="0.25">
      <c r="A899">
        <v>1077</v>
      </c>
      <c r="B899" s="1">
        <v>45168</v>
      </c>
      <c r="C899">
        <f t="shared" si="56"/>
        <v>5372.5899999999783</v>
      </c>
      <c r="D899">
        <v>25</v>
      </c>
      <c r="E899">
        <v>61.5</v>
      </c>
      <c r="F899">
        <v>258.91999999999899</v>
      </c>
      <c r="G899">
        <v>0.17</v>
      </c>
      <c r="H899" t="str">
        <f>PROPER(TRIM(sales_data!C899))</f>
        <v>Alice</v>
      </c>
      <c r="I899" t="str">
        <f>PROPER(TRIM(sales_data!D899))</f>
        <v>West</v>
      </c>
      <c r="J899" t="str">
        <f>PROPER(TRIM(sales_data!G899))</f>
        <v>Electronics</v>
      </c>
      <c r="K899" t="str">
        <f>PROPER(TRIM(sales_data!J899))</f>
        <v>New</v>
      </c>
      <c r="L899" t="str">
        <f>PROPER(TRIM(sales_data!L899))</f>
        <v>Credit Card</v>
      </c>
      <c r="M899" t="str">
        <f>PROPER(TRIM(sales_data!M899))</f>
        <v>Online</v>
      </c>
      <c r="N899">
        <f t="shared" si="57"/>
        <v>197.41999999999899</v>
      </c>
      <c r="O899">
        <f t="shared" si="58"/>
        <v>4935.4999999999745</v>
      </c>
      <c r="P899" t="str">
        <f t="shared" si="59"/>
        <v>Aug</v>
      </c>
    </row>
    <row r="900" spans="1:16" x14ac:dyDescent="0.25">
      <c r="A900">
        <v>1043</v>
      </c>
      <c r="B900" s="1">
        <v>45279</v>
      </c>
      <c r="C900">
        <f t="shared" si="56"/>
        <v>48155.366400000006</v>
      </c>
      <c r="D900">
        <v>12</v>
      </c>
      <c r="E900">
        <v>4920.46</v>
      </c>
      <c r="F900">
        <v>5079.68</v>
      </c>
      <c r="G900">
        <v>0.21</v>
      </c>
      <c r="H900" t="str">
        <f>PROPER(TRIM(sales_data!C900))</f>
        <v>Eve</v>
      </c>
      <c r="I900" t="str">
        <f>PROPER(TRIM(sales_data!D900))</f>
        <v>South</v>
      </c>
      <c r="J900" t="str">
        <f>PROPER(TRIM(sales_data!G900))</f>
        <v>Electronics</v>
      </c>
      <c r="K900" t="str">
        <f>PROPER(TRIM(sales_data!J900))</f>
        <v>New</v>
      </c>
      <c r="L900" t="str">
        <f>PROPER(TRIM(sales_data!L900))</f>
        <v>Credit Card</v>
      </c>
      <c r="M900" t="str">
        <f>PROPER(TRIM(sales_data!M900))</f>
        <v>Retail</v>
      </c>
      <c r="N900">
        <f t="shared" si="57"/>
        <v>159.22000000000025</v>
      </c>
      <c r="O900">
        <f t="shared" si="58"/>
        <v>1910.6400000000031</v>
      </c>
      <c r="P900" t="str">
        <f t="shared" si="59"/>
        <v>Dec</v>
      </c>
    </row>
    <row r="901" spans="1:16" x14ac:dyDescent="0.25">
      <c r="A901">
        <v>1075</v>
      </c>
      <c r="B901" s="1">
        <v>44928</v>
      </c>
      <c r="C901">
        <f t="shared" si="56"/>
        <v>118496.56000000001</v>
      </c>
      <c r="D901">
        <v>26</v>
      </c>
      <c r="E901">
        <v>4535.38</v>
      </c>
      <c r="F901">
        <v>4557.5600000000004</v>
      </c>
      <c r="G901">
        <v>0</v>
      </c>
      <c r="H901" t="str">
        <f>PROPER(TRIM(sales_data!C901))</f>
        <v>David</v>
      </c>
      <c r="I901" t="str">
        <f>PROPER(TRIM(sales_data!D901))</f>
        <v>West</v>
      </c>
      <c r="J901" t="str">
        <f>PROPER(TRIM(sales_data!G901))</f>
        <v>Electronics</v>
      </c>
      <c r="K901" t="str">
        <f>PROPER(TRIM(sales_data!J901))</f>
        <v>New</v>
      </c>
      <c r="L901" t="str">
        <f>PROPER(TRIM(sales_data!L901))</f>
        <v>Credit Card</v>
      </c>
      <c r="M901" t="str">
        <f>PROPER(TRIM(sales_data!M901))</f>
        <v>Online</v>
      </c>
      <c r="N901">
        <f t="shared" si="57"/>
        <v>22.180000000000291</v>
      </c>
      <c r="O901">
        <f t="shared" si="58"/>
        <v>576.68000000000757</v>
      </c>
      <c r="P901" t="str">
        <f t="shared" si="59"/>
        <v>Jan</v>
      </c>
    </row>
    <row r="902" spans="1:16" x14ac:dyDescent="0.25">
      <c r="A902">
        <v>1023</v>
      </c>
      <c r="B902" s="1">
        <v>45151</v>
      </c>
      <c r="C902">
        <f t="shared" si="56"/>
        <v>9203.0831999999991</v>
      </c>
      <c r="D902">
        <v>38</v>
      </c>
      <c r="E902">
        <v>324.45</v>
      </c>
      <c r="F902">
        <v>336.37</v>
      </c>
      <c r="G902">
        <v>0.28000000000000003</v>
      </c>
      <c r="H902" t="str">
        <f>PROPER(TRIM(sales_data!C902))</f>
        <v>Bob</v>
      </c>
      <c r="I902" t="str">
        <f>PROPER(TRIM(sales_data!D902))</f>
        <v>East</v>
      </c>
      <c r="J902" t="str">
        <f>PROPER(TRIM(sales_data!G902))</f>
        <v>Clothing</v>
      </c>
      <c r="K902" t="str">
        <f>PROPER(TRIM(sales_data!J902))</f>
        <v>New</v>
      </c>
      <c r="L902" t="str">
        <f>PROPER(TRIM(sales_data!L902))</f>
        <v>Credit Card</v>
      </c>
      <c r="M902" t="str">
        <f>PROPER(TRIM(sales_data!M902))</f>
        <v>Retail</v>
      </c>
      <c r="N902">
        <f t="shared" si="57"/>
        <v>11.920000000000016</v>
      </c>
      <c r="O902">
        <f t="shared" si="58"/>
        <v>452.9600000000006</v>
      </c>
      <c r="P902" t="str">
        <f t="shared" si="59"/>
        <v>Aug</v>
      </c>
    </row>
    <row r="903" spans="1:16" x14ac:dyDescent="0.25">
      <c r="A903">
        <v>1055</v>
      </c>
      <c r="B903" s="1">
        <v>45215</v>
      </c>
      <c r="C903">
        <f t="shared" si="56"/>
        <v>191636.20699999999</v>
      </c>
      <c r="D903">
        <v>46</v>
      </c>
      <c r="E903">
        <v>4173.5200000000004</v>
      </c>
      <c r="F903">
        <v>4294.8500000000004</v>
      </c>
      <c r="G903">
        <v>0.03</v>
      </c>
      <c r="H903" t="str">
        <f>PROPER(TRIM(sales_data!C903))</f>
        <v>David</v>
      </c>
      <c r="I903" t="str">
        <f>PROPER(TRIM(sales_data!D903))</f>
        <v>East</v>
      </c>
      <c r="J903" t="str">
        <f>PROPER(TRIM(sales_data!G903))</f>
        <v>Clothing</v>
      </c>
      <c r="K903" t="str">
        <f>PROPER(TRIM(sales_data!J903))</f>
        <v>Returning</v>
      </c>
      <c r="L903" t="str">
        <f>PROPER(TRIM(sales_data!L903))</f>
        <v>Bank Transfer</v>
      </c>
      <c r="M903" t="str">
        <f>PROPER(TRIM(sales_data!M903))</f>
        <v>Retail</v>
      </c>
      <c r="N903">
        <f t="shared" si="57"/>
        <v>121.32999999999993</v>
      </c>
      <c r="O903">
        <f t="shared" si="58"/>
        <v>5581.1799999999967</v>
      </c>
      <c r="P903" t="str">
        <f t="shared" si="59"/>
        <v>Oct</v>
      </c>
    </row>
    <row r="904" spans="1:16" x14ac:dyDescent="0.25">
      <c r="A904">
        <v>1080</v>
      </c>
      <c r="B904" s="1">
        <v>45159</v>
      </c>
      <c r="C904">
        <f t="shared" si="56"/>
        <v>26666.851199999997</v>
      </c>
      <c r="D904">
        <v>12</v>
      </c>
      <c r="E904">
        <v>2316.13</v>
      </c>
      <c r="F904">
        <v>2525.27</v>
      </c>
      <c r="G904">
        <v>0.12</v>
      </c>
      <c r="H904" t="str">
        <f>PROPER(TRIM(sales_data!C904))</f>
        <v>David</v>
      </c>
      <c r="I904" t="str">
        <f>PROPER(TRIM(sales_data!D904))</f>
        <v>South</v>
      </c>
      <c r="J904" t="str">
        <f>PROPER(TRIM(sales_data!G904))</f>
        <v>Electronics</v>
      </c>
      <c r="K904" t="str">
        <f>PROPER(TRIM(sales_data!J904))</f>
        <v>Returning</v>
      </c>
      <c r="L904" t="str">
        <f>PROPER(TRIM(sales_data!L904))</f>
        <v>Credit Card</v>
      </c>
      <c r="M904" t="str">
        <f>PROPER(TRIM(sales_data!M904))</f>
        <v>Retail</v>
      </c>
      <c r="N904">
        <f t="shared" si="57"/>
        <v>209.13999999999987</v>
      </c>
      <c r="O904">
        <f t="shared" si="58"/>
        <v>2509.6799999999985</v>
      </c>
      <c r="P904" t="str">
        <f t="shared" si="59"/>
        <v>Aug</v>
      </c>
    </row>
    <row r="905" spans="1:16" x14ac:dyDescent="0.25">
      <c r="A905">
        <v>1095</v>
      </c>
      <c r="B905" s="1">
        <v>45003</v>
      </c>
      <c r="C905">
        <f t="shared" si="56"/>
        <v>58239.827799999999</v>
      </c>
      <c r="D905">
        <v>43</v>
      </c>
      <c r="E905">
        <v>1331.86</v>
      </c>
      <c r="F905">
        <v>1758.98</v>
      </c>
      <c r="G905">
        <v>0.23</v>
      </c>
      <c r="H905" t="str">
        <f>PROPER(TRIM(sales_data!C905))</f>
        <v>Eve</v>
      </c>
      <c r="I905" t="str">
        <f>PROPER(TRIM(sales_data!D905))</f>
        <v>South</v>
      </c>
      <c r="J905" t="str">
        <f>PROPER(TRIM(sales_data!G905))</f>
        <v>Furniture</v>
      </c>
      <c r="K905" t="str">
        <f>PROPER(TRIM(sales_data!J905))</f>
        <v>Returning</v>
      </c>
      <c r="L905" t="str">
        <f>PROPER(TRIM(sales_data!L905))</f>
        <v>Bank Transfer</v>
      </c>
      <c r="M905" t="str">
        <f>PROPER(TRIM(sales_data!M905))</f>
        <v>Retail</v>
      </c>
      <c r="N905">
        <f t="shared" si="57"/>
        <v>427.12000000000012</v>
      </c>
      <c r="O905">
        <f t="shared" si="58"/>
        <v>18366.160000000003</v>
      </c>
      <c r="P905" t="str">
        <f t="shared" si="59"/>
        <v>Mar</v>
      </c>
    </row>
    <row r="906" spans="1:16" x14ac:dyDescent="0.25">
      <c r="A906">
        <v>1075</v>
      </c>
      <c r="B906" s="1">
        <v>45042</v>
      </c>
      <c r="C906">
        <f t="shared" si="56"/>
        <v>154546.1214</v>
      </c>
      <c r="D906">
        <v>37</v>
      </c>
      <c r="E906">
        <v>4399.8</v>
      </c>
      <c r="F906">
        <v>4801.0600000000004</v>
      </c>
      <c r="G906">
        <v>0.13</v>
      </c>
      <c r="H906" t="str">
        <f>PROPER(TRIM(sales_data!C906))</f>
        <v>David</v>
      </c>
      <c r="I906" t="str">
        <f>PROPER(TRIM(sales_data!D906))</f>
        <v>South</v>
      </c>
      <c r="J906" t="str">
        <f>PROPER(TRIM(sales_data!G906))</f>
        <v>Electronics</v>
      </c>
      <c r="K906" t="str">
        <f>PROPER(TRIM(sales_data!J906))</f>
        <v>New</v>
      </c>
      <c r="L906" t="str">
        <f>PROPER(TRIM(sales_data!L906))</f>
        <v>Bank Transfer</v>
      </c>
      <c r="M906" t="str">
        <f>PROPER(TRIM(sales_data!M906))</f>
        <v>Retail</v>
      </c>
      <c r="N906">
        <f t="shared" si="57"/>
        <v>401.26000000000022</v>
      </c>
      <c r="O906">
        <f t="shared" si="58"/>
        <v>14846.620000000008</v>
      </c>
      <c r="P906" t="str">
        <f t="shared" si="59"/>
        <v>Apr</v>
      </c>
    </row>
    <row r="907" spans="1:16" x14ac:dyDescent="0.25">
      <c r="A907">
        <v>1016</v>
      </c>
      <c r="B907" s="1">
        <v>45080</v>
      </c>
      <c r="C907">
        <f t="shared" si="56"/>
        <v>38565.2592</v>
      </c>
      <c r="D907">
        <v>46</v>
      </c>
      <c r="E907">
        <v>1023.5</v>
      </c>
      <c r="F907">
        <v>1164.4100000000001</v>
      </c>
      <c r="G907">
        <v>0.28000000000000003</v>
      </c>
      <c r="H907" t="str">
        <f>PROPER(TRIM(sales_data!C907))</f>
        <v>David</v>
      </c>
      <c r="I907" t="str">
        <f>PROPER(TRIM(sales_data!D907))</f>
        <v>West</v>
      </c>
      <c r="J907" t="str">
        <f>PROPER(TRIM(sales_data!G907))</f>
        <v>Clothing</v>
      </c>
      <c r="K907" t="str">
        <f>PROPER(TRIM(sales_data!J907))</f>
        <v>Returning</v>
      </c>
      <c r="L907" t="str">
        <f>PROPER(TRIM(sales_data!L907))</f>
        <v>Credit Card</v>
      </c>
      <c r="M907" t="str">
        <f>PROPER(TRIM(sales_data!M907))</f>
        <v>Retail</v>
      </c>
      <c r="N907">
        <f t="shared" si="57"/>
        <v>140.91000000000008</v>
      </c>
      <c r="O907">
        <f t="shared" si="58"/>
        <v>6481.8600000000042</v>
      </c>
      <c r="P907" t="str">
        <f t="shared" si="59"/>
        <v>Jun</v>
      </c>
    </row>
    <row r="908" spans="1:16" x14ac:dyDescent="0.25">
      <c r="A908">
        <v>1008</v>
      </c>
      <c r="B908" s="1">
        <v>45029</v>
      </c>
      <c r="C908">
        <f t="shared" si="56"/>
        <v>100495.12799999998</v>
      </c>
      <c r="D908">
        <v>24</v>
      </c>
      <c r="E908">
        <v>4739.13</v>
      </c>
      <c r="F908">
        <v>4868.95</v>
      </c>
      <c r="G908">
        <v>0.14000000000000001</v>
      </c>
      <c r="H908" t="str">
        <f>PROPER(TRIM(sales_data!C908))</f>
        <v>Charlie</v>
      </c>
      <c r="I908" t="str">
        <f>PROPER(TRIM(sales_data!D908))</f>
        <v>South</v>
      </c>
      <c r="J908" t="str">
        <f>PROPER(TRIM(sales_data!G908))</f>
        <v>Furniture</v>
      </c>
      <c r="K908" t="str">
        <f>PROPER(TRIM(sales_data!J908))</f>
        <v>New</v>
      </c>
      <c r="L908" t="str">
        <f>PROPER(TRIM(sales_data!L908))</f>
        <v>Credit Card</v>
      </c>
      <c r="M908" t="str">
        <f>PROPER(TRIM(sales_data!M908))</f>
        <v>Retail</v>
      </c>
      <c r="N908">
        <f t="shared" si="57"/>
        <v>129.81999999999971</v>
      </c>
      <c r="O908">
        <f t="shared" si="58"/>
        <v>3115.679999999993</v>
      </c>
      <c r="P908" t="str">
        <f t="shared" si="59"/>
        <v>Apr</v>
      </c>
    </row>
    <row r="909" spans="1:16" x14ac:dyDescent="0.25">
      <c r="A909">
        <v>1004</v>
      </c>
      <c r="B909" s="1">
        <v>45120</v>
      </c>
      <c r="C909">
        <f t="shared" si="56"/>
        <v>14080.364799999999</v>
      </c>
      <c r="D909">
        <v>16</v>
      </c>
      <c r="E909">
        <v>1067.83</v>
      </c>
      <c r="F909">
        <v>1189.22</v>
      </c>
      <c r="G909">
        <v>0.26</v>
      </c>
      <c r="H909" t="str">
        <f>PROPER(TRIM(sales_data!C909))</f>
        <v>Eve</v>
      </c>
      <c r="I909" t="str">
        <f>PROPER(TRIM(sales_data!D909))</f>
        <v>East</v>
      </c>
      <c r="J909" t="str">
        <f>PROPER(TRIM(sales_data!G909))</f>
        <v>Clothing</v>
      </c>
      <c r="K909" t="str">
        <f>PROPER(TRIM(sales_data!J909))</f>
        <v>Returning</v>
      </c>
      <c r="L909" t="str">
        <f>PROPER(TRIM(sales_data!L909))</f>
        <v>Credit Card</v>
      </c>
      <c r="M909" t="str">
        <f>PROPER(TRIM(sales_data!M909))</f>
        <v>Retail</v>
      </c>
      <c r="N909">
        <f t="shared" si="57"/>
        <v>121.3900000000001</v>
      </c>
      <c r="O909">
        <f t="shared" si="58"/>
        <v>1942.2400000000016</v>
      </c>
      <c r="P909" t="str">
        <f t="shared" si="59"/>
        <v>Jul</v>
      </c>
    </row>
    <row r="910" spans="1:16" x14ac:dyDescent="0.25">
      <c r="A910">
        <v>1004</v>
      </c>
      <c r="B910" s="1">
        <v>45092</v>
      </c>
      <c r="C910">
        <f t="shared" si="56"/>
        <v>32247.924800000004</v>
      </c>
      <c r="D910">
        <v>13</v>
      </c>
      <c r="E910">
        <v>3087.73</v>
      </c>
      <c r="F910">
        <v>3263.96</v>
      </c>
      <c r="G910">
        <v>0.24</v>
      </c>
      <c r="H910" t="str">
        <f>PROPER(TRIM(sales_data!C910))</f>
        <v>Alice</v>
      </c>
      <c r="I910" t="str">
        <f>PROPER(TRIM(sales_data!D910))</f>
        <v>East</v>
      </c>
      <c r="J910" t="str">
        <f>PROPER(TRIM(sales_data!G910))</f>
        <v>Furniture</v>
      </c>
      <c r="K910" t="str">
        <f>PROPER(TRIM(sales_data!J910))</f>
        <v>New</v>
      </c>
      <c r="L910" t="str">
        <f>PROPER(TRIM(sales_data!L910))</f>
        <v>Cash</v>
      </c>
      <c r="M910" t="str">
        <f>PROPER(TRIM(sales_data!M910))</f>
        <v>Retail</v>
      </c>
      <c r="N910">
        <f t="shared" si="57"/>
        <v>176.23000000000002</v>
      </c>
      <c r="O910">
        <f t="shared" si="58"/>
        <v>2290.9900000000002</v>
      </c>
      <c r="P910" t="str">
        <f t="shared" si="59"/>
        <v>Jun</v>
      </c>
    </row>
    <row r="911" spans="1:16" x14ac:dyDescent="0.25">
      <c r="A911">
        <v>1056</v>
      </c>
      <c r="B911" s="1">
        <v>45285</v>
      </c>
      <c r="C911">
        <f t="shared" si="56"/>
        <v>24999.1</v>
      </c>
      <c r="D911">
        <v>25</v>
      </c>
      <c r="E911">
        <v>1154.28</v>
      </c>
      <c r="F911">
        <v>1408.4</v>
      </c>
      <c r="G911">
        <v>0.28999999999999998</v>
      </c>
      <c r="H911" t="str">
        <f>PROPER(TRIM(sales_data!C911))</f>
        <v>Bob</v>
      </c>
      <c r="I911" t="str">
        <f>PROPER(TRIM(sales_data!D911))</f>
        <v>North</v>
      </c>
      <c r="J911" t="str">
        <f>PROPER(TRIM(sales_data!G911))</f>
        <v>Clothing</v>
      </c>
      <c r="K911" t="str">
        <f>PROPER(TRIM(sales_data!J911))</f>
        <v>Returning</v>
      </c>
      <c r="L911" t="str">
        <f>PROPER(TRIM(sales_data!L911))</f>
        <v>Bank Transfer</v>
      </c>
      <c r="M911" t="str">
        <f>PROPER(TRIM(sales_data!M911))</f>
        <v>Retail</v>
      </c>
      <c r="N911">
        <f t="shared" si="57"/>
        <v>254.12000000000012</v>
      </c>
      <c r="O911">
        <f t="shared" si="58"/>
        <v>6353.0000000000027</v>
      </c>
      <c r="P911" t="str">
        <f t="shared" si="59"/>
        <v>Dec</v>
      </c>
    </row>
    <row r="912" spans="1:16" x14ac:dyDescent="0.25">
      <c r="A912">
        <v>1025</v>
      </c>
      <c r="B912" s="1">
        <v>45016</v>
      </c>
      <c r="C912">
        <f t="shared" si="56"/>
        <v>8570.908799999972</v>
      </c>
      <c r="D912">
        <v>4</v>
      </c>
      <c r="E912">
        <v>2751.06</v>
      </c>
      <c r="F912">
        <v>2976.0099999999902</v>
      </c>
      <c r="G912">
        <v>0.28000000000000003</v>
      </c>
      <c r="H912" t="str">
        <f>PROPER(TRIM(sales_data!C912))</f>
        <v>David</v>
      </c>
      <c r="I912" t="str">
        <f>PROPER(TRIM(sales_data!D912))</f>
        <v>West</v>
      </c>
      <c r="J912" t="str">
        <f>PROPER(TRIM(sales_data!G912))</f>
        <v>Furniture</v>
      </c>
      <c r="K912" t="str">
        <f>PROPER(TRIM(sales_data!J912))</f>
        <v>Returning</v>
      </c>
      <c r="L912" t="str">
        <f>PROPER(TRIM(sales_data!L912))</f>
        <v>Credit Card</v>
      </c>
      <c r="M912" t="str">
        <f>PROPER(TRIM(sales_data!M912))</f>
        <v>Online</v>
      </c>
      <c r="N912">
        <f t="shared" si="57"/>
        <v>224.94999999999027</v>
      </c>
      <c r="O912">
        <f t="shared" si="58"/>
        <v>899.79999999996107</v>
      </c>
      <c r="P912" t="str">
        <f t="shared" si="59"/>
        <v>Mar</v>
      </c>
    </row>
    <row r="913" spans="1:16" x14ac:dyDescent="0.25">
      <c r="A913">
        <v>1067</v>
      </c>
      <c r="B913" s="1">
        <v>45100</v>
      </c>
      <c r="C913">
        <f t="shared" si="56"/>
        <v>28527.618899999921</v>
      </c>
      <c r="D913">
        <v>11</v>
      </c>
      <c r="E913">
        <v>3435.68</v>
      </c>
      <c r="F913">
        <v>3552.6299999999901</v>
      </c>
      <c r="G913">
        <v>0.27</v>
      </c>
      <c r="H913" t="str">
        <f>PROPER(TRIM(sales_data!C913))</f>
        <v>Bob</v>
      </c>
      <c r="I913" t="str">
        <f>PROPER(TRIM(sales_data!D913))</f>
        <v>North</v>
      </c>
      <c r="J913" t="str">
        <f>PROPER(TRIM(sales_data!G913))</f>
        <v>Furniture</v>
      </c>
      <c r="K913" t="str">
        <f>PROPER(TRIM(sales_data!J913))</f>
        <v>New</v>
      </c>
      <c r="L913" t="str">
        <f>PROPER(TRIM(sales_data!L913))</f>
        <v>Cash</v>
      </c>
      <c r="M913" t="str">
        <f>PROPER(TRIM(sales_data!M913))</f>
        <v>Retail</v>
      </c>
      <c r="N913">
        <f t="shared" si="57"/>
        <v>116.94999999999027</v>
      </c>
      <c r="O913">
        <f t="shared" si="58"/>
        <v>1286.449999999893</v>
      </c>
      <c r="P913" t="str">
        <f t="shared" si="59"/>
        <v>Jun</v>
      </c>
    </row>
    <row r="914" spans="1:16" x14ac:dyDescent="0.25">
      <c r="A914">
        <v>1096</v>
      </c>
      <c r="B914" s="1">
        <v>45048</v>
      </c>
      <c r="C914">
        <f t="shared" si="56"/>
        <v>26596.128000000001</v>
      </c>
      <c r="D914">
        <v>32</v>
      </c>
      <c r="E914">
        <v>991.63</v>
      </c>
      <c r="F914">
        <v>1065.55</v>
      </c>
      <c r="G914">
        <v>0.22</v>
      </c>
      <c r="H914" t="str">
        <f>PROPER(TRIM(sales_data!C914))</f>
        <v>Alice</v>
      </c>
      <c r="I914" t="str">
        <f>PROPER(TRIM(sales_data!D914))</f>
        <v>East</v>
      </c>
      <c r="J914" t="str">
        <f>PROPER(TRIM(sales_data!G914))</f>
        <v>Furniture</v>
      </c>
      <c r="K914" t="str">
        <f>PROPER(TRIM(sales_data!J914))</f>
        <v>Returning</v>
      </c>
      <c r="L914" t="str">
        <f>PROPER(TRIM(sales_data!L914))</f>
        <v>Bank Transfer</v>
      </c>
      <c r="M914" t="str">
        <f>PROPER(TRIM(sales_data!M914))</f>
        <v>Retail</v>
      </c>
      <c r="N914">
        <f t="shared" si="57"/>
        <v>73.919999999999959</v>
      </c>
      <c r="O914">
        <f t="shared" si="58"/>
        <v>2365.4399999999987</v>
      </c>
      <c r="P914" t="str">
        <f t="shared" si="59"/>
        <v>May</v>
      </c>
    </row>
    <row r="915" spans="1:16" x14ac:dyDescent="0.25">
      <c r="A915">
        <v>1067</v>
      </c>
      <c r="B915" s="1">
        <v>45069</v>
      </c>
      <c r="C915">
        <f t="shared" si="56"/>
        <v>115328.3894</v>
      </c>
      <c r="D915">
        <v>49</v>
      </c>
      <c r="E915">
        <v>2628.38</v>
      </c>
      <c r="F915">
        <v>2644.54</v>
      </c>
      <c r="G915">
        <v>0.11</v>
      </c>
      <c r="H915" t="str">
        <f>PROPER(TRIM(sales_data!C915))</f>
        <v>Bob</v>
      </c>
      <c r="I915" t="str">
        <f>PROPER(TRIM(sales_data!D915))</f>
        <v>North</v>
      </c>
      <c r="J915" t="str">
        <f>PROPER(TRIM(sales_data!G915))</f>
        <v>Furniture</v>
      </c>
      <c r="K915" t="str">
        <f>PROPER(TRIM(sales_data!J915))</f>
        <v>Returning</v>
      </c>
      <c r="L915" t="str">
        <f>PROPER(TRIM(sales_data!L915))</f>
        <v>Cash</v>
      </c>
      <c r="M915" t="str">
        <f>PROPER(TRIM(sales_data!M915))</f>
        <v>Online</v>
      </c>
      <c r="N915">
        <f t="shared" si="57"/>
        <v>16.159999999999854</v>
      </c>
      <c r="O915">
        <f t="shared" si="58"/>
        <v>791.83999999999287</v>
      </c>
      <c r="P915" t="str">
        <f t="shared" si="59"/>
        <v>May</v>
      </c>
    </row>
    <row r="916" spans="1:16" x14ac:dyDescent="0.25">
      <c r="A916">
        <v>1027</v>
      </c>
      <c r="B916" s="1">
        <v>45032</v>
      </c>
      <c r="C916">
        <f t="shared" si="56"/>
        <v>16684.999099999997</v>
      </c>
      <c r="D916">
        <v>7</v>
      </c>
      <c r="E916">
        <v>2371.85</v>
      </c>
      <c r="F916">
        <v>2457.29</v>
      </c>
      <c r="G916">
        <v>0.03</v>
      </c>
      <c r="H916" t="str">
        <f>PROPER(TRIM(sales_data!C916))</f>
        <v>Alice</v>
      </c>
      <c r="I916" t="str">
        <f>PROPER(TRIM(sales_data!D916))</f>
        <v>East</v>
      </c>
      <c r="J916" t="str">
        <f>PROPER(TRIM(sales_data!G916))</f>
        <v>Food</v>
      </c>
      <c r="K916" t="str">
        <f>PROPER(TRIM(sales_data!J916))</f>
        <v>New</v>
      </c>
      <c r="L916" t="str">
        <f>PROPER(TRIM(sales_data!L916))</f>
        <v>Cash</v>
      </c>
      <c r="M916" t="str">
        <f>PROPER(TRIM(sales_data!M916))</f>
        <v>Retail</v>
      </c>
      <c r="N916">
        <f t="shared" si="57"/>
        <v>85.440000000000055</v>
      </c>
      <c r="O916">
        <f t="shared" si="58"/>
        <v>598.08000000000038</v>
      </c>
      <c r="P916" t="str">
        <f t="shared" si="59"/>
        <v>Apr</v>
      </c>
    </row>
    <row r="917" spans="1:16" x14ac:dyDescent="0.25">
      <c r="A917">
        <v>1093</v>
      </c>
      <c r="B917" s="1">
        <v>45231</v>
      </c>
      <c r="C917">
        <f t="shared" si="56"/>
        <v>27518.828400000002</v>
      </c>
      <c r="D917">
        <v>46</v>
      </c>
      <c r="E917">
        <v>401.64</v>
      </c>
      <c r="F917">
        <v>757.26</v>
      </c>
      <c r="G917">
        <v>0.21</v>
      </c>
      <c r="H917" t="str">
        <f>PROPER(TRIM(sales_data!C917))</f>
        <v>Charlie</v>
      </c>
      <c r="I917" t="str">
        <f>PROPER(TRIM(sales_data!D917))</f>
        <v>North</v>
      </c>
      <c r="J917" t="str">
        <f>PROPER(TRIM(sales_data!G917))</f>
        <v>Clothing</v>
      </c>
      <c r="K917" t="str">
        <f>PROPER(TRIM(sales_data!J917))</f>
        <v>New</v>
      </c>
      <c r="L917" t="str">
        <f>PROPER(TRIM(sales_data!L917))</f>
        <v>Credit Card</v>
      </c>
      <c r="M917" t="str">
        <f>PROPER(TRIM(sales_data!M917))</f>
        <v>Retail</v>
      </c>
      <c r="N917">
        <f t="shared" si="57"/>
        <v>355.62</v>
      </c>
      <c r="O917">
        <f t="shared" si="58"/>
        <v>16358.52</v>
      </c>
      <c r="P917" t="str">
        <f t="shared" si="59"/>
        <v>Nov</v>
      </c>
    </row>
    <row r="918" spans="1:16" x14ac:dyDescent="0.25">
      <c r="A918">
        <v>1032</v>
      </c>
      <c r="B918" s="1">
        <v>45286</v>
      </c>
      <c r="C918">
        <f t="shared" si="56"/>
        <v>33036.299999999996</v>
      </c>
      <c r="D918">
        <v>11</v>
      </c>
      <c r="E918">
        <v>4100.62</v>
      </c>
      <c r="F918">
        <v>4230</v>
      </c>
      <c r="G918">
        <v>0.28999999999999998</v>
      </c>
      <c r="H918" t="str">
        <f>PROPER(TRIM(sales_data!C918))</f>
        <v>David</v>
      </c>
      <c r="I918" t="str">
        <f>PROPER(TRIM(sales_data!D918))</f>
        <v>South</v>
      </c>
      <c r="J918" t="str">
        <f>PROPER(TRIM(sales_data!G918))</f>
        <v>Clothing</v>
      </c>
      <c r="K918" t="str">
        <f>PROPER(TRIM(sales_data!J918))</f>
        <v>New</v>
      </c>
      <c r="L918" t="str">
        <f>PROPER(TRIM(sales_data!L918))</f>
        <v>Bank Transfer</v>
      </c>
      <c r="M918" t="str">
        <f>PROPER(TRIM(sales_data!M918))</f>
        <v>Online</v>
      </c>
      <c r="N918">
        <f t="shared" si="57"/>
        <v>129.38000000000011</v>
      </c>
      <c r="O918">
        <f t="shared" si="58"/>
        <v>1423.1800000000012</v>
      </c>
      <c r="P918" t="str">
        <f t="shared" si="59"/>
        <v>Dec</v>
      </c>
    </row>
    <row r="919" spans="1:16" x14ac:dyDescent="0.25">
      <c r="A919">
        <v>1050</v>
      </c>
      <c r="B919" s="1">
        <v>45243</v>
      </c>
      <c r="C919">
        <f t="shared" si="56"/>
        <v>42615.081600000005</v>
      </c>
      <c r="D919">
        <v>28</v>
      </c>
      <c r="E919">
        <v>1711.63</v>
      </c>
      <c r="F919">
        <v>1951.24</v>
      </c>
      <c r="G919">
        <v>0.22</v>
      </c>
      <c r="H919" t="str">
        <f>PROPER(TRIM(sales_data!C919))</f>
        <v>Alice</v>
      </c>
      <c r="I919" t="str">
        <f>PROPER(TRIM(sales_data!D919))</f>
        <v>North</v>
      </c>
      <c r="J919" t="str">
        <f>PROPER(TRIM(sales_data!G919))</f>
        <v>Food</v>
      </c>
      <c r="K919" t="str">
        <f>PROPER(TRIM(sales_data!J919))</f>
        <v>New</v>
      </c>
      <c r="L919" t="str">
        <f>PROPER(TRIM(sales_data!L919))</f>
        <v>Cash</v>
      </c>
      <c r="M919" t="str">
        <f>PROPER(TRIM(sales_data!M919))</f>
        <v>Online</v>
      </c>
      <c r="N919">
        <f t="shared" si="57"/>
        <v>239.6099999999999</v>
      </c>
      <c r="O919">
        <f t="shared" si="58"/>
        <v>6709.0799999999972</v>
      </c>
      <c r="P919" t="str">
        <f t="shared" si="59"/>
        <v>Nov</v>
      </c>
    </row>
    <row r="920" spans="1:16" x14ac:dyDescent="0.25">
      <c r="A920">
        <v>1061</v>
      </c>
      <c r="B920" s="1">
        <v>45049</v>
      </c>
      <c r="C920">
        <f t="shared" si="56"/>
        <v>94284.518400000001</v>
      </c>
      <c r="D920">
        <v>41</v>
      </c>
      <c r="E920">
        <v>2894.18</v>
      </c>
      <c r="F920">
        <v>3193.92</v>
      </c>
      <c r="G920">
        <v>0.28000000000000003</v>
      </c>
      <c r="H920" t="str">
        <f>PROPER(TRIM(sales_data!C920))</f>
        <v>Bob</v>
      </c>
      <c r="I920" t="str">
        <f>PROPER(TRIM(sales_data!D920))</f>
        <v>South</v>
      </c>
      <c r="J920" t="str">
        <f>PROPER(TRIM(sales_data!G920))</f>
        <v>Furniture</v>
      </c>
      <c r="K920" t="str">
        <f>PROPER(TRIM(sales_data!J920))</f>
        <v>New</v>
      </c>
      <c r="L920" t="str">
        <f>PROPER(TRIM(sales_data!L920))</f>
        <v>Bank Transfer</v>
      </c>
      <c r="M920" t="str">
        <f>PROPER(TRIM(sales_data!M920))</f>
        <v>Retail</v>
      </c>
      <c r="N920">
        <f t="shared" si="57"/>
        <v>299.74000000000024</v>
      </c>
      <c r="O920">
        <f t="shared" si="58"/>
        <v>12289.340000000009</v>
      </c>
      <c r="P920" t="str">
        <f t="shared" si="59"/>
        <v>May</v>
      </c>
    </row>
    <row r="921" spans="1:16" x14ac:dyDescent="0.25">
      <c r="A921">
        <v>1051</v>
      </c>
      <c r="B921" s="1">
        <v>44935</v>
      </c>
      <c r="C921">
        <f t="shared" si="56"/>
        <v>53186.920399999995</v>
      </c>
      <c r="D921">
        <v>23</v>
      </c>
      <c r="E921">
        <v>2598.1799999999998</v>
      </c>
      <c r="F921">
        <v>3042.73</v>
      </c>
      <c r="G921">
        <v>0.24</v>
      </c>
      <c r="H921" t="str">
        <f>PROPER(TRIM(sales_data!C921))</f>
        <v>David</v>
      </c>
      <c r="I921" t="str">
        <f>PROPER(TRIM(sales_data!D921))</f>
        <v>South</v>
      </c>
      <c r="J921" t="str">
        <f>PROPER(TRIM(sales_data!G921))</f>
        <v>Furniture</v>
      </c>
      <c r="K921" t="str">
        <f>PROPER(TRIM(sales_data!J921))</f>
        <v>Returning</v>
      </c>
      <c r="L921" t="str">
        <f>PROPER(TRIM(sales_data!L921))</f>
        <v>Credit Card</v>
      </c>
      <c r="M921" t="str">
        <f>PROPER(TRIM(sales_data!M921))</f>
        <v>Online</v>
      </c>
      <c r="N921">
        <f t="shared" si="57"/>
        <v>444.55000000000018</v>
      </c>
      <c r="O921">
        <f t="shared" si="58"/>
        <v>10224.650000000005</v>
      </c>
      <c r="P921" t="str">
        <f t="shared" si="59"/>
        <v>Jan</v>
      </c>
    </row>
    <row r="922" spans="1:16" x14ac:dyDescent="0.25">
      <c r="A922">
        <v>1019</v>
      </c>
      <c r="B922" s="1">
        <v>45188</v>
      </c>
      <c r="C922">
        <f t="shared" si="56"/>
        <v>129796.69499999999</v>
      </c>
      <c r="D922">
        <v>45</v>
      </c>
      <c r="E922">
        <v>2590.64</v>
      </c>
      <c r="F922">
        <v>3036.18</v>
      </c>
      <c r="G922">
        <v>0.05</v>
      </c>
      <c r="H922" t="str">
        <f>PROPER(TRIM(sales_data!C922))</f>
        <v>Charlie</v>
      </c>
      <c r="I922" t="str">
        <f>PROPER(TRIM(sales_data!D922))</f>
        <v>West</v>
      </c>
      <c r="J922" t="str">
        <f>PROPER(TRIM(sales_data!G922))</f>
        <v>Clothing</v>
      </c>
      <c r="K922" t="str">
        <f>PROPER(TRIM(sales_data!J922))</f>
        <v>New</v>
      </c>
      <c r="L922" t="str">
        <f>PROPER(TRIM(sales_data!L922))</f>
        <v>Bank Transfer</v>
      </c>
      <c r="M922" t="str">
        <f>PROPER(TRIM(sales_data!M922))</f>
        <v>Retail</v>
      </c>
      <c r="N922">
        <f t="shared" si="57"/>
        <v>445.53999999999996</v>
      </c>
      <c r="O922">
        <f t="shared" si="58"/>
        <v>20049.3</v>
      </c>
      <c r="P922" t="str">
        <f t="shared" si="59"/>
        <v>Sep</v>
      </c>
    </row>
    <row r="923" spans="1:16" x14ac:dyDescent="0.25">
      <c r="A923">
        <v>1021</v>
      </c>
      <c r="B923" s="1">
        <v>44999</v>
      </c>
      <c r="C923">
        <f t="shared" si="56"/>
        <v>20452.2624</v>
      </c>
      <c r="D923">
        <v>23</v>
      </c>
      <c r="E923">
        <v>580.75</v>
      </c>
      <c r="F923">
        <v>956.16</v>
      </c>
      <c r="G923">
        <v>7.0000000000000007E-2</v>
      </c>
      <c r="H923" t="str">
        <f>PROPER(TRIM(sales_data!C923))</f>
        <v>David</v>
      </c>
      <c r="I923" t="str">
        <f>PROPER(TRIM(sales_data!D923))</f>
        <v>South</v>
      </c>
      <c r="J923" t="str">
        <f>PROPER(TRIM(sales_data!G923))</f>
        <v>Food</v>
      </c>
      <c r="K923" t="str">
        <f>PROPER(TRIM(sales_data!J923))</f>
        <v>Returning</v>
      </c>
      <c r="L923" t="str">
        <f>PROPER(TRIM(sales_data!L923))</f>
        <v>Cash</v>
      </c>
      <c r="M923" t="str">
        <f>PROPER(TRIM(sales_data!M923))</f>
        <v>Retail</v>
      </c>
      <c r="N923">
        <f t="shared" si="57"/>
        <v>375.40999999999997</v>
      </c>
      <c r="O923">
        <f t="shared" si="58"/>
        <v>8634.4299999999985</v>
      </c>
      <c r="P923" t="str">
        <f t="shared" si="59"/>
        <v>Mar</v>
      </c>
    </row>
    <row r="924" spans="1:16" x14ac:dyDescent="0.25">
      <c r="A924">
        <v>1005</v>
      </c>
      <c r="B924" s="1">
        <v>45285</v>
      </c>
      <c r="C924">
        <f t="shared" si="56"/>
        <v>54771.443999999996</v>
      </c>
      <c r="D924">
        <v>28</v>
      </c>
      <c r="E924">
        <v>2146.2399999999998</v>
      </c>
      <c r="F924">
        <v>2173.4699999999998</v>
      </c>
      <c r="G924">
        <v>0.1</v>
      </c>
      <c r="H924" t="str">
        <f>PROPER(TRIM(sales_data!C924))</f>
        <v>Alice</v>
      </c>
      <c r="I924" t="str">
        <f>PROPER(TRIM(sales_data!D924))</f>
        <v>South</v>
      </c>
      <c r="J924" t="str">
        <f>PROPER(TRIM(sales_data!G924))</f>
        <v>Furniture</v>
      </c>
      <c r="K924" t="str">
        <f>PROPER(TRIM(sales_data!J924))</f>
        <v>Returning</v>
      </c>
      <c r="L924" t="str">
        <f>PROPER(TRIM(sales_data!L924))</f>
        <v>Cash</v>
      </c>
      <c r="M924" t="str">
        <f>PROPER(TRIM(sales_data!M924))</f>
        <v>Retail</v>
      </c>
      <c r="N924">
        <f t="shared" si="57"/>
        <v>27.230000000000018</v>
      </c>
      <c r="O924">
        <f t="shared" si="58"/>
        <v>762.44000000000051</v>
      </c>
      <c r="P924" t="str">
        <f t="shared" si="59"/>
        <v>Dec</v>
      </c>
    </row>
    <row r="925" spans="1:16" x14ac:dyDescent="0.25">
      <c r="A925">
        <v>1082</v>
      </c>
      <c r="B925" s="1">
        <v>45149</v>
      </c>
      <c r="C925">
        <f t="shared" si="56"/>
        <v>105433.84999999999</v>
      </c>
      <c r="D925">
        <v>43</v>
      </c>
      <c r="E925">
        <v>2289.2199999999998</v>
      </c>
      <c r="F925">
        <v>2581</v>
      </c>
      <c r="G925">
        <v>0.05</v>
      </c>
      <c r="H925" t="str">
        <f>PROPER(TRIM(sales_data!C925))</f>
        <v>Charlie</v>
      </c>
      <c r="I925" t="str">
        <f>PROPER(TRIM(sales_data!D925))</f>
        <v>North</v>
      </c>
      <c r="J925" t="str">
        <f>PROPER(TRIM(sales_data!G925))</f>
        <v>Furniture</v>
      </c>
      <c r="K925" t="str">
        <f>PROPER(TRIM(sales_data!J925))</f>
        <v>New</v>
      </c>
      <c r="L925" t="str">
        <f>PROPER(TRIM(sales_data!L925))</f>
        <v>Bank Transfer</v>
      </c>
      <c r="M925" t="str">
        <f>PROPER(TRIM(sales_data!M925))</f>
        <v>Online</v>
      </c>
      <c r="N925">
        <f t="shared" si="57"/>
        <v>291.7800000000002</v>
      </c>
      <c r="O925">
        <f t="shared" si="58"/>
        <v>12546.540000000008</v>
      </c>
      <c r="P925" t="str">
        <f t="shared" si="59"/>
        <v>Aug</v>
      </c>
    </row>
    <row r="926" spans="1:16" x14ac:dyDescent="0.25">
      <c r="A926">
        <v>1092</v>
      </c>
      <c r="B926" s="1">
        <v>44967</v>
      </c>
      <c r="C926">
        <f t="shared" si="56"/>
        <v>159042.2096</v>
      </c>
      <c r="D926">
        <v>47</v>
      </c>
      <c r="E926">
        <v>3681.53</v>
      </c>
      <c r="F926">
        <v>4076.96</v>
      </c>
      <c r="G926">
        <v>0.17</v>
      </c>
      <c r="H926" t="str">
        <f>PROPER(TRIM(sales_data!C926))</f>
        <v>Bob</v>
      </c>
      <c r="I926" t="str">
        <f>PROPER(TRIM(sales_data!D926))</f>
        <v>East</v>
      </c>
      <c r="J926" t="str">
        <f>PROPER(TRIM(sales_data!G926))</f>
        <v>Furniture</v>
      </c>
      <c r="K926" t="str">
        <f>PROPER(TRIM(sales_data!J926))</f>
        <v>Returning</v>
      </c>
      <c r="L926" t="str">
        <f>PROPER(TRIM(sales_data!L926))</f>
        <v>Cash</v>
      </c>
      <c r="M926" t="str">
        <f>PROPER(TRIM(sales_data!M926))</f>
        <v>Retail</v>
      </c>
      <c r="N926">
        <f t="shared" si="57"/>
        <v>395.42999999999984</v>
      </c>
      <c r="O926">
        <f t="shared" si="58"/>
        <v>18585.209999999992</v>
      </c>
      <c r="P926" t="str">
        <f t="shared" si="59"/>
        <v>Feb</v>
      </c>
    </row>
    <row r="927" spans="1:16" x14ac:dyDescent="0.25">
      <c r="A927">
        <v>1042</v>
      </c>
      <c r="B927" s="1">
        <v>45130</v>
      </c>
      <c r="C927">
        <f t="shared" si="56"/>
        <v>78022.297600000005</v>
      </c>
      <c r="D927">
        <v>26</v>
      </c>
      <c r="E927">
        <v>4208.09</v>
      </c>
      <c r="F927">
        <v>4226.5600000000004</v>
      </c>
      <c r="G927">
        <v>0.28999999999999998</v>
      </c>
      <c r="H927" t="str">
        <f>PROPER(TRIM(sales_data!C927))</f>
        <v>Charlie</v>
      </c>
      <c r="I927" t="str">
        <f>PROPER(TRIM(sales_data!D927))</f>
        <v>West</v>
      </c>
      <c r="J927" t="str">
        <f>PROPER(TRIM(sales_data!G927))</f>
        <v>Electronics</v>
      </c>
      <c r="K927" t="str">
        <f>PROPER(TRIM(sales_data!J927))</f>
        <v>Returning</v>
      </c>
      <c r="L927" t="str">
        <f>PROPER(TRIM(sales_data!L927))</f>
        <v>Cash</v>
      </c>
      <c r="M927" t="str">
        <f>PROPER(TRIM(sales_data!M927))</f>
        <v>Retail</v>
      </c>
      <c r="N927">
        <f t="shared" si="57"/>
        <v>18.470000000000255</v>
      </c>
      <c r="O927">
        <f t="shared" si="58"/>
        <v>480.22000000000662</v>
      </c>
      <c r="P927" t="str">
        <f t="shared" si="59"/>
        <v>Jul</v>
      </c>
    </row>
    <row r="928" spans="1:16" x14ac:dyDescent="0.25">
      <c r="A928">
        <v>1061</v>
      </c>
      <c r="B928" s="1">
        <v>45190</v>
      </c>
      <c r="C928">
        <f t="shared" si="56"/>
        <v>58269.942499999808</v>
      </c>
      <c r="D928">
        <v>25</v>
      </c>
      <c r="E928">
        <v>2747.66</v>
      </c>
      <c r="F928">
        <v>3027.0099999999902</v>
      </c>
      <c r="G928">
        <v>0.23</v>
      </c>
      <c r="H928" t="str">
        <f>PROPER(TRIM(sales_data!C928))</f>
        <v>Charlie</v>
      </c>
      <c r="I928" t="str">
        <f>PROPER(TRIM(sales_data!D928))</f>
        <v>South</v>
      </c>
      <c r="J928" t="str">
        <f>PROPER(TRIM(sales_data!G928))</f>
        <v>Food</v>
      </c>
      <c r="K928" t="str">
        <f>PROPER(TRIM(sales_data!J928))</f>
        <v>New</v>
      </c>
      <c r="L928" t="str">
        <f>PROPER(TRIM(sales_data!L928))</f>
        <v>Cash</v>
      </c>
      <c r="M928" t="str">
        <f>PROPER(TRIM(sales_data!M928))</f>
        <v>Online</v>
      </c>
      <c r="N928">
        <f t="shared" si="57"/>
        <v>279.34999999999036</v>
      </c>
      <c r="O928">
        <f t="shared" si="58"/>
        <v>6983.749999999759</v>
      </c>
      <c r="P928" t="str">
        <f t="shared" si="59"/>
        <v>Sep</v>
      </c>
    </row>
    <row r="929" spans="1:16" x14ac:dyDescent="0.25">
      <c r="A929">
        <v>1022</v>
      </c>
      <c r="B929" s="1">
        <v>45254</v>
      </c>
      <c r="C929">
        <f t="shared" si="56"/>
        <v>22956.272400000002</v>
      </c>
      <c r="D929">
        <v>29</v>
      </c>
      <c r="E929">
        <v>479.58</v>
      </c>
      <c r="F929">
        <v>909.88</v>
      </c>
      <c r="G929">
        <v>0.13</v>
      </c>
      <c r="H929" t="str">
        <f>PROPER(TRIM(sales_data!C929))</f>
        <v>Eve</v>
      </c>
      <c r="I929" t="str">
        <f>PROPER(TRIM(sales_data!D929))</f>
        <v>West</v>
      </c>
      <c r="J929" t="str">
        <f>PROPER(TRIM(sales_data!G929))</f>
        <v>Furniture</v>
      </c>
      <c r="K929" t="str">
        <f>PROPER(TRIM(sales_data!J929))</f>
        <v>Returning</v>
      </c>
      <c r="L929" t="str">
        <f>PROPER(TRIM(sales_data!L929))</f>
        <v>Credit Card</v>
      </c>
      <c r="M929" t="str">
        <f>PROPER(TRIM(sales_data!M929))</f>
        <v>Retail</v>
      </c>
      <c r="N929">
        <f t="shared" si="57"/>
        <v>430.3</v>
      </c>
      <c r="O929">
        <f t="shared" si="58"/>
        <v>12478.7</v>
      </c>
      <c r="P929" t="str">
        <f t="shared" si="59"/>
        <v>Nov</v>
      </c>
    </row>
    <row r="930" spans="1:16" x14ac:dyDescent="0.25">
      <c r="A930">
        <v>1021</v>
      </c>
      <c r="B930" s="1">
        <v>45104</v>
      </c>
      <c r="C930">
        <f t="shared" si="56"/>
        <v>27829.49</v>
      </c>
      <c r="D930">
        <v>19</v>
      </c>
      <c r="E930">
        <v>1222.4000000000001</v>
      </c>
      <c r="F930">
        <v>1464.71</v>
      </c>
      <c r="G930">
        <v>0</v>
      </c>
      <c r="H930" t="str">
        <f>PROPER(TRIM(sales_data!C930))</f>
        <v>Charlie</v>
      </c>
      <c r="I930" t="str">
        <f>PROPER(TRIM(sales_data!D930))</f>
        <v>North</v>
      </c>
      <c r="J930" t="str">
        <f>PROPER(TRIM(sales_data!G930))</f>
        <v>Electronics</v>
      </c>
      <c r="K930" t="str">
        <f>PROPER(TRIM(sales_data!J930))</f>
        <v>New</v>
      </c>
      <c r="L930" t="str">
        <f>PROPER(TRIM(sales_data!L930))</f>
        <v>Credit Card</v>
      </c>
      <c r="M930" t="str">
        <f>PROPER(TRIM(sales_data!M930))</f>
        <v>Retail</v>
      </c>
      <c r="N930">
        <f t="shared" si="57"/>
        <v>242.30999999999995</v>
      </c>
      <c r="O930">
        <f t="shared" si="58"/>
        <v>4603.8899999999994</v>
      </c>
      <c r="P930" t="str">
        <f t="shared" si="59"/>
        <v>Jun</v>
      </c>
    </row>
    <row r="931" spans="1:16" x14ac:dyDescent="0.25">
      <c r="A931">
        <v>1070</v>
      </c>
      <c r="B931" s="1">
        <v>45274</v>
      </c>
      <c r="C931">
        <f t="shared" si="56"/>
        <v>26379.252899999999</v>
      </c>
      <c r="D931">
        <v>33</v>
      </c>
      <c r="E931">
        <v>866.42</v>
      </c>
      <c r="F931">
        <v>878.43</v>
      </c>
      <c r="G931">
        <v>0.09</v>
      </c>
      <c r="H931" t="str">
        <f>PROPER(TRIM(sales_data!C931))</f>
        <v>Charlie</v>
      </c>
      <c r="I931" t="str">
        <f>PROPER(TRIM(sales_data!D931))</f>
        <v>South</v>
      </c>
      <c r="J931" t="str">
        <f>PROPER(TRIM(sales_data!G931))</f>
        <v>Food</v>
      </c>
      <c r="K931" t="str">
        <f>PROPER(TRIM(sales_data!J931))</f>
        <v>New</v>
      </c>
      <c r="L931" t="str">
        <f>PROPER(TRIM(sales_data!L931))</f>
        <v>Cash</v>
      </c>
      <c r="M931" t="str">
        <f>PROPER(TRIM(sales_data!M931))</f>
        <v>Retail</v>
      </c>
      <c r="N931">
        <f t="shared" si="57"/>
        <v>12.009999999999991</v>
      </c>
      <c r="O931">
        <f t="shared" si="58"/>
        <v>396.3299999999997</v>
      </c>
      <c r="P931" t="str">
        <f t="shared" si="59"/>
        <v>Dec</v>
      </c>
    </row>
    <row r="932" spans="1:16" x14ac:dyDescent="0.25">
      <c r="A932">
        <v>1001</v>
      </c>
      <c r="B932" s="1">
        <v>45244</v>
      </c>
      <c r="C932">
        <f t="shared" si="56"/>
        <v>20630.937599999997</v>
      </c>
      <c r="D932">
        <v>36</v>
      </c>
      <c r="E932">
        <v>666.84</v>
      </c>
      <c r="F932">
        <v>682.24</v>
      </c>
      <c r="G932">
        <v>0.16</v>
      </c>
      <c r="H932" t="str">
        <f>PROPER(TRIM(sales_data!C932))</f>
        <v>David</v>
      </c>
      <c r="I932" t="str">
        <f>PROPER(TRIM(sales_data!D932))</f>
        <v>North</v>
      </c>
      <c r="J932" t="str">
        <f>PROPER(TRIM(sales_data!G932))</f>
        <v>Furniture</v>
      </c>
      <c r="K932" t="str">
        <f>PROPER(TRIM(sales_data!J932))</f>
        <v>New</v>
      </c>
      <c r="L932" t="str">
        <f>PROPER(TRIM(sales_data!L932))</f>
        <v>Bank Transfer</v>
      </c>
      <c r="M932" t="str">
        <f>PROPER(TRIM(sales_data!M932))</f>
        <v>Retail</v>
      </c>
      <c r="N932">
        <f t="shared" si="57"/>
        <v>15.399999999999977</v>
      </c>
      <c r="O932">
        <f t="shared" si="58"/>
        <v>554.39999999999918</v>
      </c>
      <c r="P932" t="str">
        <f t="shared" si="59"/>
        <v>Nov</v>
      </c>
    </row>
    <row r="933" spans="1:16" x14ac:dyDescent="0.25">
      <c r="A933">
        <v>1005</v>
      </c>
      <c r="B933" s="1">
        <v>45010</v>
      </c>
      <c r="C933">
        <f t="shared" si="56"/>
        <v>26149.41</v>
      </c>
      <c r="D933">
        <v>14</v>
      </c>
      <c r="E933">
        <v>1861.2</v>
      </c>
      <c r="F933">
        <v>2075.35</v>
      </c>
      <c r="G933">
        <v>0.1</v>
      </c>
      <c r="H933" t="str">
        <f>PROPER(TRIM(sales_data!C933))</f>
        <v>Bob</v>
      </c>
      <c r="I933" t="str">
        <f>PROPER(TRIM(sales_data!D933))</f>
        <v>West</v>
      </c>
      <c r="J933" t="str">
        <f>PROPER(TRIM(sales_data!G933))</f>
        <v>Clothing</v>
      </c>
      <c r="K933" t="str">
        <f>PROPER(TRIM(sales_data!J933))</f>
        <v>Returning</v>
      </c>
      <c r="L933" t="str">
        <f>PROPER(TRIM(sales_data!L933))</f>
        <v>Credit Card</v>
      </c>
      <c r="M933" t="str">
        <f>PROPER(TRIM(sales_data!M933))</f>
        <v>Retail</v>
      </c>
      <c r="N933">
        <f t="shared" si="57"/>
        <v>214.14999999999986</v>
      </c>
      <c r="O933">
        <f t="shared" si="58"/>
        <v>2998.0999999999981</v>
      </c>
      <c r="P933" t="str">
        <f t="shared" si="59"/>
        <v>Mar</v>
      </c>
    </row>
    <row r="934" spans="1:16" x14ac:dyDescent="0.25">
      <c r="A934">
        <v>1012</v>
      </c>
      <c r="B934" s="1">
        <v>45244</v>
      </c>
      <c r="C934">
        <f t="shared" si="56"/>
        <v>17266.290999999997</v>
      </c>
      <c r="D934">
        <v>14</v>
      </c>
      <c r="E934">
        <v>1185.5</v>
      </c>
      <c r="F934">
        <v>1271.45</v>
      </c>
      <c r="G934">
        <v>0.03</v>
      </c>
      <c r="H934" t="str">
        <f>PROPER(TRIM(sales_data!C934))</f>
        <v>David</v>
      </c>
      <c r="I934" t="str">
        <f>PROPER(TRIM(sales_data!D934))</f>
        <v>North</v>
      </c>
      <c r="J934" t="str">
        <f>PROPER(TRIM(sales_data!G934))</f>
        <v>Electronics</v>
      </c>
      <c r="K934" t="str">
        <f>PROPER(TRIM(sales_data!J934))</f>
        <v>Returning</v>
      </c>
      <c r="L934" t="str">
        <f>PROPER(TRIM(sales_data!L934))</f>
        <v>Bank Transfer</v>
      </c>
      <c r="M934" t="str">
        <f>PROPER(TRIM(sales_data!M934))</f>
        <v>Retail</v>
      </c>
      <c r="N934">
        <f t="shared" si="57"/>
        <v>85.950000000000045</v>
      </c>
      <c r="O934">
        <f t="shared" si="58"/>
        <v>1203.3000000000006</v>
      </c>
      <c r="P934" t="str">
        <f t="shared" si="59"/>
        <v>Nov</v>
      </c>
    </row>
    <row r="935" spans="1:16" x14ac:dyDescent="0.25">
      <c r="A935">
        <v>1090</v>
      </c>
      <c r="B935" s="1">
        <v>45037</v>
      </c>
      <c r="C935">
        <f t="shared" si="56"/>
        <v>44645.180999999699</v>
      </c>
      <c r="D935">
        <v>35</v>
      </c>
      <c r="E935">
        <v>1130.5999999999999</v>
      </c>
      <c r="F935">
        <v>1466.1799999999901</v>
      </c>
      <c r="G935">
        <v>0.13</v>
      </c>
      <c r="H935" t="str">
        <f>PROPER(TRIM(sales_data!C935))</f>
        <v>David</v>
      </c>
      <c r="I935" t="str">
        <f>PROPER(TRIM(sales_data!D935))</f>
        <v>West</v>
      </c>
      <c r="J935" t="str">
        <f>PROPER(TRIM(sales_data!G935))</f>
        <v>Electronics</v>
      </c>
      <c r="K935" t="str">
        <f>PROPER(TRIM(sales_data!J935))</f>
        <v>Returning</v>
      </c>
      <c r="L935" t="str">
        <f>PROPER(TRIM(sales_data!L935))</f>
        <v>Cash</v>
      </c>
      <c r="M935" t="str">
        <f>PROPER(TRIM(sales_data!M935))</f>
        <v>Online</v>
      </c>
      <c r="N935">
        <f t="shared" si="57"/>
        <v>335.57999999999015</v>
      </c>
      <c r="O935">
        <f t="shared" si="58"/>
        <v>11745.299999999655</v>
      </c>
      <c r="P935" t="str">
        <f t="shared" si="59"/>
        <v>Apr</v>
      </c>
    </row>
    <row r="936" spans="1:16" x14ac:dyDescent="0.25">
      <c r="A936">
        <v>1046</v>
      </c>
      <c r="B936" s="1">
        <v>45177</v>
      </c>
      <c r="C936">
        <f t="shared" si="56"/>
        <v>18713.903999999999</v>
      </c>
      <c r="D936">
        <v>30</v>
      </c>
      <c r="E936">
        <v>320.73</v>
      </c>
      <c r="F936">
        <v>678.04</v>
      </c>
      <c r="G936">
        <v>0.08</v>
      </c>
      <c r="H936" t="str">
        <f>PROPER(TRIM(sales_data!C936))</f>
        <v>Alice</v>
      </c>
      <c r="I936" t="str">
        <f>PROPER(TRIM(sales_data!D936))</f>
        <v>North</v>
      </c>
      <c r="J936" t="str">
        <f>PROPER(TRIM(sales_data!G936))</f>
        <v>Furniture</v>
      </c>
      <c r="K936" t="str">
        <f>PROPER(TRIM(sales_data!J936))</f>
        <v>Returning</v>
      </c>
      <c r="L936" t="str">
        <f>PROPER(TRIM(sales_data!L936))</f>
        <v>Cash</v>
      </c>
      <c r="M936" t="str">
        <f>PROPER(TRIM(sales_data!M936))</f>
        <v>Retail</v>
      </c>
      <c r="N936">
        <f t="shared" si="57"/>
        <v>357.30999999999995</v>
      </c>
      <c r="O936">
        <f t="shared" si="58"/>
        <v>10719.3</v>
      </c>
      <c r="P936" t="str">
        <f t="shared" si="59"/>
        <v>Sep</v>
      </c>
    </row>
    <row r="937" spans="1:16" x14ac:dyDescent="0.25">
      <c r="A937">
        <v>1034</v>
      </c>
      <c r="B937" s="1">
        <v>44933</v>
      </c>
      <c r="C937">
        <f t="shared" si="56"/>
        <v>4795.837199999999</v>
      </c>
      <c r="D937">
        <v>28</v>
      </c>
      <c r="E937">
        <v>137.47</v>
      </c>
      <c r="F937">
        <v>234.63</v>
      </c>
      <c r="G937">
        <v>0.27</v>
      </c>
      <c r="H937" t="str">
        <f>PROPER(TRIM(sales_data!C937))</f>
        <v>David</v>
      </c>
      <c r="I937" t="str">
        <f>PROPER(TRIM(sales_data!D937))</f>
        <v>West</v>
      </c>
      <c r="J937" t="str">
        <f>PROPER(TRIM(sales_data!G937))</f>
        <v>Furniture</v>
      </c>
      <c r="K937" t="str">
        <f>PROPER(TRIM(sales_data!J937))</f>
        <v>New</v>
      </c>
      <c r="L937" t="str">
        <f>PROPER(TRIM(sales_data!L937))</f>
        <v>Bank Transfer</v>
      </c>
      <c r="M937" t="str">
        <f>PROPER(TRIM(sales_data!M937))</f>
        <v>Retail</v>
      </c>
      <c r="N937">
        <f t="shared" si="57"/>
        <v>97.16</v>
      </c>
      <c r="O937">
        <f t="shared" si="58"/>
        <v>2720.48</v>
      </c>
      <c r="P937" t="str">
        <f t="shared" si="59"/>
        <v>Jan</v>
      </c>
    </row>
    <row r="938" spans="1:16" x14ac:dyDescent="0.25">
      <c r="A938">
        <v>1049</v>
      </c>
      <c r="B938" s="1">
        <v>45010</v>
      </c>
      <c r="C938">
        <f t="shared" si="56"/>
        <v>16557.279200000001</v>
      </c>
      <c r="D938">
        <v>17</v>
      </c>
      <c r="E938">
        <v>558.70000000000005</v>
      </c>
      <c r="F938">
        <v>1004.08</v>
      </c>
      <c r="G938">
        <v>0.03</v>
      </c>
      <c r="H938" t="str">
        <f>PROPER(TRIM(sales_data!C938))</f>
        <v>Eve</v>
      </c>
      <c r="I938" t="str">
        <f>PROPER(TRIM(sales_data!D938))</f>
        <v>East</v>
      </c>
      <c r="J938" t="str">
        <f>PROPER(TRIM(sales_data!G938))</f>
        <v>Electronics</v>
      </c>
      <c r="K938" t="str">
        <f>PROPER(TRIM(sales_data!J938))</f>
        <v>Returning</v>
      </c>
      <c r="L938" t="str">
        <f>PROPER(TRIM(sales_data!L938))</f>
        <v>Credit Card</v>
      </c>
      <c r="M938" t="str">
        <f>PROPER(TRIM(sales_data!M938))</f>
        <v>Online</v>
      </c>
      <c r="N938">
        <f t="shared" si="57"/>
        <v>445.38</v>
      </c>
      <c r="O938">
        <f t="shared" si="58"/>
        <v>7571.46</v>
      </c>
      <c r="P938" t="str">
        <f t="shared" si="59"/>
        <v>Mar</v>
      </c>
    </row>
    <row r="939" spans="1:16" x14ac:dyDescent="0.25">
      <c r="A939">
        <v>1078</v>
      </c>
      <c r="B939" s="1">
        <v>45134</v>
      </c>
      <c r="C939">
        <f t="shared" si="56"/>
        <v>3352.8627000000006</v>
      </c>
      <c r="D939">
        <v>3</v>
      </c>
      <c r="E939">
        <v>902.38</v>
      </c>
      <c r="F939">
        <v>1128.9100000000001</v>
      </c>
      <c r="G939">
        <v>0.01</v>
      </c>
      <c r="H939" t="str">
        <f>PROPER(TRIM(sales_data!C939))</f>
        <v>Eve</v>
      </c>
      <c r="I939" t="str">
        <f>PROPER(TRIM(sales_data!D939))</f>
        <v>North</v>
      </c>
      <c r="J939" t="str">
        <f>PROPER(TRIM(sales_data!G939))</f>
        <v>Clothing</v>
      </c>
      <c r="K939" t="str">
        <f>PROPER(TRIM(sales_data!J939))</f>
        <v>New</v>
      </c>
      <c r="L939" t="str">
        <f>PROPER(TRIM(sales_data!L939))</f>
        <v>Bank Transfer</v>
      </c>
      <c r="M939" t="str">
        <f>PROPER(TRIM(sales_data!M939))</f>
        <v>Retail</v>
      </c>
      <c r="N939">
        <f t="shared" si="57"/>
        <v>226.53000000000009</v>
      </c>
      <c r="O939">
        <f t="shared" si="58"/>
        <v>679.59000000000026</v>
      </c>
      <c r="P939" t="str">
        <f t="shared" si="59"/>
        <v>Jul</v>
      </c>
    </row>
    <row r="940" spans="1:16" x14ac:dyDescent="0.25">
      <c r="A940">
        <v>1090</v>
      </c>
      <c r="B940" s="1">
        <v>45240</v>
      </c>
      <c r="C940">
        <f t="shared" si="56"/>
        <v>36213.759999999842</v>
      </c>
      <c r="D940">
        <v>16</v>
      </c>
      <c r="E940">
        <v>2183.37</v>
      </c>
      <c r="F940">
        <v>2263.3599999999901</v>
      </c>
      <c r="G940">
        <v>0</v>
      </c>
      <c r="H940" t="str">
        <f>PROPER(TRIM(sales_data!C940))</f>
        <v>Alice</v>
      </c>
      <c r="I940" t="str">
        <f>PROPER(TRIM(sales_data!D940))</f>
        <v>North</v>
      </c>
      <c r="J940" t="str">
        <f>PROPER(TRIM(sales_data!G940))</f>
        <v>Clothing</v>
      </c>
      <c r="K940" t="str">
        <f>PROPER(TRIM(sales_data!J940))</f>
        <v>Returning</v>
      </c>
      <c r="L940" t="str">
        <f>PROPER(TRIM(sales_data!L940))</f>
        <v>Bank Transfer</v>
      </c>
      <c r="M940" t="str">
        <f>PROPER(TRIM(sales_data!M940))</f>
        <v>Retail</v>
      </c>
      <c r="N940">
        <f t="shared" si="57"/>
        <v>79.989999999990232</v>
      </c>
      <c r="O940">
        <f t="shared" si="58"/>
        <v>1279.8399999998437</v>
      </c>
      <c r="P940" t="str">
        <f t="shared" si="59"/>
        <v>Nov</v>
      </c>
    </row>
    <row r="941" spans="1:16" x14ac:dyDescent="0.25">
      <c r="A941">
        <v>1045</v>
      </c>
      <c r="B941" s="1">
        <v>44948</v>
      </c>
      <c r="C941">
        <f t="shared" si="56"/>
        <v>122608.58400000002</v>
      </c>
      <c r="D941">
        <v>46</v>
      </c>
      <c r="E941">
        <v>2577.08</v>
      </c>
      <c r="F941">
        <v>2961.56</v>
      </c>
      <c r="G941">
        <v>0.1</v>
      </c>
      <c r="H941" t="str">
        <f>PROPER(TRIM(sales_data!C941))</f>
        <v>Bob</v>
      </c>
      <c r="I941" t="str">
        <f>PROPER(TRIM(sales_data!D941))</f>
        <v>East</v>
      </c>
      <c r="J941" t="str">
        <f>PROPER(TRIM(sales_data!G941))</f>
        <v>Food</v>
      </c>
      <c r="K941" t="str">
        <f>PROPER(TRIM(sales_data!J941))</f>
        <v>Returning</v>
      </c>
      <c r="L941" t="str">
        <f>PROPER(TRIM(sales_data!L941))</f>
        <v>Cash</v>
      </c>
      <c r="M941" t="str">
        <f>PROPER(TRIM(sales_data!M941))</f>
        <v>Online</v>
      </c>
      <c r="N941">
        <f t="shared" si="57"/>
        <v>384.48</v>
      </c>
      <c r="O941">
        <f t="shared" si="58"/>
        <v>17686.080000000002</v>
      </c>
      <c r="P941" t="str">
        <f t="shared" si="59"/>
        <v>Jan</v>
      </c>
    </row>
    <row r="942" spans="1:16" x14ac:dyDescent="0.25">
      <c r="A942">
        <v>1027</v>
      </c>
      <c r="B942" s="1">
        <v>44929</v>
      </c>
      <c r="C942">
        <f t="shared" si="56"/>
        <v>27432.48</v>
      </c>
      <c r="D942">
        <v>30</v>
      </c>
      <c r="E942">
        <v>745.93</v>
      </c>
      <c r="F942">
        <v>1143.02</v>
      </c>
      <c r="G942">
        <v>0.2</v>
      </c>
      <c r="H942" t="str">
        <f>PROPER(TRIM(sales_data!C942))</f>
        <v>Bob</v>
      </c>
      <c r="I942" t="str">
        <f>PROPER(TRIM(sales_data!D942))</f>
        <v>East</v>
      </c>
      <c r="J942" t="str">
        <f>PROPER(TRIM(sales_data!G942))</f>
        <v>Furniture</v>
      </c>
      <c r="K942" t="str">
        <f>PROPER(TRIM(sales_data!J942))</f>
        <v>Returning</v>
      </c>
      <c r="L942" t="str">
        <f>PROPER(TRIM(sales_data!L942))</f>
        <v>Credit Card</v>
      </c>
      <c r="M942" t="str">
        <f>PROPER(TRIM(sales_data!M942))</f>
        <v>Online</v>
      </c>
      <c r="N942">
        <f t="shared" si="57"/>
        <v>397.09000000000003</v>
      </c>
      <c r="O942">
        <f t="shared" si="58"/>
        <v>11912.7</v>
      </c>
      <c r="P942" t="str">
        <f t="shared" si="59"/>
        <v>Jan</v>
      </c>
    </row>
    <row r="943" spans="1:16" x14ac:dyDescent="0.25">
      <c r="A943">
        <v>1073</v>
      </c>
      <c r="B943" s="1">
        <v>45053</v>
      </c>
      <c r="C943">
        <f t="shared" si="56"/>
        <v>56005.536599999999</v>
      </c>
      <c r="D943">
        <v>29</v>
      </c>
      <c r="E943">
        <v>2152.6799999999998</v>
      </c>
      <c r="F943">
        <v>2475.9299999999998</v>
      </c>
      <c r="G943">
        <v>0.22</v>
      </c>
      <c r="H943" t="str">
        <f>PROPER(TRIM(sales_data!C943))</f>
        <v>David</v>
      </c>
      <c r="I943" t="str">
        <f>PROPER(TRIM(sales_data!D943))</f>
        <v>North</v>
      </c>
      <c r="J943" t="str">
        <f>PROPER(TRIM(sales_data!G943))</f>
        <v>Clothing</v>
      </c>
      <c r="K943" t="str">
        <f>PROPER(TRIM(sales_data!J943))</f>
        <v>Returning</v>
      </c>
      <c r="L943" t="str">
        <f>PROPER(TRIM(sales_data!L943))</f>
        <v>Bank Transfer</v>
      </c>
      <c r="M943" t="str">
        <f>PROPER(TRIM(sales_data!M943))</f>
        <v>Online</v>
      </c>
      <c r="N943">
        <f t="shared" si="57"/>
        <v>323.25</v>
      </c>
      <c r="O943">
        <f t="shared" si="58"/>
        <v>9374.25</v>
      </c>
      <c r="P943" t="str">
        <f t="shared" si="59"/>
        <v>May</v>
      </c>
    </row>
    <row r="944" spans="1:16" x14ac:dyDescent="0.25">
      <c r="A944">
        <v>1026</v>
      </c>
      <c r="B944" s="1">
        <v>45223</v>
      </c>
      <c r="C944">
        <f t="shared" si="56"/>
        <v>83973.582000000009</v>
      </c>
      <c r="D944">
        <v>45</v>
      </c>
      <c r="E944">
        <v>1741.66</v>
      </c>
      <c r="F944">
        <v>2169.86</v>
      </c>
      <c r="G944">
        <v>0.14000000000000001</v>
      </c>
      <c r="H944" t="str">
        <f>PROPER(TRIM(sales_data!C944))</f>
        <v>David</v>
      </c>
      <c r="I944" t="str">
        <f>PROPER(TRIM(sales_data!D944))</f>
        <v>East</v>
      </c>
      <c r="J944" t="str">
        <f>PROPER(TRIM(sales_data!G944))</f>
        <v>Food</v>
      </c>
      <c r="K944" t="str">
        <f>PROPER(TRIM(sales_data!J944))</f>
        <v>Returning</v>
      </c>
      <c r="L944" t="str">
        <f>PROPER(TRIM(sales_data!L944))</f>
        <v>Credit Card</v>
      </c>
      <c r="M944" t="str">
        <f>PROPER(TRIM(sales_data!M944))</f>
        <v>Online</v>
      </c>
      <c r="N944">
        <f t="shared" si="57"/>
        <v>428.20000000000005</v>
      </c>
      <c r="O944">
        <f t="shared" si="58"/>
        <v>19269.000000000004</v>
      </c>
      <c r="P944" t="str">
        <f t="shared" si="59"/>
        <v>Oct</v>
      </c>
    </row>
    <row r="945" spans="1:16" x14ac:dyDescent="0.25">
      <c r="A945">
        <v>1047</v>
      </c>
      <c r="B945" s="1">
        <v>45114</v>
      </c>
      <c r="C945">
        <f t="shared" si="56"/>
        <v>15751.731000000002</v>
      </c>
      <c r="D945">
        <v>15</v>
      </c>
      <c r="E945">
        <v>957.95</v>
      </c>
      <c r="F945">
        <v>1329.26</v>
      </c>
      <c r="G945">
        <v>0.21</v>
      </c>
      <c r="H945" t="str">
        <f>PROPER(TRIM(sales_data!C945))</f>
        <v>David</v>
      </c>
      <c r="I945" t="str">
        <f>PROPER(TRIM(sales_data!D945))</f>
        <v>South</v>
      </c>
      <c r="J945" t="str">
        <f>PROPER(TRIM(sales_data!G945))</f>
        <v>Clothing</v>
      </c>
      <c r="K945" t="str">
        <f>PROPER(TRIM(sales_data!J945))</f>
        <v>New</v>
      </c>
      <c r="L945" t="str">
        <f>PROPER(TRIM(sales_data!L945))</f>
        <v>Cash</v>
      </c>
      <c r="M945" t="str">
        <f>PROPER(TRIM(sales_data!M945))</f>
        <v>Online</v>
      </c>
      <c r="N945">
        <f t="shared" si="57"/>
        <v>371.30999999999995</v>
      </c>
      <c r="O945">
        <f t="shared" si="58"/>
        <v>5569.65</v>
      </c>
      <c r="P945" t="str">
        <f t="shared" si="59"/>
        <v>Jul</v>
      </c>
    </row>
    <row r="946" spans="1:16" x14ac:dyDescent="0.25">
      <c r="A946">
        <v>1086</v>
      </c>
      <c r="B946" s="1">
        <v>45288</v>
      </c>
      <c r="C946">
        <f t="shared" si="56"/>
        <v>21540.171599999998</v>
      </c>
      <c r="D946">
        <v>46</v>
      </c>
      <c r="E946">
        <v>83.86</v>
      </c>
      <c r="F946">
        <v>526.14</v>
      </c>
      <c r="G946">
        <v>0.11</v>
      </c>
      <c r="H946" t="str">
        <f>PROPER(TRIM(sales_data!C946))</f>
        <v>Bob</v>
      </c>
      <c r="I946" t="str">
        <f>PROPER(TRIM(sales_data!D946))</f>
        <v>West</v>
      </c>
      <c r="J946" t="str">
        <f>PROPER(TRIM(sales_data!G946))</f>
        <v>Furniture</v>
      </c>
      <c r="K946" t="str">
        <f>PROPER(TRIM(sales_data!J946))</f>
        <v>Returning</v>
      </c>
      <c r="L946" t="str">
        <f>PROPER(TRIM(sales_data!L946))</f>
        <v>Credit Card</v>
      </c>
      <c r="M946" t="str">
        <f>PROPER(TRIM(sales_data!M946))</f>
        <v>Online</v>
      </c>
      <c r="N946">
        <f t="shared" si="57"/>
        <v>442.28</v>
      </c>
      <c r="O946">
        <f t="shared" si="58"/>
        <v>20344.879999999997</v>
      </c>
      <c r="P946" t="str">
        <f t="shared" si="59"/>
        <v>Dec</v>
      </c>
    </row>
    <row r="947" spans="1:16" x14ac:dyDescent="0.25">
      <c r="A947">
        <v>1056</v>
      </c>
      <c r="B947" s="1">
        <v>44940</v>
      </c>
      <c r="C947">
        <f t="shared" si="56"/>
        <v>51687</v>
      </c>
      <c r="D947">
        <v>25</v>
      </c>
      <c r="E947">
        <v>2361.7399999999998</v>
      </c>
      <c r="F947">
        <v>2584.35</v>
      </c>
      <c r="G947">
        <v>0.2</v>
      </c>
      <c r="H947" t="str">
        <f>PROPER(TRIM(sales_data!C947))</f>
        <v>Charlie</v>
      </c>
      <c r="I947" t="str">
        <f>PROPER(TRIM(sales_data!D947))</f>
        <v>West</v>
      </c>
      <c r="J947" t="str">
        <f>PROPER(TRIM(sales_data!G947))</f>
        <v>Food</v>
      </c>
      <c r="K947" t="str">
        <f>PROPER(TRIM(sales_data!J947))</f>
        <v>Returning</v>
      </c>
      <c r="L947" t="str">
        <f>PROPER(TRIM(sales_data!L947))</f>
        <v>Cash</v>
      </c>
      <c r="M947" t="str">
        <f>PROPER(TRIM(sales_data!M947))</f>
        <v>Online</v>
      </c>
      <c r="N947">
        <f t="shared" si="57"/>
        <v>222.61000000000013</v>
      </c>
      <c r="O947">
        <f t="shared" si="58"/>
        <v>5565.2500000000036</v>
      </c>
      <c r="P947" t="str">
        <f t="shared" si="59"/>
        <v>Jan</v>
      </c>
    </row>
    <row r="948" spans="1:16" x14ac:dyDescent="0.25">
      <c r="A948">
        <v>1094</v>
      </c>
      <c r="B948" s="1">
        <v>44938</v>
      </c>
      <c r="C948">
        <f t="shared" si="56"/>
        <v>143719.68599999999</v>
      </c>
      <c r="D948">
        <v>38</v>
      </c>
      <c r="E948">
        <v>3443.98</v>
      </c>
      <c r="F948">
        <v>3820.3</v>
      </c>
      <c r="G948">
        <v>0.01</v>
      </c>
      <c r="H948" t="str">
        <f>PROPER(TRIM(sales_data!C948))</f>
        <v>Eve</v>
      </c>
      <c r="I948" t="str">
        <f>PROPER(TRIM(sales_data!D948))</f>
        <v>West</v>
      </c>
      <c r="J948" t="str">
        <f>PROPER(TRIM(sales_data!G948))</f>
        <v>Food</v>
      </c>
      <c r="K948" t="str">
        <f>PROPER(TRIM(sales_data!J948))</f>
        <v>Returning</v>
      </c>
      <c r="L948" t="str">
        <f>PROPER(TRIM(sales_data!L948))</f>
        <v>Credit Card</v>
      </c>
      <c r="M948" t="str">
        <f>PROPER(TRIM(sales_data!M948))</f>
        <v>Retail</v>
      </c>
      <c r="N948">
        <f t="shared" si="57"/>
        <v>376.32000000000016</v>
      </c>
      <c r="O948">
        <f t="shared" si="58"/>
        <v>14300.160000000007</v>
      </c>
      <c r="P948" t="str">
        <f t="shared" si="59"/>
        <v>Jan</v>
      </c>
    </row>
    <row r="949" spans="1:16" x14ac:dyDescent="0.25">
      <c r="A949">
        <v>1063</v>
      </c>
      <c r="B949" s="1">
        <v>45013</v>
      </c>
      <c r="C949">
        <f t="shared" si="56"/>
        <v>61721.351999999635</v>
      </c>
      <c r="D949">
        <v>42</v>
      </c>
      <c r="E949">
        <v>1170.07</v>
      </c>
      <c r="F949">
        <v>1669.94999999999</v>
      </c>
      <c r="G949">
        <v>0.12</v>
      </c>
      <c r="H949" t="str">
        <f>PROPER(TRIM(sales_data!C949))</f>
        <v>Charlie</v>
      </c>
      <c r="I949" t="str">
        <f>PROPER(TRIM(sales_data!D949))</f>
        <v>South</v>
      </c>
      <c r="J949" t="str">
        <f>PROPER(TRIM(sales_data!G949))</f>
        <v>Food</v>
      </c>
      <c r="K949" t="str">
        <f>PROPER(TRIM(sales_data!J949))</f>
        <v>Returning</v>
      </c>
      <c r="L949" t="str">
        <f>PROPER(TRIM(sales_data!L949))</f>
        <v>Bank Transfer</v>
      </c>
      <c r="M949" t="str">
        <f>PROPER(TRIM(sales_data!M949))</f>
        <v>Retail</v>
      </c>
      <c r="N949">
        <f t="shared" si="57"/>
        <v>499.8799999999901</v>
      </c>
      <c r="O949">
        <f t="shared" si="58"/>
        <v>20994.959999999584</v>
      </c>
      <c r="P949" t="str">
        <f t="shared" si="59"/>
        <v>Mar</v>
      </c>
    </row>
    <row r="950" spans="1:16" x14ac:dyDescent="0.25">
      <c r="A950">
        <v>1048</v>
      </c>
      <c r="B950" s="1">
        <v>44938</v>
      </c>
      <c r="C950">
        <f t="shared" si="56"/>
        <v>38136.815200000005</v>
      </c>
      <c r="D950">
        <v>47</v>
      </c>
      <c r="E950">
        <v>702.44</v>
      </c>
      <c r="F950">
        <v>1067.6600000000001</v>
      </c>
      <c r="G950">
        <v>0.24</v>
      </c>
      <c r="H950" t="str">
        <f>PROPER(TRIM(sales_data!C950))</f>
        <v>Charlie</v>
      </c>
      <c r="I950" t="str">
        <f>PROPER(TRIM(sales_data!D950))</f>
        <v>East</v>
      </c>
      <c r="J950" t="str">
        <f>PROPER(TRIM(sales_data!G950))</f>
        <v>Clothing</v>
      </c>
      <c r="K950" t="str">
        <f>PROPER(TRIM(sales_data!J950))</f>
        <v>New</v>
      </c>
      <c r="L950" t="str">
        <f>PROPER(TRIM(sales_data!L950))</f>
        <v>Cash</v>
      </c>
      <c r="M950" t="str">
        <f>PROPER(TRIM(sales_data!M950))</f>
        <v>Retail</v>
      </c>
      <c r="N950">
        <f t="shared" si="57"/>
        <v>365.22</v>
      </c>
      <c r="O950">
        <f t="shared" si="58"/>
        <v>17165.34</v>
      </c>
      <c r="P950" t="str">
        <f t="shared" si="59"/>
        <v>Jan</v>
      </c>
    </row>
    <row r="951" spans="1:16" x14ac:dyDescent="0.25">
      <c r="A951">
        <v>1061</v>
      </c>
      <c r="B951" s="1">
        <v>44951</v>
      </c>
      <c r="C951">
        <f t="shared" si="56"/>
        <v>130156.67279999971</v>
      </c>
      <c r="D951">
        <v>38</v>
      </c>
      <c r="E951">
        <v>4440.8599999999997</v>
      </c>
      <c r="F951">
        <v>4506.8099999999904</v>
      </c>
      <c r="G951">
        <v>0.24</v>
      </c>
      <c r="H951" t="str">
        <f>PROPER(TRIM(sales_data!C951))</f>
        <v>Bob</v>
      </c>
      <c r="I951" t="str">
        <f>PROPER(TRIM(sales_data!D951))</f>
        <v>East</v>
      </c>
      <c r="J951" t="str">
        <f>PROPER(TRIM(sales_data!G951))</f>
        <v>Furniture</v>
      </c>
      <c r="K951" t="str">
        <f>PROPER(TRIM(sales_data!J951))</f>
        <v>Returning</v>
      </c>
      <c r="L951" t="str">
        <f>PROPER(TRIM(sales_data!L951))</f>
        <v>Bank Transfer</v>
      </c>
      <c r="M951" t="str">
        <f>PROPER(TRIM(sales_data!M951))</f>
        <v>Online</v>
      </c>
      <c r="N951">
        <f t="shared" si="57"/>
        <v>65.949999999990723</v>
      </c>
      <c r="O951">
        <f t="shared" si="58"/>
        <v>2506.0999999996475</v>
      </c>
      <c r="P951" t="str">
        <f t="shared" si="59"/>
        <v>Jan</v>
      </c>
    </row>
    <row r="952" spans="1:16" x14ac:dyDescent="0.25">
      <c r="A952">
        <v>1081</v>
      </c>
      <c r="B952" s="1">
        <v>45227</v>
      </c>
      <c r="C952">
        <f t="shared" si="56"/>
        <v>30441.109499999999</v>
      </c>
      <c r="D952">
        <v>23</v>
      </c>
      <c r="E952">
        <v>1411.37</v>
      </c>
      <c r="F952">
        <v>1675.35</v>
      </c>
      <c r="G952">
        <v>0.21</v>
      </c>
      <c r="H952" t="str">
        <f>PROPER(TRIM(sales_data!C952))</f>
        <v>Charlie</v>
      </c>
      <c r="I952" t="str">
        <f>PROPER(TRIM(sales_data!D952))</f>
        <v>North</v>
      </c>
      <c r="J952" t="str">
        <f>PROPER(TRIM(sales_data!G952))</f>
        <v>Food</v>
      </c>
      <c r="K952" t="str">
        <f>PROPER(TRIM(sales_data!J952))</f>
        <v>New</v>
      </c>
      <c r="L952" t="str">
        <f>PROPER(TRIM(sales_data!L952))</f>
        <v>Cash</v>
      </c>
      <c r="M952" t="str">
        <f>PROPER(TRIM(sales_data!M952))</f>
        <v>Retail</v>
      </c>
      <c r="N952">
        <f t="shared" si="57"/>
        <v>263.98</v>
      </c>
      <c r="O952">
        <f t="shared" si="58"/>
        <v>6071.5400000000009</v>
      </c>
      <c r="P952" t="str">
        <f t="shared" si="59"/>
        <v>Oct</v>
      </c>
    </row>
    <row r="953" spans="1:16" x14ac:dyDescent="0.25">
      <c r="A953">
        <v>1026</v>
      </c>
      <c r="B953" s="1">
        <v>45169</v>
      </c>
      <c r="C953">
        <f t="shared" si="56"/>
        <v>34184.979999999996</v>
      </c>
      <c r="D953">
        <v>25</v>
      </c>
      <c r="E953">
        <v>1156.8800000000001</v>
      </c>
      <c r="F953">
        <v>1454.68</v>
      </c>
      <c r="G953">
        <v>0.06</v>
      </c>
      <c r="H953" t="str">
        <f>PROPER(TRIM(sales_data!C953))</f>
        <v>Alice</v>
      </c>
      <c r="I953" t="str">
        <f>PROPER(TRIM(sales_data!D953))</f>
        <v>East</v>
      </c>
      <c r="J953" t="str">
        <f>PROPER(TRIM(sales_data!G953))</f>
        <v>Electronics</v>
      </c>
      <c r="K953" t="str">
        <f>PROPER(TRIM(sales_data!J953))</f>
        <v>Returning</v>
      </c>
      <c r="L953" t="str">
        <f>PROPER(TRIM(sales_data!L953))</f>
        <v>Credit Card</v>
      </c>
      <c r="M953" t="str">
        <f>PROPER(TRIM(sales_data!M953))</f>
        <v>Online</v>
      </c>
      <c r="N953">
        <f t="shared" si="57"/>
        <v>297.79999999999995</v>
      </c>
      <c r="O953">
        <f t="shared" si="58"/>
        <v>7444.9999999999991</v>
      </c>
      <c r="P953" t="str">
        <f t="shared" si="59"/>
        <v>Aug</v>
      </c>
    </row>
    <row r="954" spans="1:16" x14ac:dyDescent="0.25">
      <c r="A954">
        <v>1036</v>
      </c>
      <c r="B954" s="1">
        <v>45048</v>
      </c>
      <c r="C954">
        <f t="shared" si="56"/>
        <v>171394.88939999999</v>
      </c>
      <c r="D954">
        <v>42</v>
      </c>
      <c r="E954">
        <v>4292.63</v>
      </c>
      <c r="F954">
        <v>4387.99</v>
      </c>
      <c r="G954">
        <v>7.0000000000000007E-2</v>
      </c>
      <c r="H954" t="str">
        <f>PROPER(TRIM(sales_data!C954))</f>
        <v>David</v>
      </c>
      <c r="I954" t="str">
        <f>PROPER(TRIM(sales_data!D954))</f>
        <v>North</v>
      </c>
      <c r="J954" t="str">
        <f>PROPER(TRIM(sales_data!G954))</f>
        <v>Furniture</v>
      </c>
      <c r="K954" t="str">
        <f>PROPER(TRIM(sales_data!J954))</f>
        <v>New</v>
      </c>
      <c r="L954" t="str">
        <f>PROPER(TRIM(sales_data!L954))</f>
        <v>Credit Card</v>
      </c>
      <c r="M954" t="str">
        <f>PROPER(TRIM(sales_data!M954))</f>
        <v>Retail</v>
      </c>
      <c r="N954">
        <f t="shared" si="57"/>
        <v>95.359999999999673</v>
      </c>
      <c r="O954">
        <f t="shared" si="58"/>
        <v>4005.1199999999862</v>
      </c>
      <c r="P954" t="str">
        <f t="shared" si="59"/>
        <v>May</v>
      </c>
    </row>
    <row r="955" spans="1:16" x14ac:dyDescent="0.25">
      <c r="A955">
        <v>1001</v>
      </c>
      <c r="B955" s="1">
        <v>45073</v>
      </c>
      <c r="C955">
        <f t="shared" si="56"/>
        <v>22424.85</v>
      </c>
      <c r="D955">
        <v>7</v>
      </c>
      <c r="E955">
        <v>4094.68</v>
      </c>
      <c r="F955">
        <v>4576.5</v>
      </c>
      <c r="G955">
        <v>0.3</v>
      </c>
      <c r="H955" t="str">
        <f>PROPER(TRIM(sales_data!C955))</f>
        <v>Alice</v>
      </c>
      <c r="I955" t="str">
        <f>PROPER(TRIM(sales_data!D955))</f>
        <v>South</v>
      </c>
      <c r="J955" t="str">
        <f>PROPER(TRIM(sales_data!G955))</f>
        <v>Electronics</v>
      </c>
      <c r="K955" t="str">
        <f>PROPER(TRIM(sales_data!J955))</f>
        <v>New</v>
      </c>
      <c r="L955" t="str">
        <f>PROPER(TRIM(sales_data!L955))</f>
        <v>Cash</v>
      </c>
      <c r="M955" t="str">
        <f>PROPER(TRIM(sales_data!M955))</f>
        <v>Retail</v>
      </c>
      <c r="N955">
        <f t="shared" si="57"/>
        <v>481.82000000000016</v>
      </c>
      <c r="O955">
        <f t="shared" si="58"/>
        <v>3372.7400000000011</v>
      </c>
      <c r="P955" t="str">
        <f t="shared" si="59"/>
        <v>May</v>
      </c>
    </row>
    <row r="956" spans="1:16" x14ac:dyDescent="0.25">
      <c r="A956">
        <v>1008</v>
      </c>
      <c r="B956" s="1">
        <v>44981</v>
      </c>
      <c r="C956">
        <f t="shared" si="56"/>
        <v>50476.568999999996</v>
      </c>
      <c r="D956">
        <v>22</v>
      </c>
      <c r="E956">
        <v>2269.3200000000002</v>
      </c>
      <c r="F956">
        <v>2365.35</v>
      </c>
      <c r="G956">
        <v>0.03</v>
      </c>
      <c r="H956" t="str">
        <f>PROPER(TRIM(sales_data!C956))</f>
        <v>Eve</v>
      </c>
      <c r="I956" t="str">
        <f>PROPER(TRIM(sales_data!D956))</f>
        <v>West</v>
      </c>
      <c r="J956" t="str">
        <f>PROPER(TRIM(sales_data!G956))</f>
        <v>Electronics</v>
      </c>
      <c r="K956" t="str">
        <f>PROPER(TRIM(sales_data!J956))</f>
        <v>New</v>
      </c>
      <c r="L956" t="str">
        <f>PROPER(TRIM(sales_data!L956))</f>
        <v>Cash</v>
      </c>
      <c r="M956" t="str">
        <f>PROPER(TRIM(sales_data!M956))</f>
        <v>Retail</v>
      </c>
      <c r="N956">
        <f t="shared" si="57"/>
        <v>96.029999999999745</v>
      </c>
      <c r="O956">
        <f t="shared" si="58"/>
        <v>2112.6599999999944</v>
      </c>
      <c r="P956" t="str">
        <f t="shared" si="59"/>
        <v>Feb</v>
      </c>
    </row>
    <row r="957" spans="1:16" x14ac:dyDescent="0.25">
      <c r="A957">
        <v>1099</v>
      </c>
      <c r="B957" s="1">
        <v>45164</v>
      </c>
      <c r="C957">
        <f t="shared" si="56"/>
        <v>41484.989500000003</v>
      </c>
      <c r="D957">
        <v>17</v>
      </c>
      <c r="E957">
        <v>2471.73</v>
      </c>
      <c r="F957">
        <v>2568.73</v>
      </c>
      <c r="G957">
        <v>0.05</v>
      </c>
      <c r="H957" t="str">
        <f>PROPER(TRIM(sales_data!C957))</f>
        <v>David</v>
      </c>
      <c r="I957" t="str">
        <f>PROPER(TRIM(sales_data!D957))</f>
        <v>West</v>
      </c>
      <c r="J957" t="str">
        <f>PROPER(TRIM(sales_data!G957))</f>
        <v>Food</v>
      </c>
      <c r="K957" t="str">
        <f>PROPER(TRIM(sales_data!J957))</f>
        <v>New</v>
      </c>
      <c r="L957" t="str">
        <f>PROPER(TRIM(sales_data!L957))</f>
        <v>Cash</v>
      </c>
      <c r="M957" t="str">
        <f>PROPER(TRIM(sales_data!M957))</f>
        <v>Retail</v>
      </c>
      <c r="N957">
        <f t="shared" si="57"/>
        <v>97</v>
      </c>
      <c r="O957">
        <f t="shared" si="58"/>
        <v>1649</v>
      </c>
      <c r="P957" t="str">
        <f t="shared" si="59"/>
        <v>Aug</v>
      </c>
    </row>
    <row r="958" spans="1:16" x14ac:dyDescent="0.25">
      <c r="A958">
        <v>1052</v>
      </c>
      <c r="B958" s="1">
        <v>45282</v>
      </c>
      <c r="C958">
        <f t="shared" si="56"/>
        <v>27411.091199999999</v>
      </c>
      <c r="D958">
        <v>18</v>
      </c>
      <c r="E958">
        <v>1127.8599999999999</v>
      </c>
      <c r="F958">
        <v>1586.29</v>
      </c>
      <c r="G958">
        <v>0.04</v>
      </c>
      <c r="H958" t="str">
        <f>PROPER(TRIM(sales_data!C958))</f>
        <v>Charlie</v>
      </c>
      <c r="I958" t="str">
        <f>PROPER(TRIM(sales_data!D958))</f>
        <v>West</v>
      </c>
      <c r="J958" t="str">
        <f>PROPER(TRIM(sales_data!G958))</f>
        <v>Food</v>
      </c>
      <c r="K958" t="str">
        <f>PROPER(TRIM(sales_data!J958))</f>
        <v>New</v>
      </c>
      <c r="L958" t="str">
        <f>PROPER(TRIM(sales_data!L958))</f>
        <v>Credit Card</v>
      </c>
      <c r="M958" t="str">
        <f>PROPER(TRIM(sales_data!M958))</f>
        <v>Online</v>
      </c>
      <c r="N958">
        <f t="shared" si="57"/>
        <v>458.43000000000006</v>
      </c>
      <c r="O958">
        <f t="shared" si="58"/>
        <v>8251.7400000000016</v>
      </c>
      <c r="P958" t="str">
        <f t="shared" si="59"/>
        <v>Dec</v>
      </c>
    </row>
    <row r="959" spans="1:16" x14ac:dyDescent="0.25">
      <c r="A959">
        <v>1079</v>
      </c>
      <c r="B959" s="1">
        <v>45099</v>
      </c>
      <c r="C959">
        <f t="shared" si="56"/>
        <v>29791.313999999998</v>
      </c>
      <c r="D959">
        <v>49</v>
      </c>
      <c r="E959">
        <v>437.59</v>
      </c>
      <c r="F959">
        <v>675.54</v>
      </c>
      <c r="G959">
        <v>0.1</v>
      </c>
      <c r="H959" t="str">
        <f>PROPER(TRIM(sales_data!C959))</f>
        <v>Eve</v>
      </c>
      <c r="I959" t="str">
        <f>PROPER(TRIM(sales_data!D959))</f>
        <v>East</v>
      </c>
      <c r="J959" t="str">
        <f>PROPER(TRIM(sales_data!G959))</f>
        <v>Clothing</v>
      </c>
      <c r="K959" t="str">
        <f>PROPER(TRIM(sales_data!J959))</f>
        <v>Returning</v>
      </c>
      <c r="L959" t="str">
        <f>PROPER(TRIM(sales_data!L959))</f>
        <v>Cash</v>
      </c>
      <c r="M959" t="str">
        <f>PROPER(TRIM(sales_data!M959))</f>
        <v>Online</v>
      </c>
      <c r="N959">
        <f t="shared" si="57"/>
        <v>237.95</v>
      </c>
      <c r="O959">
        <f t="shared" si="58"/>
        <v>11659.55</v>
      </c>
      <c r="P959" t="str">
        <f t="shared" si="59"/>
        <v>Jun</v>
      </c>
    </row>
    <row r="960" spans="1:16" x14ac:dyDescent="0.25">
      <c r="A960">
        <v>1047</v>
      </c>
      <c r="B960" s="1">
        <v>45147</v>
      </c>
      <c r="C960">
        <f t="shared" si="56"/>
        <v>112901.003</v>
      </c>
      <c r="D960">
        <v>41</v>
      </c>
      <c r="E960">
        <v>2888.49</v>
      </c>
      <c r="F960">
        <v>2929.45</v>
      </c>
      <c r="G960">
        <v>0.06</v>
      </c>
      <c r="H960" t="str">
        <f>PROPER(TRIM(sales_data!C960))</f>
        <v>David</v>
      </c>
      <c r="I960" t="str">
        <f>PROPER(TRIM(sales_data!D960))</f>
        <v>North</v>
      </c>
      <c r="J960" t="str">
        <f>PROPER(TRIM(sales_data!G960))</f>
        <v>Clothing</v>
      </c>
      <c r="K960" t="str">
        <f>PROPER(TRIM(sales_data!J960))</f>
        <v>New</v>
      </c>
      <c r="L960" t="str">
        <f>PROPER(TRIM(sales_data!L960))</f>
        <v>Cash</v>
      </c>
      <c r="M960" t="str">
        <f>PROPER(TRIM(sales_data!M960))</f>
        <v>Retail</v>
      </c>
      <c r="N960">
        <f t="shared" si="57"/>
        <v>40.960000000000036</v>
      </c>
      <c r="O960">
        <f t="shared" si="58"/>
        <v>1679.3600000000015</v>
      </c>
      <c r="P960" t="str">
        <f t="shared" si="59"/>
        <v>Aug</v>
      </c>
    </row>
    <row r="961" spans="1:16" x14ac:dyDescent="0.25">
      <c r="A961">
        <v>1056</v>
      </c>
      <c r="B961" s="1">
        <v>45045</v>
      </c>
      <c r="C961">
        <f t="shared" si="56"/>
        <v>7139.3199999999988</v>
      </c>
      <c r="D961">
        <v>10</v>
      </c>
      <c r="E961">
        <v>536.80999999999995</v>
      </c>
      <c r="F961">
        <v>839.92</v>
      </c>
      <c r="G961">
        <v>0.15</v>
      </c>
      <c r="H961" t="str">
        <f>PROPER(TRIM(sales_data!C961))</f>
        <v>Charlie</v>
      </c>
      <c r="I961" t="str">
        <f>PROPER(TRIM(sales_data!D961))</f>
        <v>North</v>
      </c>
      <c r="J961" t="str">
        <f>PROPER(TRIM(sales_data!G961))</f>
        <v>Clothing</v>
      </c>
      <c r="K961" t="str">
        <f>PROPER(TRIM(sales_data!J961))</f>
        <v>Returning</v>
      </c>
      <c r="L961" t="str">
        <f>PROPER(TRIM(sales_data!L961))</f>
        <v>Bank Transfer</v>
      </c>
      <c r="M961" t="str">
        <f>PROPER(TRIM(sales_data!M961))</f>
        <v>Online</v>
      </c>
      <c r="N961">
        <f t="shared" si="57"/>
        <v>303.11</v>
      </c>
      <c r="O961">
        <f t="shared" si="58"/>
        <v>3031.1000000000004</v>
      </c>
      <c r="P961" t="str">
        <f t="shared" si="59"/>
        <v>Apr</v>
      </c>
    </row>
    <row r="962" spans="1:16" x14ac:dyDescent="0.25">
      <c r="A962">
        <v>1086</v>
      </c>
      <c r="B962" s="1">
        <v>45235</v>
      </c>
      <c r="C962">
        <f t="shared" ref="C962:C1001" si="60">(D962*F962)*(1-G962)</f>
        <v>22177.679999999917</v>
      </c>
      <c r="D962">
        <v>10</v>
      </c>
      <c r="E962">
        <v>2273.91</v>
      </c>
      <c r="F962">
        <v>2578.7999999999902</v>
      </c>
      <c r="G962">
        <v>0.14000000000000001</v>
      </c>
      <c r="H962" t="str">
        <f>PROPER(TRIM(sales_data!C962))</f>
        <v>Alice</v>
      </c>
      <c r="I962" t="str">
        <f>PROPER(TRIM(sales_data!D962))</f>
        <v>South</v>
      </c>
      <c r="J962" t="str">
        <f>PROPER(TRIM(sales_data!G962))</f>
        <v>Furniture</v>
      </c>
      <c r="K962" t="str">
        <f>PROPER(TRIM(sales_data!J962))</f>
        <v>New</v>
      </c>
      <c r="L962" t="str">
        <f>PROPER(TRIM(sales_data!L962))</f>
        <v>Cash</v>
      </c>
      <c r="M962" t="str">
        <f>PROPER(TRIM(sales_data!M962))</f>
        <v>Online</v>
      </c>
      <c r="N962">
        <f t="shared" ref="N962:N1001" si="61">F962-E962</f>
        <v>304.88999999999032</v>
      </c>
      <c r="O962">
        <f t="shared" ref="O962:O1001" si="62">N962*D962</f>
        <v>3048.8999999999032</v>
      </c>
      <c r="P962" t="str">
        <f t="shared" ref="P962:P1001" si="63">TEXT(B962,"mmm")</f>
        <v>Nov</v>
      </c>
    </row>
    <row r="963" spans="1:16" x14ac:dyDescent="0.25">
      <c r="A963">
        <v>1014</v>
      </c>
      <c r="B963" s="1">
        <v>45109</v>
      </c>
      <c r="C963">
        <f t="shared" si="60"/>
        <v>24257.527699999999</v>
      </c>
      <c r="D963">
        <v>7</v>
      </c>
      <c r="E963">
        <v>4705.46</v>
      </c>
      <c r="F963">
        <v>4747.07</v>
      </c>
      <c r="G963">
        <v>0.27</v>
      </c>
      <c r="H963" t="str">
        <f>PROPER(TRIM(sales_data!C963))</f>
        <v>David</v>
      </c>
      <c r="I963" t="str">
        <f>PROPER(TRIM(sales_data!D963))</f>
        <v>East</v>
      </c>
      <c r="J963" t="str">
        <f>PROPER(TRIM(sales_data!G963))</f>
        <v>Clothing</v>
      </c>
      <c r="K963" t="str">
        <f>PROPER(TRIM(sales_data!J963))</f>
        <v>New</v>
      </c>
      <c r="L963" t="str">
        <f>PROPER(TRIM(sales_data!L963))</f>
        <v>Bank Transfer</v>
      </c>
      <c r="M963" t="str">
        <f>PROPER(TRIM(sales_data!M963))</f>
        <v>Retail</v>
      </c>
      <c r="N963">
        <f t="shared" si="61"/>
        <v>41.609999999999673</v>
      </c>
      <c r="O963">
        <f t="shared" si="62"/>
        <v>291.26999999999771</v>
      </c>
      <c r="P963" t="str">
        <f t="shared" si="63"/>
        <v>Jul</v>
      </c>
    </row>
    <row r="964" spans="1:16" x14ac:dyDescent="0.25">
      <c r="A964">
        <v>1090</v>
      </c>
      <c r="B964" s="1">
        <v>45214</v>
      </c>
      <c r="C964">
        <f t="shared" si="60"/>
        <v>249625.88639999999</v>
      </c>
      <c r="D964">
        <v>48</v>
      </c>
      <c r="E964">
        <v>4766.53</v>
      </c>
      <c r="F964">
        <v>5253.07</v>
      </c>
      <c r="G964">
        <v>0.01</v>
      </c>
      <c r="H964" t="str">
        <f>PROPER(TRIM(sales_data!C964))</f>
        <v>Charlie</v>
      </c>
      <c r="I964" t="str">
        <f>PROPER(TRIM(sales_data!D964))</f>
        <v>South</v>
      </c>
      <c r="J964" t="str">
        <f>PROPER(TRIM(sales_data!G964))</f>
        <v>Electronics</v>
      </c>
      <c r="K964" t="str">
        <f>PROPER(TRIM(sales_data!J964))</f>
        <v>Returning</v>
      </c>
      <c r="L964" t="str">
        <f>PROPER(TRIM(sales_data!L964))</f>
        <v>Bank Transfer</v>
      </c>
      <c r="M964" t="str">
        <f>PROPER(TRIM(sales_data!M964))</f>
        <v>Online</v>
      </c>
      <c r="N964">
        <f t="shared" si="61"/>
        <v>486.53999999999996</v>
      </c>
      <c r="O964">
        <f t="shared" si="62"/>
        <v>23353.919999999998</v>
      </c>
      <c r="P964" t="str">
        <f t="shared" si="63"/>
        <v>Oct</v>
      </c>
    </row>
    <row r="965" spans="1:16" x14ac:dyDescent="0.25">
      <c r="A965">
        <v>1028</v>
      </c>
      <c r="B965" s="1">
        <v>45233</v>
      </c>
      <c r="C965">
        <f t="shared" si="60"/>
        <v>51685.091999999997</v>
      </c>
      <c r="D965">
        <v>38</v>
      </c>
      <c r="E965">
        <v>1234.69</v>
      </c>
      <c r="F965">
        <v>1511.26</v>
      </c>
      <c r="G965">
        <v>0.1</v>
      </c>
      <c r="H965" t="str">
        <f>PROPER(TRIM(sales_data!C965))</f>
        <v>Alice</v>
      </c>
      <c r="I965" t="str">
        <f>PROPER(TRIM(sales_data!D965))</f>
        <v>North</v>
      </c>
      <c r="J965" t="str">
        <f>PROPER(TRIM(sales_data!G965))</f>
        <v>Clothing</v>
      </c>
      <c r="K965" t="str">
        <f>PROPER(TRIM(sales_data!J965))</f>
        <v>New</v>
      </c>
      <c r="L965" t="str">
        <f>PROPER(TRIM(sales_data!L965))</f>
        <v>Bank Transfer</v>
      </c>
      <c r="M965" t="str">
        <f>PROPER(TRIM(sales_data!M965))</f>
        <v>Online</v>
      </c>
      <c r="N965">
        <f t="shared" si="61"/>
        <v>276.56999999999994</v>
      </c>
      <c r="O965">
        <f t="shared" si="62"/>
        <v>10509.659999999998</v>
      </c>
      <c r="P965" t="str">
        <f t="shared" si="63"/>
        <v>Nov</v>
      </c>
    </row>
    <row r="966" spans="1:16" x14ac:dyDescent="0.25">
      <c r="A966">
        <v>1087</v>
      </c>
      <c r="B966" s="1">
        <v>45226</v>
      </c>
      <c r="C966">
        <f t="shared" si="60"/>
        <v>75799.832399999999</v>
      </c>
      <c r="D966">
        <v>27</v>
      </c>
      <c r="E966">
        <v>3139.36</v>
      </c>
      <c r="F966">
        <v>3423.66</v>
      </c>
      <c r="G966">
        <v>0.18</v>
      </c>
      <c r="H966" t="str">
        <f>PROPER(TRIM(sales_data!C966))</f>
        <v>Eve</v>
      </c>
      <c r="I966" t="str">
        <f>PROPER(TRIM(sales_data!D966))</f>
        <v>North</v>
      </c>
      <c r="J966" t="str">
        <f>PROPER(TRIM(sales_data!G966))</f>
        <v>Food</v>
      </c>
      <c r="K966" t="str">
        <f>PROPER(TRIM(sales_data!J966))</f>
        <v>New</v>
      </c>
      <c r="L966" t="str">
        <f>PROPER(TRIM(sales_data!L966))</f>
        <v>Credit Card</v>
      </c>
      <c r="M966" t="str">
        <f>PROPER(TRIM(sales_data!M966))</f>
        <v>Online</v>
      </c>
      <c r="N966">
        <f t="shared" si="61"/>
        <v>284.29999999999973</v>
      </c>
      <c r="O966">
        <f t="shared" si="62"/>
        <v>7676.0999999999931</v>
      </c>
      <c r="P966" t="str">
        <f t="shared" si="63"/>
        <v>Oct</v>
      </c>
    </row>
    <row r="967" spans="1:16" x14ac:dyDescent="0.25">
      <c r="A967">
        <v>1078</v>
      </c>
      <c r="B967" s="1">
        <v>45008</v>
      </c>
      <c r="C967">
        <f t="shared" si="60"/>
        <v>72021.272400000002</v>
      </c>
      <c r="D967">
        <v>33</v>
      </c>
      <c r="E967">
        <v>2396.6799999999998</v>
      </c>
      <c r="F967">
        <v>2661.54</v>
      </c>
      <c r="G967">
        <v>0.18</v>
      </c>
      <c r="H967" t="str">
        <f>PROPER(TRIM(sales_data!C967))</f>
        <v>Eve</v>
      </c>
      <c r="I967" t="str">
        <f>PROPER(TRIM(sales_data!D967))</f>
        <v>West</v>
      </c>
      <c r="J967" t="str">
        <f>PROPER(TRIM(sales_data!G967))</f>
        <v>Clothing</v>
      </c>
      <c r="K967" t="str">
        <f>PROPER(TRIM(sales_data!J967))</f>
        <v>New</v>
      </c>
      <c r="L967" t="str">
        <f>PROPER(TRIM(sales_data!L967))</f>
        <v>Bank Transfer</v>
      </c>
      <c r="M967" t="str">
        <f>PROPER(TRIM(sales_data!M967))</f>
        <v>Online</v>
      </c>
      <c r="N967">
        <f t="shared" si="61"/>
        <v>264.86000000000013</v>
      </c>
      <c r="O967">
        <f t="shared" si="62"/>
        <v>8740.3800000000047</v>
      </c>
      <c r="P967" t="str">
        <f t="shared" si="63"/>
        <v>Mar</v>
      </c>
    </row>
    <row r="968" spans="1:16" x14ac:dyDescent="0.25">
      <c r="A968">
        <v>1088</v>
      </c>
      <c r="B968" s="1">
        <v>45137</v>
      </c>
      <c r="C968">
        <f t="shared" si="60"/>
        <v>4036.7539999999995</v>
      </c>
      <c r="D968">
        <v>1</v>
      </c>
      <c r="E968">
        <v>4384.6400000000003</v>
      </c>
      <c r="F968">
        <v>4693.8999999999996</v>
      </c>
      <c r="G968">
        <v>0.14000000000000001</v>
      </c>
      <c r="H968" t="str">
        <f>PROPER(TRIM(sales_data!C968))</f>
        <v>Eve</v>
      </c>
      <c r="I968" t="str">
        <f>PROPER(TRIM(sales_data!D968))</f>
        <v>East</v>
      </c>
      <c r="J968" t="str">
        <f>PROPER(TRIM(sales_data!G968))</f>
        <v>Furniture</v>
      </c>
      <c r="K968" t="str">
        <f>PROPER(TRIM(sales_data!J968))</f>
        <v>New</v>
      </c>
      <c r="L968" t="str">
        <f>PROPER(TRIM(sales_data!L968))</f>
        <v>Cash</v>
      </c>
      <c r="M968" t="str">
        <f>PROPER(TRIM(sales_data!M968))</f>
        <v>Retail</v>
      </c>
      <c r="N968">
        <f t="shared" si="61"/>
        <v>309.25999999999931</v>
      </c>
      <c r="O968">
        <f t="shared" si="62"/>
        <v>309.25999999999931</v>
      </c>
      <c r="P968" t="str">
        <f t="shared" si="63"/>
        <v>Jul</v>
      </c>
    </row>
    <row r="969" spans="1:16" x14ac:dyDescent="0.25">
      <c r="A969">
        <v>1002</v>
      </c>
      <c r="B969" s="1">
        <v>45076</v>
      </c>
      <c r="C969">
        <f t="shared" si="60"/>
        <v>51266.529599999994</v>
      </c>
      <c r="D969">
        <v>44</v>
      </c>
      <c r="E969">
        <v>1393.58</v>
      </c>
      <c r="F969">
        <v>1533.09</v>
      </c>
      <c r="G969">
        <v>0.24</v>
      </c>
      <c r="H969" t="str">
        <f>PROPER(TRIM(sales_data!C969))</f>
        <v>Eve</v>
      </c>
      <c r="I969" t="str">
        <f>PROPER(TRIM(sales_data!D969))</f>
        <v>North</v>
      </c>
      <c r="J969" t="str">
        <f>PROPER(TRIM(sales_data!G969))</f>
        <v>Furniture</v>
      </c>
      <c r="K969" t="str">
        <f>PROPER(TRIM(sales_data!J969))</f>
        <v>Returning</v>
      </c>
      <c r="L969" t="str">
        <f>PROPER(TRIM(sales_data!L969))</f>
        <v>Credit Card</v>
      </c>
      <c r="M969" t="str">
        <f>PROPER(TRIM(sales_data!M969))</f>
        <v>Retail</v>
      </c>
      <c r="N969">
        <f t="shared" si="61"/>
        <v>139.51</v>
      </c>
      <c r="O969">
        <f t="shared" si="62"/>
        <v>6138.44</v>
      </c>
      <c r="P969" t="str">
        <f t="shared" si="63"/>
        <v>May</v>
      </c>
    </row>
    <row r="970" spans="1:16" x14ac:dyDescent="0.25">
      <c r="A970">
        <v>1026</v>
      </c>
      <c r="B970" s="1">
        <v>44963</v>
      </c>
      <c r="C970">
        <f t="shared" si="60"/>
        <v>7299.7455999999665</v>
      </c>
      <c r="D970">
        <v>34</v>
      </c>
      <c r="E970">
        <v>68.33</v>
      </c>
      <c r="F970">
        <v>219.07999999999899</v>
      </c>
      <c r="G970">
        <v>0.02</v>
      </c>
      <c r="H970" t="str">
        <f>PROPER(TRIM(sales_data!C970))</f>
        <v>Bob</v>
      </c>
      <c r="I970" t="str">
        <f>PROPER(TRIM(sales_data!D970))</f>
        <v>West</v>
      </c>
      <c r="J970" t="str">
        <f>PROPER(TRIM(sales_data!G970))</f>
        <v>Electronics</v>
      </c>
      <c r="K970" t="str">
        <f>PROPER(TRIM(sales_data!J970))</f>
        <v>New</v>
      </c>
      <c r="L970" t="str">
        <f>PROPER(TRIM(sales_data!L970))</f>
        <v>Credit Card</v>
      </c>
      <c r="M970" t="str">
        <f>PROPER(TRIM(sales_data!M970))</f>
        <v>Online</v>
      </c>
      <c r="N970">
        <f t="shared" si="61"/>
        <v>150.74999999999898</v>
      </c>
      <c r="O970">
        <f t="shared" si="62"/>
        <v>5125.4999999999654</v>
      </c>
      <c r="P970" t="str">
        <f t="shared" si="63"/>
        <v>Feb</v>
      </c>
    </row>
    <row r="971" spans="1:16" x14ac:dyDescent="0.25">
      <c r="A971">
        <v>1014</v>
      </c>
      <c r="B971" s="1">
        <v>45278</v>
      </c>
      <c r="C971">
        <f t="shared" si="60"/>
        <v>3390.3296</v>
      </c>
      <c r="D971">
        <v>4</v>
      </c>
      <c r="E971">
        <v>854.68</v>
      </c>
      <c r="F971">
        <v>1115.24</v>
      </c>
      <c r="G971">
        <v>0.24</v>
      </c>
      <c r="H971" t="str">
        <f>PROPER(TRIM(sales_data!C971))</f>
        <v>David</v>
      </c>
      <c r="I971" t="str">
        <f>PROPER(TRIM(sales_data!D971))</f>
        <v>East</v>
      </c>
      <c r="J971" t="str">
        <f>PROPER(TRIM(sales_data!G971))</f>
        <v>Furniture</v>
      </c>
      <c r="K971" t="str">
        <f>PROPER(TRIM(sales_data!J971))</f>
        <v>New</v>
      </c>
      <c r="L971" t="str">
        <f>PROPER(TRIM(sales_data!L971))</f>
        <v>Credit Card</v>
      </c>
      <c r="M971" t="str">
        <f>PROPER(TRIM(sales_data!M971))</f>
        <v>Retail</v>
      </c>
      <c r="N971">
        <f t="shared" si="61"/>
        <v>260.56000000000006</v>
      </c>
      <c r="O971">
        <f t="shared" si="62"/>
        <v>1042.2400000000002</v>
      </c>
      <c r="P971" t="str">
        <f t="shared" si="63"/>
        <v>Dec</v>
      </c>
    </row>
    <row r="972" spans="1:16" x14ac:dyDescent="0.25">
      <c r="A972">
        <v>1059</v>
      </c>
      <c r="B972" s="1">
        <v>45238</v>
      </c>
      <c r="C972">
        <f t="shared" si="60"/>
        <v>31579.319</v>
      </c>
      <c r="D972">
        <v>17</v>
      </c>
      <c r="E972">
        <v>1780.14</v>
      </c>
      <c r="F972">
        <v>2185.42</v>
      </c>
      <c r="G972">
        <v>0.15</v>
      </c>
      <c r="H972" t="str">
        <f>PROPER(TRIM(sales_data!C972))</f>
        <v>David</v>
      </c>
      <c r="I972" t="str">
        <f>PROPER(TRIM(sales_data!D972))</f>
        <v>South</v>
      </c>
      <c r="J972" t="str">
        <f>PROPER(TRIM(sales_data!G972))</f>
        <v>Clothing</v>
      </c>
      <c r="K972" t="str">
        <f>PROPER(TRIM(sales_data!J972))</f>
        <v>Returning</v>
      </c>
      <c r="L972" t="str">
        <f>PROPER(TRIM(sales_data!L972))</f>
        <v>Credit Card</v>
      </c>
      <c r="M972" t="str">
        <f>PROPER(TRIM(sales_data!M972))</f>
        <v>Retail</v>
      </c>
      <c r="N972">
        <f t="shared" si="61"/>
        <v>405.28</v>
      </c>
      <c r="O972">
        <f t="shared" si="62"/>
        <v>6889.7599999999993</v>
      </c>
      <c r="P972" t="str">
        <f t="shared" si="63"/>
        <v>Nov</v>
      </c>
    </row>
    <row r="973" spans="1:16" x14ac:dyDescent="0.25">
      <c r="A973">
        <v>1056</v>
      </c>
      <c r="B973" s="1">
        <v>45287</v>
      </c>
      <c r="C973">
        <f t="shared" si="60"/>
        <v>6325.44</v>
      </c>
      <c r="D973">
        <v>4</v>
      </c>
      <c r="E973">
        <v>1612.82</v>
      </c>
      <c r="F973">
        <v>1647.25</v>
      </c>
      <c r="G973">
        <v>0.04</v>
      </c>
      <c r="H973" t="str">
        <f>PROPER(TRIM(sales_data!C973))</f>
        <v>Bob</v>
      </c>
      <c r="I973" t="str">
        <f>PROPER(TRIM(sales_data!D973))</f>
        <v>East</v>
      </c>
      <c r="J973" t="str">
        <f>PROPER(TRIM(sales_data!G973))</f>
        <v>Food</v>
      </c>
      <c r="K973" t="str">
        <f>PROPER(TRIM(sales_data!J973))</f>
        <v>Returning</v>
      </c>
      <c r="L973" t="str">
        <f>PROPER(TRIM(sales_data!L973))</f>
        <v>Credit Card</v>
      </c>
      <c r="M973" t="str">
        <f>PROPER(TRIM(sales_data!M973))</f>
        <v>Retail</v>
      </c>
      <c r="N973">
        <f t="shared" si="61"/>
        <v>34.430000000000064</v>
      </c>
      <c r="O973">
        <f t="shared" si="62"/>
        <v>137.72000000000025</v>
      </c>
      <c r="P973" t="str">
        <f t="shared" si="63"/>
        <v>Dec</v>
      </c>
    </row>
    <row r="974" spans="1:16" x14ac:dyDescent="0.25">
      <c r="A974">
        <v>1007</v>
      </c>
      <c r="B974" s="1">
        <v>44985</v>
      </c>
      <c r="C974">
        <f t="shared" si="60"/>
        <v>134126.95879999999</v>
      </c>
      <c r="D974">
        <v>43</v>
      </c>
      <c r="E974">
        <v>3967.25</v>
      </c>
      <c r="F974">
        <v>4272.92</v>
      </c>
      <c r="G974">
        <v>0.27</v>
      </c>
      <c r="H974" t="str">
        <f>PROPER(TRIM(sales_data!C974))</f>
        <v>Charlie</v>
      </c>
      <c r="I974" t="str">
        <f>PROPER(TRIM(sales_data!D974))</f>
        <v>East</v>
      </c>
      <c r="J974" t="str">
        <f>PROPER(TRIM(sales_data!G974))</f>
        <v>Furniture</v>
      </c>
      <c r="K974" t="str">
        <f>PROPER(TRIM(sales_data!J974))</f>
        <v>New</v>
      </c>
      <c r="L974" t="str">
        <f>PROPER(TRIM(sales_data!L974))</f>
        <v>Credit Card</v>
      </c>
      <c r="M974" t="str">
        <f>PROPER(TRIM(sales_data!M974))</f>
        <v>Online</v>
      </c>
      <c r="N974">
        <f t="shared" si="61"/>
        <v>305.67000000000007</v>
      </c>
      <c r="O974">
        <f t="shared" si="62"/>
        <v>13143.810000000003</v>
      </c>
      <c r="P974" t="str">
        <f t="shared" si="63"/>
        <v>Feb</v>
      </c>
    </row>
    <row r="975" spans="1:16" x14ac:dyDescent="0.25">
      <c r="A975">
        <v>1003</v>
      </c>
      <c r="B975" s="1">
        <v>45057</v>
      </c>
      <c r="C975">
        <f t="shared" si="60"/>
        <v>80535.546000000002</v>
      </c>
      <c r="D975">
        <v>26</v>
      </c>
      <c r="E975">
        <v>3418.78</v>
      </c>
      <c r="F975">
        <v>3824.1</v>
      </c>
      <c r="G975">
        <v>0.19</v>
      </c>
      <c r="H975" t="str">
        <f>PROPER(TRIM(sales_data!C975))</f>
        <v>Charlie</v>
      </c>
      <c r="I975" t="str">
        <f>PROPER(TRIM(sales_data!D975))</f>
        <v>North</v>
      </c>
      <c r="J975" t="str">
        <f>PROPER(TRIM(sales_data!G975))</f>
        <v>Electronics</v>
      </c>
      <c r="K975" t="str">
        <f>PROPER(TRIM(sales_data!J975))</f>
        <v>New</v>
      </c>
      <c r="L975" t="str">
        <f>PROPER(TRIM(sales_data!L975))</f>
        <v>Credit Card</v>
      </c>
      <c r="M975" t="str">
        <f>PROPER(TRIM(sales_data!M975))</f>
        <v>Online</v>
      </c>
      <c r="N975">
        <f t="shared" si="61"/>
        <v>405.31999999999971</v>
      </c>
      <c r="O975">
        <f t="shared" si="62"/>
        <v>10538.319999999992</v>
      </c>
      <c r="P975" t="str">
        <f t="shared" si="63"/>
        <v>May</v>
      </c>
    </row>
    <row r="976" spans="1:16" x14ac:dyDescent="0.25">
      <c r="A976">
        <v>1023</v>
      </c>
      <c r="B976" s="1">
        <v>45128</v>
      </c>
      <c r="C976">
        <f t="shared" si="60"/>
        <v>6154.8220000000001</v>
      </c>
      <c r="D976">
        <v>4</v>
      </c>
      <c r="E976">
        <v>1532.8</v>
      </c>
      <c r="F976">
        <v>1619.69</v>
      </c>
      <c r="G976">
        <v>0.05</v>
      </c>
      <c r="H976" t="str">
        <f>PROPER(TRIM(sales_data!C976))</f>
        <v>Eve</v>
      </c>
      <c r="I976" t="str">
        <f>PROPER(TRIM(sales_data!D976))</f>
        <v>North</v>
      </c>
      <c r="J976" t="str">
        <f>PROPER(TRIM(sales_data!G976))</f>
        <v>Clothing</v>
      </c>
      <c r="K976" t="str">
        <f>PROPER(TRIM(sales_data!J976))</f>
        <v>Returning</v>
      </c>
      <c r="L976" t="str">
        <f>PROPER(TRIM(sales_data!L976))</f>
        <v>Bank Transfer</v>
      </c>
      <c r="M976" t="str">
        <f>PROPER(TRIM(sales_data!M976))</f>
        <v>Retail</v>
      </c>
      <c r="N976">
        <f t="shared" si="61"/>
        <v>86.8900000000001</v>
      </c>
      <c r="O976">
        <f t="shared" si="62"/>
        <v>347.5600000000004</v>
      </c>
      <c r="P976" t="str">
        <f t="shared" si="63"/>
        <v>Jul</v>
      </c>
    </row>
    <row r="977" spans="1:16" x14ac:dyDescent="0.25">
      <c r="A977">
        <v>1018</v>
      </c>
      <c r="B977" s="1">
        <v>45169</v>
      </c>
      <c r="C977">
        <f t="shared" si="60"/>
        <v>2309.8580999999999</v>
      </c>
      <c r="D977">
        <v>1</v>
      </c>
      <c r="E977">
        <v>2315.83</v>
      </c>
      <c r="F977">
        <v>2333.19</v>
      </c>
      <c r="G977">
        <v>0.01</v>
      </c>
      <c r="H977" t="str">
        <f>PROPER(TRIM(sales_data!C977))</f>
        <v>Alice</v>
      </c>
      <c r="I977" t="str">
        <f>PROPER(TRIM(sales_data!D977))</f>
        <v>East</v>
      </c>
      <c r="J977" t="str">
        <f>PROPER(TRIM(sales_data!G977))</f>
        <v>Electronics</v>
      </c>
      <c r="K977" t="str">
        <f>PROPER(TRIM(sales_data!J977))</f>
        <v>New</v>
      </c>
      <c r="L977" t="str">
        <f>PROPER(TRIM(sales_data!L977))</f>
        <v>Cash</v>
      </c>
      <c r="M977" t="str">
        <f>PROPER(TRIM(sales_data!M977))</f>
        <v>Retail</v>
      </c>
      <c r="N977">
        <f t="shared" si="61"/>
        <v>17.360000000000127</v>
      </c>
      <c r="O977">
        <f t="shared" si="62"/>
        <v>17.360000000000127</v>
      </c>
      <c r="P977" t="str">
        <f t="shared" si="63"/>
        <v>Aug</v>
      </c>
    </row>
    <row r="978" spans="1:16" x14ac:dyDescent="0.25">
      <c r="A978">
        <v>1038</v>
      </c>
      <c r="B978" s="1">
        <v>44961</v>
      </c>
      <c r="C978">
        <f t="shared" si="60"/>
        <v>4611.5999999999995</v>
      </c>
      <c r="D978">
        <v>7</v>
      </c>
      <c r="E978">
        <v>523.02</v>
      </c>
      <c r="F978">
        <v>686.25</v>
      </c>
      <c r="G978">
        <v>0.04</v>
      </c>
      <c r="H978" t="str">
        <f>PROPER(TRIM(sales_data!C978))</f>
        <v>Charlie</v>
      </c>
      <c r="I978" t="str">
        <f>PROPER(TRIM(sales_data!D978))</f>
        <v>North</v>
      </c>
      <c r="J978" t="str">
        <f>PROPER(TRIM(sales_data!G978))</f>
        <v>Furniture</v>
      </c>
      <c r="K978" t="str">
        <f>PROPER(TRIM(sales_data!J978))</f>
        <v>Returning</v>
      </c>
      <c r="L978" t="str">
        <f>PROPER(TRIM(sales_data!L978))</f>
        <v>Cash</v>
      </c>
      <c r="M978" t="str">
        <f>PROPER(TRIM(sales_data!M978))</f>
        <v>Online</v>
      </c>
      <c r="N978">
        <f t="shared" si="61"/>
        <v>163.23000000000002</v>
      </c>
      <c r="O978">
        <f t="shared" si="62"/>
        <v>1142.6100000000001</v>
      </c>
      <c r="P978" t="str">
        <f t="shared" si="63"/>
        <v>Feb</v>
      </c>
    </row>
    <row r="979" spans="1:16" x14ac:dyDescent="0.25">
      <c r="A979">
        <v>1099</v>
      </c>
      <c r="B979" s="1">
        <v>45019</v>
      </c>
      <c r="C979">
        <f t="shared" si="60"/>
        <v>117932.64599999976</v>
      </c>
      <c r="D979">
        <v>30</v>
      </c>
      <c r="E979">
        <v>4495.82</v>
      </c>
      <c r="F979">
        <v>4794.0099999999902</v>
      </c>
      <c r="G979">
        <v>0.18</v>
      </c>
      <c r="H979" t="str">
        <f>PROPER(TRIM(sales_data!C979))</f>
        <v>Alice</v>
      </c>
      <c r="I979" t="str">
        <f>PROPER(TRIM(sales_data!D979))</f>
        <v>North</v>
      </c>
      <c r="J979" t="str">
        <f>PROPER(TRIM(sales_data!G979))</f>
        <v>Furniture</v>
      </c>
      <c r="K979" t="str">
        <f>PROPER(TRIM(sales_data!J979))</f>
        <v>New</v>
      </c>
      <c r="L979" t="str">
        <f>PROPER(TRIM(sales_data!L979))</f>
        <v>Bank Transfer</v>
      </c>
      <c r="M979" t="str">
        <f>PROPER(TRIM(sales_data!M979))</f>
        <v>Retail</v>
      </c>
      <c r="N979">
        <f t="shared" si="61"/>
        <v>298.1899999999905</v>
      </c>
      <c r="O979">
        <f t="shared" si="62"/>
        <v>8945.6999999997151</v>
      </c>
      <c r="P979" t="str">
        <f t="shared" si="63"/>
        <v>Apr</v>
      </c>
    </row>
    <row r="980" spans="1:16" x14ac:dyDescent="0.25">
      <c r="A980">
        <v>1015</v>
      </c>
      <c r="B980" s="1">
        <v>45133</v>
      </c>
      <c r="C980">
        <f t="shared" si="60"/>
        <v>40681.840499999998</v>
      </c>
      <c r="D980">
        <v>9</v>
      </c>
      <c r="E980">
        <v>4680.3500000000004</v>
      </c>
      <c r="F980">
        <v>4758.1099999999997</v>
      </c>
      <c r="G980">
        <v>0.05</v>
      </c>
      <c r="H980" t="str">
        <f>PROPER(TRIM(sales_data!C980))</f>
        <v>David</v>
      </c>
      <c r="I980" t="str">
        <f>PROPER(TRIM(sales_data!D980))</f>
        <v>North</v>
      </c>
      <c r="J980" t="str">
        <f>PROPER(TRIM(sales_data!G980))</f>
        <v>Electronics</v>
      </c>
      <c r="K980" t="str">
        <f>PROPER(TRIM(sales_data!J980))</f>
        <v>Returning</v>
      </c>
      <c r="L980" t="str">
        <f>PROPER(TRIM(sales_data!L980))</f>
        <v>Bank Transfer</v>
      </c>
      <c r="M980" t="str">
        <f>PROPER(TRIM(sales_data!M980))</f>
        <v>Online</v>
      </c>
      <c r="N980">
        <f t="shared" si="61"/>
        <v>77.759999999999309</v>
      </c>
      <c r="O980">
        <f t="shared" si="62"/>
        <v>699.83999999999378</v>
      </c>
      <c r="P980" t="str">
        <f t="shared" si="63"/>
        <v>Jul</v>
      </c>
    </row>
    <row r="981" spans="1:16" x14ac:dyDescent="0.25">
      <c r="A981">
        <v>1064</v>
      </c>
      <c r="B981" s="1">
        <v>45279</v>
      </c>
      <c r="C981">
        <f t="shared" si="60"/>
        <v>166617.91649999999</v>
      </c>
      <c r="D981">
        <v>35</v>
      </c>
      <c r="E981">
        <v>4900.03</v>
      </c>
      <c r="F981">
        <v>5118.83</v>
      </c>
      <c r="G981">
        <v>7.0000000000000007E-2</v>
      </c>
      <c r="H981" t="str">
        <f>PROPER(TRIM(sales_data!C981))</f>
        <v>Alice</v>
      </c>
      <c r="I981" t="str">
        <f>PROPER(TRIM(sales_data!D981))</f>
        <v>West</v>
      </c>
      <c r="J981" t="str">
        <f>PROPER(TRIM(sales_data!G981))</f>
        <v>Clothing</v>
      </c>
      <c r="K981" t="str">
        <f>PROPER(TRIM(sales_data!J981))</f>
        <v>Returning</v>
      </c>
      <c r="L981" t="str">
        <f>PROPER(TRIM(sales_data!L981))</f>
        <v>Credit Card</v>
      </c>
      <c r="M981" t="str">
        <f>PROPER(TRIM(sales_data!M981))</f>
        <v>Retail</v>
      </c>
      <c r="N981">
        <f t="shared" si="61"/>
        <v>218.80000000000018</v>
      </c>
      <c r="O981">
        <f t="shared" si="62"/>
        <v>7658.0000000000064</v>
      </c>
      <c r="P981" t="str">
        <f t="shared" si="63"/>
        <v>Dec</v>
      </c>
    </row>
    <row r="982" spans="1:16" x14ac:dyDescent="0.25">
      <c r="A982">
        <v>1089</v>
      </c>
      <c r="B982" s="1">
        <v>45258</v>
      </c>
      <c r="C982">
        <f t="shared" si="60"/>
        <v>36669.441599999998</v>
      </c>
      <c r="D982">
        <v>8</v>
      </c>
      <c r="E982">
        <v>4349.34</v>
      </c>
      <c r="F982">
        <v>4629.9799999999996</v>
      </c>
      <c r="G982">
        <v>0.01</v>
      </c>
      <c r="H982" t="str">
        <f>PROPER(TRIM(sales_data!C982))</f>
        <v>David</v>
      </c>
      <c r="I982" t="str">
        <f>PROPER(TRIM(sales_data!D982))</f>
        <v>West</v>
      </c>
      <c r="J982" t="str">
        <f>PROPER(TRIM(sales_data!G982))</f>
        <v>Furniture</v>
      </c>
      <c r="K982" t="str">
        <f>PROPER(TRIM(sales_data!J982))</f>
        <v>Returning</v>
      </c>
      <c r="L982" t="str">
        <f>PROPER(TRIM(sales_data!L982))</f>
        <v>Credit Card</v>
      </c>
      <c r="M982" t="str">
        <f>PROPER(TRIM(sales_data!M982))</f>
        <v>Online</v>
      </c>
      <c r="N982">
        <f t="shared" si="61"/>
        <v>280.63999999999942</v>
      </c>
      <c r="O982">
        <f t="shared" si="62"/>
        <v>2245.1199999999953</v>
      </c>
      <c r="P982" t="str">
        <f t="shared" si="63"/>
        <v>Nov</v>
      </c>
    </row>
    <row r="983" spans="1:16" x14ac:dyDescent="0.25">
      <c r="A983">
        <v>1028</v>
      </c>
      <c r="B983" s="1">
        <v>45231</v>
      </c>
      <c r="C983">
        <f t="shared" si="60"/>
        <v>22736.563200000001</v>
      </c>
      <c r="D983">
        <v>24</v>
      </c>
      <c r="E983">
        <v>911.11</v>
      </c>
      <c r="F983">
        <v>1214.56</v>
      </c>
      <c r="G983">
        <v>0.22</v>
      </c>
      <c r="H983" t="str">
        <f>PROPER(TRIM(sales_data!C983))</f>
        <v>Bob</v>
      </c>
      <c r="I983" t="str">
        <f>PROPER(TRIM(sales_data!D983))</f>
        <v>East</v>
      </c>
      <c r="J983" t="str">
        <f>PROPER(TRIM(sales_data!G983))</f>
        <v>Food</v>
      </c>
      <c r="K983" t="str">
        <f>PROPER(TRIM(sales_data!J983))</f>
        <v>New</v>
      </c>
      <c r="L983" t="str">
        <f>PROPER(TRIM(sales_data!L983))</f>
        <v>Bank Transfer</v>
      </c>
      <c r="M983" t="str">
        <f>PROPER(TRIM(sales_data!M983))</f>
        <v>Online</v>
      </c>
      <c r="N983">
        <f t="shared" si="61"/>
        <v>303.44999999999993</v>
      </c>
      <c r="O983">
        <f t="shared" si="62"/>
        <v>7282.7999999999984</v>
      </c>
      <c r="P983" t="str">
        <f t="shared" si="63"/>
        <v>Nov</v>
      </c>
    </row>
    <row r="984" spans="1:16" x14ac:dyDescent="0.25">
      <c r="A984">
        <v>1074</v>
      </c>
      <c r="B984" s="1">
        <v>45276</v>
      </c>
      <c r="C984">
        <f t="shared" si="60"/>
        <v>6109.9972000000007</v>
      </c>
      <c r="D984">
        <v>19</v>
      </c>
      <c r="E984">
        <v>278.67</v>
      </c>
      <c r="F984">
        <v>423.13</v>
      </c>
      <c r="G984">
        <v>0.24</v>
      </c>
      <c r="H984" t="str">
        <f>PROPER(TRIM(sales_data!C984))</f>
        <v>Bob</v>
      </c>
      <c r="I984" t="str">
        <f>PROPER(TRIM(sales_data!D984))</f>
        <v>North</v>
      </c>
      <c r="J984" t="str">
        <f>PROPER(TRIM(sales_data!G984))</f>
        <v>Furniture</v>
      </c>
      <c r="K984" t="str">
        <f>PROPER(TRIM(sales_data!J984))</f>
        <v>New</v>
      </c>
      <c r="L984" t="str">
        <f>PROPER(TRIM(sales_data!L984))</f>
        <v>Credit Card</v>
      </c>
      <c r="M984" t="str">
        <f>PROPER(TRIM(sales_data!M984))</f>
        <v>Online</v>
      </c>
      <c r="N984">
        <f t="shared" si="61"/>
        <v>144.45999999999998</v>
      </c>
      <c r="O984">
        <f t="shared" si="62"/>
        <v>2744.74</v>
      </c>
      <c r="P984" t="str">
        <f t="shared" si="63"/>
        <v>Dec</v>
      </c>
    </row>
    <row r="985" spans="1:16" x14ac:dyDescent="0.25">
      <c r="A985">
        <v>1039</v>
      </c>
      <c r="B985" s="1">
        <v>45139</v>
      </c>
      <c r="C985">
        <f t="shared" si="60"/>
        <v>85500.273600000015</v>
      </c>
      <c r="D985">
        <v>36</v>
      </c>
      <c r="E985">
        <v>2919</v>
      </c>
      <c r="F985">
        <v>3125.01</v>
      </c>
      <c r="G985">
        <v>0.24</v>
      </c>
      <c r="H985" t="str">
        <f>PROPER(TRIM(sales_data!C985))</f>
        <v>Eve</v>
      </c>
      <c r="I985" t="str">
        <f>PROPER(TRIM(sales_data!D985))</f>
        <v>West</v>
      </c>
      <c r="J985" t="str">
        <f>PROPER(TRIM(sales_data!G985))</f>
        <v>Clothing</v>
      </c>
      <c r="K985" t="str">
        <f>PROPER(TRIM(sales_data!J985))</f>
        <v>New</v>
      </c>
      <c r="L985" t="str">
        <f>PROPER(TRIM(sales_data!L985))</f>
        <v>Cash</v>
      </c>
      <c r="M985" t="str">
        <f>PROPER(TRIM(sales_data!M985))</f>
        <v>Online</v>
      </c>
      <c r="N985">
        <f t="shared" si="61"/>
        <v>206.01000000000022</v>
      </c>
      <c r="O985">
        <f t="shared" si="62"/>
        <v>7416.3600000000079</v>
      </c>
      <c r="P985" t="str">
        <f t="shared" si="63"/>
        <v>Aug</v>
      </c>
    </row>
    <row r="986" spans="1:16" x14ac:dyDescent="0.25">
      <c r="A986">
        <v>1057</v>
      </c>
      <c r="B986" s="1">
        <v>45085</v>
      </c>
      <c r="C986">
        <f t="shared" si="60"/>
        <v>204698.43839999998</v>
      </c>
      <c r="D986">
        <v>43</v>
      </c>
      <c r="E986">
        <v>4567.3900000000003</v>
      </c>
      <c r="F986">
        <v>4958.78</v>
      </c>
      <c r="G986">
        <v>0.04</v>
      </c>
      <c r="H986" t="str">
        <f>PROPER(TRIM(sales_data!C986))</f>
        <v>Charlie</v>
      </c>
      <c r="I986" t="str">
        <f>PROPER(TRIM(sales_data!D986))</f>
        <v>East</v>
      </c>
      <c r="J986" t="str">
        <f>PROPER(TRIM(sales_data!G986))</f>
        <v>Furniture</v>
      </c>
      <c r="K986" t="str">
        <f>PROPER(TRIM(sales_data!J986))</f>
        <v>New</v>
      </c>
      <c r="L986" t="str">
        <f>PROPER(TRIM(sales_data!L986))</f>
        <v>Cash</v>
      </c>
      <c r="M986" t="str">
        <f>PROPER(TRIM(sales_data!M986))</f>
        <v>Retail</v>
      </c>
      <c r="N986">
        <f t="shared" si="61"/>
        <v>391.38999999999942</v>
      </c>
      <c r="O986">
        <f t="shared" si="62"/>
        <v>16829.769999999975</v>
      </c>
      <c r="P986" t="str">
        <f t="shared" si="63"/>
        <v>Jun</v>
      </c>
    </row>
    <row r="987" spans="1:16" x14ac:dyDescent="0.25">
      <c r="A987">
        <v>1017</v>
      </c>
      <c r="B987" s="1">
        <v>44950</v>
      </c>
      <c r="C987">
        <f t="shared" si="60"/>
        <v>27576.063900000001</v>
      </c>
      <c r="D987">
        <v>27</v>
      </c>
      <c r="E987">
        <v>927.89</v>
      </c>
      <c r="F987">
        <v>1399.09</v>
      </c>
      <c r="G987">
        <v>0.27</v>
      </c>
      <c r="H987" t="str">
        <f>PROPER(TRIM(sales_data!C987))</f>
        <v>Eve</v>
      </c>
      <c r="I987" t="str">
        <f>PROPER(TRIM(sales_data!D987))</f>
        <v>North</v>
      </c>
      <c r="J987" t="str">
        <f>PROPER(TRIM(sales_data!G987))</f>
        <v>Electronics</v>
      </c>
      <c r="K987" t="str">
        <f>PROPER(TRIM(sales_data!J987))</f>
        <v>Returning</v>
      </c>
      <c r="L987" t="str">
        <f>PROPER(TRIM(sales_data!L987))</f>
        <v>Credit Card</v>
      </c>
      <c r="M987" t="str">
        <f>PROPER(TRIM(sales_data!M987))</f>
        <v>Online</v>
      </c>
      <c r="N987">
        <f t="shared" si="61"/>
        <v>471.19999999999993</v>
      </c>
      <c r="O987">
        <f t="shared" si="62"/>
        <v>12722.399999999998</v>
      </c>
      <c r="P987" t="str">
        <f t="shared" si="63"/>
        <v>Jan</v>
      </c>
    </row>
    <row r="988" spans="1:16" x14ac:dyDescent="0.25">
      <c r="A988">
        <v>1086</v>
      </c>
      <c r="B988" s="1">
        <v>45219</v>
      </c>
      <c r="C988">
        <f t="shared" si="60"/>
        <v>13239.807999999999</v>
      </c>
      <c r="D988">
        <v>32</v>
      </c>
      <c r="E988">
        <v>84.86</v>
      </c>
      <c r="F988">
        <v>517.17999999999995</v>
      </c>
      <c r="G988">
        <v>0.2</v>
      </c>
      <c r="H988" t="str">
        <f>PROPER(TRIM(sales_data!C988))</f>
        <v>David</v>
      </c>
      <c r="I988" t="str">
        <f>PROPER(TRIM(sales_data!D988))</f>
        <v>South</v>
      </c>
      <c r="J988" t="str">
        <f>PROPER(TRIM(sales_data!G988))</f>
        <v>Furniture</v>
      </c>
      <c r="K988" t="str">
        <f>PROPER(TRIM(sales_data!J988))</f>
        <v>Returning</v>
      </c>
      <c r="L988" t="str">
        <f>PROPER(TRIM(sales_data!L988))</f>
        <v>Credit Card</v>
      </c>
      <c r="M988" t="str">
        <f>PROPER(TRIM(sales_data!M988))</f>
        <v>Retail</v>
      </c>
      <c r="N988">
        <f t="shared" si="61"/>
        <v>432.31999999999994</v>
      </c>
      <c r="O988">
        <f t="shared" si="62"/>
        <v>13834.239999999998</v>
      </c>
      <c r="P988" t="str">
        <f t="shared" si="63"/>
        <v>Oct</v>
      </c>
    </row>
    <row r="989" spans="1:16" x14ac:dyDescent="0.25">
      <c r="A989">
        <v>1090</v>
      </c>
      <c r="B989" s="1">
        <v>44930</v>
      </c>
      <c r="C989">
        <f t="shared" si="60"/>
        <v>44188.316200000001</v>
      </c>
      <c r="D989">
        <v>14</v>
      </c>
      <c r="E989">
        <v>4037.21</v>
      </c>
      <c r="F989">
        <v>4323.71</v>
      </c>
      <c r="G989">
        <v>0.27</v>
      </c>
      <c r="H989" t="str">
        <f>PROPER(TRIM(sales_data!C989))</f>
        <v>Eve</v>
      </c>
      <c r="I989" t="str">
        <f>PROPER(TRIM(sales_data!D989))</f>
        <v>North</v>
      </c>
      <c r="J989" t="str">
        <f>PROPER(TRIM(sales_data!G989))</f>
        <v>Furniture</v>
      </c>
      <c r="K989" t="str">
        <f>PROPER(TRIM(sales_data!J989))</f>
        <v>Returning</v>
      </c>
      <c r="L989" t="str">
        <f>PROPER(TRIM(sales_data!L989))</f>
        <v>Credit Card</v>
      </c>
      <c r="M989" t="str">
        <f>PROPER(TRIM(sales_data!M989))</f>
        <v>Online</v>
      </c>
      <c r="N989">
        <f t="shared" si="61"/>
        <v>286.5</v>
      </c>
      <c r="O989">
        <f t="shared" si="62"/>
        <v>4011</v>
      </c>
      <c r="P989" t="str">
        <f t="shared" si="63"/>
        <v>Jan</v>
      </c>
    </row>
    <row r="990" spans="1:16" x14ac:dyDescent="0.25">
      <c r="A990">
        <v>1044</v>
      </c>
      <c r="B990" s="1">
        <v>45146</v>
      </c>
      <c r="C990">
        <f t="shared" si="60"/>
        <v>10040.8788</v>
      </c>
      <c r="D990">
        <v>18</v>
      </c>
      <c r="E990">
        <v>430.14</v>
      </c>
      <c r="F990">
        <v>641.17999999999995</v>
      </c>
      <c r="G990">
        <v>0.13</v>
      </c>
      <c r="H990" t="str">
        <f>PROPER(TRIM(sales_data!C990))</f>
        <v>Alice</v>
      </c>
      <c r="I990" t="str">
        <f>PROPER(TRIM(sales_data!D990))</f>
        <v>North</v>
      </c>
      <c r="J990" t="str">
        <f>PROPER(TRIM(sales_data!G990))</f>
        <v>Clothing</v>
      </c>
      <c r="K990" t="str">
        <f>PROPER(TRIM(sales_data!J990))</f>
        <v>New</v>
      </c>
      <c r="L990" t="str">
        <f>PROPER(TRIM(sales_data!L990))</f>
        <v>Cash</v>
      </c>
      <c r="M990" t="str">
        <f>PROPER(TRIM(sales_data!M990))</f>
        <v>Online</v>
      </c>
      <c r="N990">
        <f t="shared" si="61"/>
        <v>211.03999999999996</v>
      </c>
      <c r="O990">
        <f t="shared" si="62"/>
        <v>3798.7199999999993</v>
      </c>
      <c r="P990" t="str">
        <f t="shared" si="63"/>
        <v>Aug</v>
      </c>
    </row>
    <row r="991" spans="1:16" x14ac:dyDescent="0.25">
      <c r="A991">
        <v>1025</v>
      </c>
      <c r="B991" s="1">
        <v>45290</v>
      </c>
      <c r="C991">
        <f t="shared" si="60"/>
        <v>55321.316399999996</v>
      </c>
      <c r="D991">
        <v>28</v>
      </c>
      <c r="E991">
        <v>2097.84</v>
      </c>
      <c r="F991">
        <v>2270.9899999999998</v>
      </c>
      <c r="G991">
        <v>0.13</v>
      </c>
      <c r="H991" t="str">
        <f>PROPER(TRIM(sales_data!C991))</f>
        <v>David</v>
      </c>
      <c r="I991" t="str">
        <f>PROPER(TRIM(sales_data!D991))</f>
        <v>West</v>
      </c>
      <c r="J991" t="str">
        <f>PROPER(TRIM(sales_data!G991))</f>
        <v>Electronics</v>
      </c>
      <c r="K991" t="str">
        <f>PROPER(TRIM(sales_data!J991))</f>
        <v>New</v>
      </c>
      <c r="L991" t="str">
        <f>PROPER(TRIM(sales_data!L991))</f>
        <v>Credit Card</v>
      </c>
      <c r="M991" t="str">
        <f>PROPER(TRIM(sales_data!M991))</f>
        <v>Retail</v>
      </c>
      <c r="N991">
        <f t="shared" si="61"/>
        <v>173.14999999999964</v>
      </c>
      <c r="O991">
        <f t="shared" si="62"/>
        <v>4848.1999999999898</v>
      </c>
      <c r="P991" t="str">
        <f t="shared" si="63"/>
        <v>Dec</v>
      </c>
    </row>
    <row r="992" spans="1:16" x14ac:dyDescent="0.25">
      <c r="A992">
        <v>1017</v>
      </c>
      <c r="B992" s="1">
        <v>44946</v>
      </c>
      <c r="C992">
        <f t="shared" si="60"/>
        <v>76737.108799999987</v>
      </c>
      <c r="D992">
        <v>29</v>
      </c>
      <c r="E992">
        <v>3410.49</v>
      </c>
      <c r="F992">
        <v>3481.72</v>
      </c>
      <c r="G992">
        <v>0.24</v>
      </c>
      <c r="H992" t="str">
        <f>PROPER(TRIM(sales_data!C992))</f>
        <v>Bob</v>
      </c>
      <c r="I992" t="str">
        <f>PROPER(TRIM(sales_data!D992))</f>
        <v>East</v>
      </c>
      <c r="J992" t="str">
        <f>PROPER(TRIM(sales_data!G992))</f>
        <v>Clothing</v>
      </c>
      <c r="K992" t="str">
        <f>PROPER(TRIM(sales_data!J992))</f>
        <v>New</v>
      </c>
      <c r="L992" t="str">
        <f>PROPER(TRIM(sales_data!L992))</f>
        <v>Bank Transfer</v>
      </c>
      <c r="M992" t="str">
        <f>PROPER(TRIM(sales_data!M992))</f>
        <v>Retail</v>
      </c>
      <c r="N992">
        <f t="shared" si="61"/>
        <v>71.230000000000018</v>
      </c>
      <c r="O992">
        <f t="shared" si="62"/>
        <v>2065.6700000000005</v>
      </c>
      <c r="P992" t="str">
        <f t="shared" si="63"/>
        <v>Jan</v>
      </c>
    </row>
    <row r="993" spans="1:16" x14ac:dyDescent="0.25">
      <c r="A993">
        <v>1013</v>
      </c>
      <c r="B993" s="1">
        <v>45078</v>
      </c>
      <c r="C993">
        <f t="shared" si="60"/>
        <v>19933.267199999998</v>
      </c>
      <c r="D993">
        <v>16</v>
      </c>
      <c r="E993">
        <v>1222.1500000000001</v>
      </c>
      <c r="F993">
        <v>1284.3599999999999</v>
      </c>
      <c r="G993">
        <v>0.03</v>
      </c>
      <c r="H993" t="str">
        <f>PROPER(TRIM(sales_data!C993))</f>
        <v>Charlie</v>
      </c>
      <c r="I993" t="str">
        <f>PROPER(TRIM(sales_data!D993))</f>
        <v>East</v>
      </c>
      <c r="J993" t="str">
        <f>PROPER(TRIM(sales_data!G993))</f>
        <v>Furniture</v>
      </c>
      <c r="K993" t="str">
        <f>PROPER(TRIM(sales_data!J993))</f>
        <v>Returning</v>
      </c>
      <c r="L993" t="str">
        <f>PROPER(TRIM(sales_data!L993))</f>
        <v>Credit Card</v>
      </c>
      <c r="M993" t="str">
        <f>PROPER(TRIM(sales_data!M993))</f>
        <v>Retail</v>
      </c>
      <c r="N993">
        <f t="shared" si="61"/>
        <v>62.209999999999809</v>
      </c>
      <c r="O993">
        <f t="shared" si="62"/>
        <v>995.35999999999694</v>
      </c>
      <c r="P993" t="str">
        <f t="shared" si="63"/>
        <v>Jun</v>
      </c>
    </row>
    <row r="994" spans="1:16" x14ac:dyDescent="0.25">
      <c r="A994">
        <v>1084</v>
      </c>
      <c r="B994" s="1">
        <v>44976</v>
      </c>
      <c r="C994">
        <f t="shared" si="60"/>
        <v>23899.553999999996</v>
      </c>
      <c r="D994">
        <v>35</v>
      </c>
      <c r="E994">
        <v>465.61</v>
      </c>
      <c r="F994">
        <v>812.91</v>
      </c>
      <c r="G994">
        <v>0.16</v>
      </c>
      <c r="H994" t="str">
        <f>PROPER(TRIM(sales_data!C994))</f>
        <v>David</v>
      </c>
      <c r="I994" t="str">
        <f>PROPER(TRIM(sales_data!D994))</f>
        <v>West</v>
      </c>
      <c r="J994" t="str">
        <f>PROPER(TRIM(sales_data!G994))</f>
        <v>Food</v>
      </c>
      <c r="K994" t="str">
        <f>PROPER(TRIM(sales_data!J994))</f>
        <v>New</v>
      </c>
      <c r="L994" t="str">
        <f>PROPER(TRIM(sales_data!L994))</f>
        <v>Bank Transfer</v>
      </c>
      <c r="M994" t="str">
        <f>PROPER(TRIM(sales_data!M994))</f>
        <v>Online</v>
      </c>
      <c r="N994">
        <f t="shared" si="61"/>
        <v>347.29999999999995</v>
      </c>
      <c r="O994">
        <f t="shared" si="62"/>
        <v>12155.499999999998</v>
      </c>
      <c r="P994" t="str">
        <f t="shared" si="63"/>
        <v>Feb</v>
      </c>
    </row>
    <row r="995" spans="1:16" x14ac:dyDescent="0.25">
      <c r="A995">
        <v>1025</v>
      </c>
      <c r="B995" s="1">
        <v>45103</v>
      </c>
      <c r="C995">
        <f t="shared" si="60"/>
        <v>140961.57749999998</v>
      </c>
      <c r="D995">
        <v>47</v>
      </c>
      <c r="E995">
        <v>3861.61</v>
      </c>
      <c r="F995">
        <v>3998.91</v>
      </c>
      <c r="G995">
        <v>0.25</v>
      </c>
      <c r="H995" t="str">
        <f>PROPER(TRIM(sales_data!C995))</f>
        <v>David</v>
      </c>
      <c r="I995" t="str">
        <f>PROPER(TRIM(sales_data!D995))</f>
        <v>North</v>
      </c>
      <c r="J995" t="str">
        <f>PROPER(TRIM(sales_data!G995))</f>
        <v>Furniture</v>
      </c>
      <c r="K995" t="str">
        <f>PROPER(TRIM(sales_data!J995))</f>
        <v>New</v>
      </c>
      <c r="L995" t="str">
        <f>PROPER(TRIM(sales_data!L995))</f>
        <v>Credit Card</v>
      </c>
      <c r="M995" t="str">
        <f>PROPER(TRIM(sales_data!M995))</f>
        <v>Online</v>
      </c>
      <c r="N995">
        <f t="shared" si="61"/>
        <v>137.29999999999973</v>
      </c>
      <c r="O995">
        <f t="shared" si="62"/>
        <v>6453.0999999999876</v>
      </c>
      <c r="P995" t="str">
        <f t="shared" si="63"/>
        <v>Jun</v>
      </c>
    </row>
    <row r="996" spans="1:16" x14ac:dyDescent="0.25">
      <c r="A996">
        <v>1068</v>
      </c>
      <c r="B996" s="1">
        <v>45022</v>
      </c>
      <c r="C996">
        <f t="shared" si="60"/>
        <v>76821.487500000003</v>
      </c>
      <c r="D996">
        <v>31</v>
      </c>
      <c r="E996">
        <v>3169.37</v>
      </c>
      <c r="F996">
        <v>3304.15</v>
      </c>
      <c r="G996">
        <v>0.25</v>
      </c>
      <c r="H996" t="str">
        <f>PROPER(TRIM(sales_data!C996))</f>
        <v>Alice</v>
      </c>
      <c r="I996" t="str">
        <f>PROPER(TRIM(sales_data!D996))</f>
        <v>South</v>
      </c>
      <c r="J996" t="str">
        <f>PROPER(TRIM(sales_data!G996))</f>
        <v>Clothing</v>
      </c>
      <c r="K996" t="str">
        <f>PROPER(TRIM(sales_data!J996))</f>
        <v>Returning</v>
      </c>
      <c r="L996" t="str">
        <f>PROPER(TRIM(sales_data!L996))</f>
        <v>Credit Card</v>
      </c>
      <c r="M996" t="str">
        <f>PROPER(TRIM(sales_data!M996))</f>
        <v>Retail</v>
      </c>
      <c r="N996">
        <f t="shared" si="61"/>
        <v>134.7800000000002</v>
      </c>
      <c r="O996">
        <f t="shared" si="62"/>
        <v>4178.1800000000057</v>
      </c>
      <c r="P996" t="str">
        <f t="shared" si="63"/>
        <v>Apr</v>
      </c>
    </row>
    <row r="997" spans="1:16" x14ac:dyDescent="0.25">
      <c r="A997">
        <v>1010</v>
      </c>
      <c r="B997" s="1">
        <v>45031</v>
      </c>
      <c r="C997">
        <f t="shared" si="60"/>
        <v>15455.705999999998</v>
      </c>
      <c r="D997">
        <v>4</v>
      </c>
      <c r="E997">
        <v>4943.03</v>
      </c>
      <c r="F997">
        <v>5442.15</v>
      </c>
      <c r="G997">
        <v>0.28999999999999998</v>
      </c>
      <c r="H997" t="str">
        <f>PROPER(TRIM(sales_data!C997))</f>
        <v>Charlie</v>
      </c>
      <c r="I997" t="str">
        <f>PROPER(TRIM(sales_data!D997))</f>
        <v>North</v>
      </c>
      <c r="J997" t="str">
        <f>PROPER(TRIM(sales_data!G997))</f>
        <v>Food</v>
      </c>
      <c r="K997" t="str">
        <f>PROPER(TRIM(sales_data!J997))</f>
        <v>Returning</v>
      </c>
      <c r="L997" t="str">
        <f>PROPER(TRIM(sales_data!L997))</f>
        <v>Cash</v>
      </c>
      <c r="M997" t="str">
        <f>PROPER(TRIM(sales_data!M997))</f>
        <v>Online</v>
      </c>
      <c r="N997">
        <f t="shared" si="61"/>
        <v>499.11999999999989</v>
      </c>
      <c r="O997">
        <f t="shared" si="62"/>
        <v>1996.4799999999996</v>
      </c>
      <c r="P997" t="str">
        <f t="shared" si="63"/>
        <v>Apr</v>
      </c>
    </row>
    <row r="998" spans="1:16" x14ac:dyDescent="0.25">
      <c r="A998">
        <v>1067</v>
      </c>
      <c r="B998" s="1">
        <v>45176</v>
      </c>
      <c r="C998">
        <f t="shared" si="60"/>
        <v>54262.571999999716</v>
      </c>
      <c r="D998">
        <v>37</v>
      </c>
      <c r="E998">
        <v>1754.32</v>
      </c>
      <c r="F998">
        <v>1856.3999999999901</v>
      </c>
      <c r="G998">
        <v>0.21</v>
      </c>
      <c r="H998" t="str">
        <f>PROPER(TRIM(sales_data!C998))</f>
        <v>Bob</v>
      </c>
      <c r="I998" t="str">
        <f>PROPER(TRIM(sales_data!D998))</f>
        <v>North</v>
      </c>
      <c r="J998" t="str">
        <f>PROPER(TRIM(sales_data!G998))</f>
        <v>Clothing</v>
      </c>
      <c r="K998" t="str">
        <f>PROPER(TRIM(sales_data!J998))</f>
        <v>New</v>
      </c>
      <c r="L998" t="str">
        <f>PROPER(TRIM(sales_data!L998))</f>
        <v>Bank Transfer</v>
      </c>
      <c r="M998" t="str">
        <f>PROPER(TRIM(sales_data!M998))</f>
        <v>Retail</v>
      </c>
      <c r="N998">
        <f t="shared" si="61"/>
        <v>102.07999999999015</v>
      </c>
      <c r="O998">
        <f t="shared" si="62"/>
        <v>3776.9599999996353</v>
      </c>
      <c r="P998" t="str">
        <f t="shared" si="63"/>
        <v>Sep</v>
      </c>
    </row>
    <row r="999" spans="1:16" x14ac:dyDescent="0.25">
      <c r="A999">
        <v>1018</v>
      </c>
      <c r="B999" s="1">
        <v>45043</v>
      </c>
      <c r="C999">
        <f t="shared" si="60"/>
        <v>7003.5545999999995</v>
      </c>
      <c r="D999">
        <v>17</v>
      </c>
      <c r="E999">
        <v>355.72</v>
      </c>
      <c r="F999">
        <v>438.27</v>
      </c>
      <c r="G999">
        <v>0.06</v>
      </c>
      <c r="H999" t="str">
        <f>PROPER(TRIM(sales_data!C999))</f>
        <v>David</v>
      </c>
      <c r="I999" t="str">
        <f>PROPER(TRIM(sales_data!D999))</f>
        <v>South</v>
      </c>
      <c r="J999" t="str">
        <f>PROPER(TRIM(sales_data!G999))</f>
        <v>Clothing</v>
      </c>
      <c r="K999" t="str">
        <f>PROPER(TRIM(sales_data!J999))</f>
        <v>Returning</v>
      </c>
      <c r="L999" t="str">
        <f>PROPER(TRIM(sales_data!L999))</f>
        <v>Bank Transfer</v>
      </c>
      <c r="M999" t="str">
        <f>PROPER(TRIM(sales_data!M999))</f>
        <v>Online</v>
      </c>
      <c r="N999">
        <f t="shared" si="61"/>
        <v>82.549999999999955</v>
      </c>
      <c r="O999">
        <f t="shared" si="62"/>
        <v>1403.3499999999992</v>
      </c>
      <c r="P999" t="str">
        <f t="shared" si="63"/>
        <v>Apr</v>
      </c>
    </row>
    <row r="1000" spans="1:16" x14ac:dyDescent="0.25">
      <c r="A1000">
        <v>1100</v>
      </c>
      <c r="B1000" s="1">
        <v>45280</v>
      </c>
      <c r="C1000">
        <f t="shared" si="60"/>
        <v>144532.2879</v>
      </c>
      <c r="D1000">
        <v>39</v>
      </c>
      <c r="E1000">
        <v>3685.03</v>
      </c>
      <c r="F1000">
        <v>3743.39</v>
      </c>
      <c r="G1000">
        <v>0.01</v>
      </c>
      <c r="H1000" t="str">
        <f>PROPER(TRIM(sales_data!C1000))</f>
        <v>David</v>
      </c>
      <c r="I1000" t="str">
        <f>PROPER(TRIM(sales_data!D1000))</f>
        <v>West</v>
      </c>
      <c r="J1000" t="str">
        <f>PROPER(TRIM(sales_data!G1000))</f>
        <v>Electronics</v>
      </c>
      <c r="K1000" t="str">
        <f>PROPER(TRIM(sales_data!J1000))</f>
        <v>New</v>
      </c>
      <c r="L1000" t="str">
        <f>PROPER(TRIM(sales_data!L1000))</f>
        <v>Bank Transfer</v>
      </c>
      <c r="M1000" t="str">
        <f>PROPER(TRIM(sales_data!M1000))</f>
        <v>Online</v>
      </c>
      <c r="N1000">
        <f t="shared" si="61"/>
        <v>58.359999999999673</v>
      </c>
      <c r="O1000">
        <f t="shared" si="62"/>
        <v>2276.0399999999872</v>
      </c>
      <c r="P1000" t="str">
        <f t="shared" si="63"/>
        <v>Dec</v>
      </c>
    </row>
    <row r="1001" spans="1:16" x14ac:dyDescent="0.25">
      <c r="A1001">
        <v>1086</v>
      </c>
      <c r="B1001" s="1">
        <v>45154</v>
      </c>
      <c r="C1001">
        <f t="shared" si="60"/>
        <v>120813.35039999998</v>
      </c>
      <c r="D1001">
        <v>48</v>
      </c>
      <c r="E1001">
        <v>2632.58</v>
      </c>
      <c r="F1001">
        <v>2926.68</v>
      </c>
      <c r="G1001">
        <v>0.14000000000000001</v>
      </c>
      <c r="H1001" t="str">
        <f>PROPER(TRIM(sales_data!C1001))</f>
        <v>Alice</v>
      </c>
      <c r="I1001" t="str">
        <f>PROPER(TRIM(sales_data!D1001))</f>
        <v>East</v>
      </c>
      <c r="J1001" t="str">
        <f>PROPER(TRIM(sales_data!G1001))</f>
        <v>Food</v>
      </c>
      <c r="K1001" t="str">
        <f>PROPER(TRIM(sales_data!J1001))</f>
        <v>Returning</v>
      </c>
      <c r="L1001" t="str">
        <f>PROPER(TRIM(sales_data!L1001))</f>
        <v>Cash</v>
      </c>
      <c r="M1001" t="str">
        <f>PROPER(TRIM(sales_data!M1001))</f>
        <v>Online</v>
      </c>
      <c r="N1001">
        <f t="shared" si="61"/>
        <v>294.09999999999991</v>
      </c>
      <c r="O1001">
        <f t="shared" si="62"/>
        <v>14116.799999999996</v>
      </c>
      <c r="P1001" t="str">
        <f t="shared" si="63"/>
        <v>Aug</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ED0BB-C253-4A12-AFED-C677999EB90C}">
  <sheetPr codeName="Sheet14"/>
  <dimension ref="A1"/>
  <sheetViews>
    <sheetView showRowColHeaders="0" zoomScale="89" workbookViewId="0"/>
  </sheetViews>
  <sheetFormatPr defaultRowHeight="15" x14ac:dyDescent="0.25"/>
  <cols>
    <col min="1" max="16384" width="9.140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56085-F335-4E13-9DED-DC3488896F95}">
  <sheetPr codeName="Sheet4"/>
  <dimension ref="A1"/>
  <sheetViews>
    <sheetView showRowColHeaders="0" tabSelected="1" zoomScale="91" workbookViewId="0"/>
  </sheetViews>
  <sheetFormatPr defaultRowHeight="15" x14ac:dyDescent="0.25"/>
  <cols>
    <col min="1" max="16384" width="9.140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C2CC-1B32-438A-BB49-CC2371CF45C2}">
  <sheetPr codeName="Sheet12"/>
  <dimension ref="A1"/>
  <sheetViews>
    <sheetView showRowColHeaders="0" zoomScale="97" workbookViewId="0"/>
  </sheetViews>
  <sheetFormatPr defaultRowHeight="15" x14ac:dyDescent="0.25"/>
  <cols>
    <col min="1" max="16384" width="9.140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39072-D1BE-49D6-979F-664A7FF24C09}">
  <sheetPr codeName="Sheet13"/>
  <dimension ref="A1"/>
  <sheetViews>
    <sheetView showRowColHeaders="0" zoomScale="102" workbookViewId="0">
      <selection activeCell="AB6" sqref="AB6"/>
    </sheetView>
  </sheetViews>
  <sheetFormatPr defaultRowHeight="15" x14ac:dyDescent="0.25"/>
  <cols>
    <col min="1" max="16384" width="9.140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503AF-148F-4A14-93B1-7A9A295B73A8}">
  <sheetPr codeName="Sheet2"/>
  <dimension ref="A1:K53"/>
  <sheetViews>
    <sheetView topLeftCell="A11" zoomScale="85" workbookViewId="0">
      <selection activeCell="G48" sqref="G48:G52"/>
    </sheetView>
  </sheetViews>
  <sheetFormatPr defaultRowHeight="15" x14ac:dyDescent="0.25"/>
  <cols>
    <col min="1" max="1" width="19.42578125" bestFit="1" customWidth="1"/>
    <col min="2" max="2" width="16.85546875" bestFit="1" customWidth="1"/>
    <col min="3" max="3" width="13.28515625" bestFit="1" customWidth="1"/>
    <col min="4" max="4" width="13.42578125" bestFit="1" customWidth="1"/>
    <col min="5" max="5" width="19.42578125" bestFit="1" customWidth="1"/>
    <col min="6" max="6" width="18" bestFit="1" customWidth="1"/>
    <col min="7" max="7" width="20.7109375" bestFit="1" customWidth="1"/>
    <col min="8" max="8" width="20.5703125" bestFit="1" customWidth="1"/>
    <col min="9" max="9" width="20.7109375" bestFit="1" customWidth="1"/>
    <col min="10" max="10" width="25.7109375" bestFit="1" customWidth="1"/>
    <col min="11" max="11" width="25.85546875" bestFit="1" customWidth="1"/>
    <col min="12" max="13" width="4.5703125" bestFit="1" customWidth="1"/>
    <col min="14" max="14" width="11.28515625" bestFit="1" customWidth="1"/>
  </cols>
  <sheetData>
    <row r="1" spans="1:11" x14ac:dyDescent="0.25">
      <c r="A1" s="2" t="s">
        <v>50</v>
      </c>
      <c r="B1" s="2" t="s">
        <v>37</v>
      </c>
    </row>
    <row r="2" spans="1:11" x14ac:dyDescent="0.25">
      <c r="A2" s="2" t="s">
        <v>35</v>
      </c>
      <c r="B2" t="s">
        <v>25</v>
      </c>
      <c r="C2" t="s">
        <v>30</v>
      </c>
      <c r="D2" t="s">
        <v>23</v>
      </c>
      <c r="E2" t="s">
        <v>15</v>
      </c>
      <c r="F2" t="s">
        <v>36</v>
      </c>
    </row>
    <row r="3" spans="1:11" x14ac:dyDescent="0.25">
      <c r="A3" s="3" t="s">
        <v>21</v>
      </c>
      <c r="B3">
        <v>3263949.847899999</v>
      </c>
      <c r="C3">
        <v>4084496.5045999982</v>
      </c>
      <c r="D3">
        <v>2777481.269799998</v>
      </c>
      <c r="E3">
        <v>3548481.5795999989</v>
      </c>
      <c r="F3" s="6">
        <v>13674409.201899994</v>
      </c>
    </row>
    <row r="4" spans="1:11" x14ac:dyDescent="0.25">
      <c r="A4" s="3" t="s">
        <v>31</v>
      </c>
      <c r="B4">
        <v>4175283.0013999986</v>
      </c>
      <c r="C4">
        <v>3257944.7370999982</v>
      </c>
      <c r="D4">
        <v>2313587.6339000002</v>
      </c>
      <c r="E4">
        <v>3191908.5866999989</v>
      </c>
      <c r="F4" s="6">
        <v>12938723.959099997</v>
      </c>
    </row>
    <row r="5" spans="1:11" x14ac:dyDescent="0.25">
      <c r="A5" s="3" t="s">
        <v>13</v>
      </c>
      <c r="B5">
        <v>2894176.0933999997</v>
      </c>
      <c r="C5">
        <v>2434542.6403999981</v>
      </c>
      <c r="D5">
        <v>2716241.9251999981</v>
      </c>
      <c r="E5">
        <v>3723743.0496999989</v>
      </c>
      <c r="F5" s="6">
        <v>11768703.708699996</v>
      </c>
    </row>
    <row r="6" spans="1:11" x14ac:dyDescent="0.25">
      <c r="A6" s="3" t="s">
        <v>32</v>
      </c>
      <c r="B6">
        <v>2877741.545799999</v>
      </c>
      <c r="C6">
        <v>2862984.8391999984</v>
      </c>
      <c r="D6">
        <v>2950272.9675999992</v>
      </c>
      <c r="E6">
        <v>2785646.2106999997</v>
      </c>
      <c r="F6" s="6">
        <v>11476645.563299997</v>
      </c>
    </row>
    <row r="7" spans="1:11" x14ac:dyDescent="0.25">
      <c r="A7" s="3" t="s">
        <v>28</v>
      </c>
      <c r="B7">
        <v>3149694.1361999987</v>
      </c>
      <c r="C7">
        <v>2513256.5641000001</v>
      </c>
      <c r="D7">
        <v>2050742.4342999991</v>
      </c>
      <c r="E7">
        <v>2113997.7160999998</v>
      </c>
      <c r="F7" s="6">
        <v>9827690.8506999984</v>
      </c>
      <c r="K7" s="4">
        <f>F8/1000</f>
        <v>59686.173283699973</v>
      </c>
    </row>
    <row r="8" spans="1:11" x14ac:dyDescent="0.25">
      <c r="A8" s="3" t="s">
        <v>36</v>
      </c>
      <c r="B8">
        <v>16360844.624699995</v>
      </c>
      <c r="C8">
        <v>15153225.285399992</v>
      </c>
      <c r="D8">
        <v>12808326.230799994</v>
      </c>
      <c r="E8">
        <v>15363777.142799996</v>
      </c>
      <c r="F8" s="6">
        <v>59686173.283699974</v>
      </c>
    </row>
    <row r="9" spans="1:11" x14ac:dyDescent="0.25">
      <c r="F9" s="5"/>
    </row>
    <row r="15" spans="1:11" x14ac:dyDescent="0.25">
      <c r="A15" s="2" t="s">
        <v>55</v>
      </c>
      <c r="B15" s="2" t="s">
        <v>37</v>
      </c>
    </row>
    <row r="16" spans="1:11" x14ac:dyDescent="0.25">
      <c r="A16" s="2" t="s">
        <v>35</v>
      </c>
      <c r="B16" t="s">
        <v>26</v>
      </c>
      <c r="C16" t="s">
        <v>16</v>
      </c>
      <c r="D16" t="s">
        <v>36</v>
      </c>
    </row>
    <row r="17" spans="1:5" x14ac:dyDescent="0.25">
      <c r="A17" s="3" t="s">
        <v>32</v>
      </c>
      <c r="B17">
        <v>96</v>
      </c>
      <c r="C17">
        <v>96</v>
      </c>
      <c r="D17">
        <v>192</v>
      </c>
    </row>
    <row r="18" spans="1:5" x14ac:dyDescent="0.25">
      <c r="A18" s="3" t="s">
        <v>13</v>
      </c>
      <c r="B18">
        <v>97</v>
      </c>
      <c r="C18">
        <v>111</v>
      </c>
      <c r="D18">
        <v>208</v>
      </c>
    </row>
    <row r="19" spans="1:5" x14ac:dyDescent="0.25">
      <c r="A19" s="3" t="s">
        <v>28</v>
      </c>
      <c r="B19">
        <v>84</v>
      </c>
      <c r="C19">
        <v>85</v>
      </c>
      <c r="D19">
        <v>169</v>
      </c>
    </row>
    <row r="20" spans="1:5" x14ac:dyDescent="0.25">
      <c r="A20" s="3" t="s">
        <v>21</v>
      </c>
      <c r="B20">
        <v>117</v>
      </c>
      <c r="C20">
        <v>105</v>
      </c>
      <c r="D20">
        <v>222</v>
      </c>
    </row>
    <row r="21" spans="1:5" x14ac:dyDescent="0.25">
      <c r="A21" s="3" t="s">
        <v>31</v>
      </c>
      <c r="B21">
        <v>110</v>
      </c>
      <c r="C21">
        <v>99</v>
      </c>
      <c r="D21">
        <v>209</v>
      </c>
    </row>
    <row r="22" spans="1:5" x14ac:dyDescent="0.25">
      <c r="A22" s="3" t="s">
        <v>36</v>
      </c>
      <c r="B22">
        <v>504</v>
      </c>
      <c r="C22">
        <v>496</v>
      </c>
      <c r="D22">
        <v>1000</v>
      </c>
    </row>
    <row r="30" spans="1:5" x14ac:dyDescent="0.25">
      <c r="A30" s="2" t="s">
        <v>55</v>
      </c>
      <c r="B30" s="2" t="s">
        <v>37</v>
      </c>
    </row>
    <row r="31" spans="1:5" x14ac:dyDescent="0.25">
      <c r="A31" s="2" t="s">
        <v>35</v>
      </c>
      <c r="B31" t="s">
        <v>27</v>
      </c>
      <c r="C31" t="s">
        <v>24</v>
      </c>
      <c r="D31" t="s">
        <v>17</v>
      </c>
      <c r="E31" t="s">
        <v>36</v>
      </c>
    </row>
    <row r="32" spans="1:5" x14ac:dyDescent="0.25">
      <c r="A32" s="3" t="s">
        <v>21</v>
      </c>
      <c r="B32">
        <v>78</v>
      </c>
      <c r="C32">
        <v>69</v>
      </c>
      <c r="D32">
        <v>75</v>
      </c>
      <c r="E32">
        <v>222</v>
      </c>
    </row>
    <row r="33" spans="1:7" x14ac:dyDescent="0.25">
      <c r="A33" s="3" t="s">
        <v>31</v>
      </c>
      <c r="B33">
        <v>76</v>
      </c>
      <c r="C33">
        <v>74</v>
      </c>
      <c r="D33">
        <v>59</v>
      </c>
      <c r="E33">
        <v>209</v>
      </c>
    </row>
    <row r="34" spans="1:7" x14ac:dyDescent="0.25">
      <c r="A34" s="3" t="s">
        <v>13</v>
      </c>
      <c r="B34">
        <v>66</v>
      </c>
      <c r="C34">
        <v>70</v>
      </c>
      <c r="D34">
        <v>72</v>
      </c>
      <c r="E34">
        <v>208</v>
      </c>
    </row>
    <row r="35" spans="1:7" x14ac:dyDescent="0.25">
      <c r="A35" s="3" t="s">
        <v>32</v>
      </c>
      <c r="B35">
        <v>65</v>
      </c>
      <c r="C35">
        <v>70</v>
      </c>
      <c r="D35">
        <v>57</v>
      </c>
      <c r="E35">
        <v>192</v>
      </c>
    </row>
    <row r="36" spans="1:7" x14ac:dyDescent="0.25">
      <c r="A36" s="3" t="s">
        <v>28</v>
      </c>
      <c r="B36">
        <v>60</v>
      </c>
      <c r="C36">
        <v>59</v>
      </c>
      <c r="D36">
        <v>50</v>
      </c>
      <c r="E36">
        <v>169</v>
      </c>
    </row>
    <row r="37" spans="1:7" x14ac:dyDescent="0.25">
      <c r="A37" s="3" t="s">
        <v>36</v>
      </c>
      <c r="B37">
        <v>345</v>
      </c>
      <c r="C37">
        <v>342</v>
      </c>
      <c r="D37">
        <v>313</v>
      </c>
      <c r="E37">
        <v>1000</v>
      </c>
    </row>
    <row r="46" spans="1:7" x14ac:dyDescent="0.25">
      <c r="A46" s="2" t="s">
        <v>35</v>
      </c>
      <c r="B46" s="4" t="s">
        <v>50</v>
      </c>
    </row>
    <row r="47" spans="1:7" x14ac:dyDescent="0.25">
      <c r="A47" s="3" t="s">
        <v>32</v>
      </c>
      <c r="B47" s="7">
        <v>11476645.563299995</v>
      </c>
      <c r="D47" s="2" t="s">
        <v>35</v>
      </c>
      <c r="E47" t="s">
        <v>55</v>
      </c>
      <c r="F47" t="s">
        <v>54</v>
      </c>
    </row>
    <row r="48" spans="1:7" x14ac:dyDescent="0.25">
      <c r="A48" s="3" t="s">
        <v>13</v>
      </c>
      <c r="B48" s="7">
        <v>11768703.708699994</v>
      </c>
      <c r="D48" s="3" t="s">
        <v>32</v>
      </c>
      <c r="E48">
        <v>192</v>
      </c>
      <c r="F48" s="11">
        <v>1294822.0099999974</v>
      </c>
      <c r="G48">
        <f>F48/E48</f>
        <v>6743.8646354166531</v>
      </c>
    </row>
    <row r="49" spans="1:7" x14ac:dyDescent="0.25">
      <c r="A49" s="3" t="s">
        <v>28</v>
      </c>
      <c r="B49" s="7">
        <v>9827690.8506999984</v>
      </c>
      <c r="D49" s="3" t="s">
        <v>13</v>
      </c>
      <c r="E49">
        <v>208</v>
      </c>
      <c r="F49" s="11">
        <v>1170800.2399999925</v>
      </c>
      <c r="G49">
        <f t="shared" ref="G49:G52" si="0">F49/E49</f>
        <v>5628.8473076922719</v>
      </c>
    </row>
    <row r="50" spans="1:7" x14ac:dyDescent="0.25">
      <c r="A50" s="3" t="s">
        <v>21</v>
      </c>
      <c r="B50" s="7">
        <v>13674409.201900005</v>
      </c>
      <c r="D50" s="3" t="s">
        <v>28</v>
      </c>
      <c r="E50">
        <v>169</v>
      </c>
      <c r="F50" s="11">
        <v>1071393.1599999974</v>
      </c>
      <c r="G50">
        <f t="shared" si="0"/>
        <v>6339.6044970414041</v>
      </c>
    </row>
    <row r="51" spans="1:7" x14ac:dyDescent="0.25">
      <c r="A51" s="3" t="s">
        <v>31</v>
      </c>
      <c r="B51" s="7">
        <v>12938723.959099999</v>
      </c>
      <c r="D51" s="3" t="s">
        <v>21</v>
      </c>
      <c r="E51">
        <v>222</v>
      </c>
      <c r="F51" s="11">
        <v>1501749.7599999942</v>
      </c>
      <c r="G51">
        <f t="shared" si="0"/>
        <v>6764.6385585585322</v>
      </c>
    </row>
    <row r="52" spans="1:7" x14ac:dyDescent="0.25">
      <c r="A52" s="3" t="s">
        <v>36</v>
      </c>
      <c r="B52" s="4">
        <v>59686173.283699997</v>
      </c>
      <c r="D52" s="3" t="s">
        <v>31</v>
      </c>
      <c r="E52">
        <v>209</v>
      </c>
      <c r="F52" s="11">
        <v>1449081.8999999948</v>
      </c>
      <c r="G52">
        <f t="shared" si="0"/>
        <v>6933.4062200956687</v>
      </c>
    </row>
    <row r="53" spans="1:7" x14ac:dyDescent="0.25">
      <c r="D53" s="3" t="s">
        <v>36</v>
      </c>
      <c r="E53">
        <v>1000</v>
      </c>
      <c r="F53" s="4">
        <v>6487847.0699999798</v>
      </c>
    </row>
  </sheetData>
  <pageMargins left="0.7" right="0.7" top="0.75" bottom="0.75" header="0.3" footer="0.3"/>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6191C-E24E-4CC1-8D73-5E03A542B16E}">
  <sheetPr codeName="Sheet3"/>
  <dimension ref="A1:AF64"/>
  <sheetViews>
    <sheetView zoomScale="80" zoomScaleNormal="145" workbookViewId="0">
      <selection activeCell="Q31" sqref="Q31"/>
    </sheetView>
  </sheetViews>
  <sheetFormatPr defaultRowHeight="15" x14ac:dyDescent="0.25"/>
  <cols>
    <col min="1" max="1" width="14.140625" bestFit="1" customWidth="1"/>
    <col min="2" max="2" width="17.42578125" bestFit="1" customWidth="1"/>
    <col min="3" max="7" width="12" bestFit="1" customWidth="1"/>
    <col min="8" max="32" width="9.85546875" bestFit="1" customWidth="1"/>
    <col min="33" max="33" width="11.28515625" bestFit="1" customWidth="1"/>
  </cols>
  <sheetData>
    <row r="1" spans="1:7" x14ac:dyDescent="0.25">
      <c r="A1" s="2" t="s">
        <v>57</v>
      </c>
      <c r="B1" s="2" t="s">
        <v>37</v>
      </c>
    </row>
    <row r="2" spans="1:7" x14ac:dyDescent="0.25">
      <c r="A2" s="2" t="s">
        <v>35</v>
      </c>
      <c r="B2" t="s">
        <v>21</v>
      </c>
      <c r="C2" t="s">
        <v>31</v>
      </c>
      <c r="D2" t="s">
        <v>32</v>
      </c>
      <c r="E2" t="s">
        <v>13</v>
      </c>
      <c r="F2" t="s">
        <v>28</v>
      </c>
      <c r="G2" t="s">
        <v>36</v>
      </c>
    </row>
    <row r="3" spans="1:7" x14ac:dyDescent="0.25">
      <c r="A3" s="3" t="s">
        <v>38</v>
      </c>
      <c r="B3">
        <v>112079.6299999992</v>
      </c>
      <c r="C3">
        <v>173374.53999999978</v>
      </c>
      <c r="D3">
        <v>67943.030000000013</v>
      </c>
      <c r="E3">
        <v>157772.33999999921</v>
      </c>
      <c r="F3">
        <v>166595.0599999995</v>
      </c>
      <c r="G3">
        <v>677764.59999999776</v>
      </c>
    </row>
    <row r="4" spans="1:7" x14ac:dyDescent="0.25">
      <c r="A4" s="3" t="s">
        <v>43</v>
      </c>
      <c r="B4">
        <v>95519.619999999195</v>
      </c>
      <c r="C4">
        <v>195530.15999999884</v>
      </c>
      <c r="D4">
        <v>101946.52999999998</v>
      </c>
      <c r="E4">
        <v>136283.20999999961</v>
      </c>
      <c r="F4">
        <v>76712.679999999833</v>
      </c>
      <c r="G4">
        <v>605992.19999999739</v>
      </c>
    </row>
    <row r="5" spans="1:7" x14ac:dyDescent="0.25">
      <c r="A5" s="3" t="s">
        <v>49</v>
      </c>
      <c r="B5">
        <v>144882.20999999915</v>
      </c>
      <c r="C5">
        <v>84523.89999999998</v>
      </c>
      <c r="D5">
        <v>170531.55999999918</v>
      </c>
      <c r="E5">
        <v>115929.59999999891</v>
      </c>
      <c r="F5">
        <v>74530.28</v>
      </c>
      <c r="G5">
        <v>590397.54999999725</v>
      </c>
    </row>
    <row r="6" spans="1:7" x14ac:dyDescent="0.25">
      <c r="A6" s="3" t="s">
        <v>47</v>
      </c>
      <c r="B6">
        <v>205117.13999999923</v>
      </c>
      <c r="C6">
        <v>110513.37999999977</v>
      </c>
      <c r="D6">
        <v>97087.459999999628</v>
      </c>
      <c r="E6">
        <v>99339.589999999589</v>
      </c>
      <c r="F6">
        <v>72622.260000000009</v>
      </c>
      <c r="G6">
        <v>584679.82999999821</v>
      </c>
    </row>
    <row r="7" spans="1:7" x14ac:dyDescent="0.25">
      <c r="A7" s="3" t="s">
        <v>45</v>
      </c>
      <c r="B7">
        <v>121114.87999999976</v>
      </c>
      <c r="C7">
        <v>110143.64999999973</v>
      </c>
      <c r="D7">
        <v>135654.82999999999</v>
      </c>
      <c r="E7">
        <v>117342.30999999976</v>
      </c>
      <c r="F7">
        <v>74162.019999999597</v>
      </c>
      <c r="G7">
        <v>558417.68999999878</v>
      </c>
    </row>
    <row r="8" spans="1:7" x14ac:dyDescent="0.25">
      <c r="A8" s="3" t="s">
        <v>48</v>
      </c>
      <c r="B8">
        <v>158087.17999999956</v>
      </c>
      <c r="C8">
        <v>79262.829999999929</v>
      </c>
      <c r="D8">
        <v>153004.52999999942</v>
      </c>
      <c r="E8">
        <v>78991.83999999876</v>
      </c>
      <c r="F8">
        <v>88465.679999999978</v>
      </c>
      <c r="G8">
        <v>557812.05999999773</v>
      </c>
    </row>
    <row r="9" spans="1:7" x14ac:dyDescent="0.25">
      <c r="A9" s="3" t="s">
        <v>40</v>
      </c>
      <c r="B9">
        <v>137144.93999999913</v>
      </c>
      <c r="C9">
        <v>155676.329999999</v>
      </c>
      <c r="D9">
        <v>96694.089999999618</v>
      </c>
      <c r="E9">
        <v>84130.539999999397</v>
      </c>
      <c r="F9">
        <v>54985.909999999589</v>
      </c>
      <c r="G9">
        <v>528631.8099999968</v>
      </c>
    </row>
    <row r="10" spans="1:7" x14ac:dyDescent="0.25">
      <c r="A10" s="3" t="s">
        <v>41</v>
      </c>
      <c r="B10">
        <v>103477.51999999968</v>
      </c>
      <c r="C10">
        <v>130899.87999999974</v>
      </c>
      <c r="D10">
        <v>84702.869999999733</v>
      </c>
      <c r="E10">
        <v>35884.089999999989</v>
      </c>
      <c r="F10">
        <v>141042.45999999958</v>
      </c>
      <c r="G10">
        <v>496006.81999999878</v>
      </c>
    </row>
    <row r="11" spans="1:7" x14ac:dyDescent="0.25">
      <c r="A11" s="3" t="s">
        <v>42</v>
      </c>
      <c r="B11">
        <v>120691.1499999997</v>
      </c>
      <c r="C11">
        <v>76386.779999999795</v>
      </c>
      <c r="D11">
        <v>98176.629999998826</v>
      </c>
      <c r="E11">
        <v>124038.79999999958</v>
      </c>
      <c r="F11">
        <v>70178.789999999979</v>
      </c>
      <c r="G11">
        <v>489472.14999999793</v>
      </c>
    </row>
    <row r="12" spans="1:7" x14ac:dyDescent="0.25">
      <c r="A12" s="3" t="s">
        <v>39</v>
      </c>
      <c r="B12">
        <v>131910.11999999956</v>
      </c>
      <c r="C12">
        <v>85253.749999999956</v>
      </c>
      <c r="D12">
        <v>124001.65000000004</v>
      </c>
      <c r="E12">
        <v>67098.239999999554</v>
      </c>
      <c r="F12">
        <v>69789.319999999701</v>
      </c>
      <c r="G12">
        <v>478053.07999999885</v>
      </c>
    </row>
    <row r="13" spans="1:7" x14ac:dyDescent="0.25">
      <c r="A13" s="3" t="s">
        <v>46</v>
      </c>
      <c r="B13">
        <v>79588.30999999991</v>
      </c>
      <c r="C13">
        <v>127931.82999999981</v>
      </c>
      <c r="D13">
        <v>48558.049999999959</v>
      </c>
      <c r="E13">
        <v>99030.889999998501</v>
      </c>
      <c r="F13">
        <v>117831.43999999964</v>
      </c>
      <c r="G13">
        <v>472940.51999999781</v>
      </c>
    </row>
    <row r="14" spans="1:7" x14ac:dyDescent="0.25">
      <c r="A14" s="3" t="s">
        <v>44</v>
      </c>
      <c r="B14">
        <v>92137.059999999692</v>
      </c>
      <c r="C14">
        <v>119584.86999999931</v>
      </c>
      <c r="D14">
        <v>116520.78</v>
      </c>
      <c r="E14">
        <v>54958.789999999419</v>
      </c>
      <c r="F14">
        <v>64477.259999999842</v>
      </c>
      <c r="G14">
        <v>447678.75999999826</v>
      </c>
    </row>
    <row r="15" spans="1:7" x14ac:dyDescent="0.25">
      <c r="A15" s="3" t="s">
        <v>36</v>
      </c>
      <c r="B15">
        <v>1501749.7599999937</v>
      </c>
      <c r="C15">
        <v>1449081.8999999955</v>
      </c>
      <c r="D15">
        <v>1294822.0099999963</v>
      </c>
      <c r="E15">
        <v>1170800.2399999923</v>
      </c>
      <c r="F15">
        <v>1071393.1599999971</v>
      </c>
      <c r="G15">
        <v>6487847.0699999752</v>
      </c>
    </row>
    <row r="17" spans="1:17" x14ac:dyDescent="0.25">
      <c r="A17" s="2" t="s">
        <v>57</v>
      </c>
      <c r="B17" s="2" t="s">
        <v>37</v>
      </c>
    </row>
    <row r="18" spans="1:17" x14ac:dyDescent="0.25">
      <c r="A18" s="2" t="s">
        <v>35</v>
      </c>
      <c r="B18" t="s">
        <v>25</v>
      </c>
      <c r="C18" t="s">
        <v>30</v>
      </c>
      <c r="D18" t="s">
        <v>23</v>
      </c>
      <c r="E18" t="s">
        <v>15</v>
      </c>
      <c r="F18" t="s">
        <v>36</v>
      </c>
    </row>
    <row r="19" spans="1:17" x14ac:dyDescent="0.25">
      <c r="A19" s="3" t="s">
        <v>38</v>
      </c>
      <c r="B19">
        <v>187197.18999999939</v>
      </c>
      <c r="C19">
        <v>121973.41999999975</v>
      </c>
      <c r="D19">
        <v>161815.93999999919</v>
      </c>
      <c r="E19">
        <v>206778.04999999946</v>
      </c>
      <c r="F19">
        <v>677764.59999999776</v>
      </c>
    </row>
    <row r="20" spans="1:17" x14ac:dyDescent="0.25">
      <c r="A20" s="3" t="s">
        <v>39</v>
      </c>
      <c r="B20">
        <v>98797.379999999554</v>
      </c>
      <c r="C20">
        <v>121765.63999999974</v>
      </c>
      <c r="D20">
        <v>95226.949999999983</v>
      </c>
      <c r="E20">
        <v>162263.10999999949</v>
      </c>
      <c r="F20">
        <v>478053.07999999879</v>
      </c>
    </row>
    <row r="21" spans="1:17" x14ac:dyDescent="0.25">
      <c r="A21" s="3" t="s">
        <v>40</v>
      </c>
      <c r="B21">
        <v>134579.30999999956</v>
      </c>
      <c r="C21">
        <v>119132.76999999939</v>
      </c>
      <c r="D21">
        <v>139301.98999999894</v>
      </c>
      <c r="E21">
        <v>135617.73999999886</v>
      </c>
      <c r="F21">
        <v>528631.8099999968</v>
      </c>
    </row>
    <row r="22" spans="1:17" x14ac:dyDescent="0.25">
      <c r="A22" s="3" t="s">
        <v>41</v>
      </c>
      <c r="B22">
        <v>133204.75999999966</v>
      </c>
      <c r="C22">
        <v>152470.59999999939</v>
      </c>
      <c r="D22">
        <v>76498.219999999899</v>
      </c>
      <c r="E22">
        <v>133833.2399999997</v>
      </c>
      <c r="F22">
        <v>496006.81999999867</v>
      </c>
    </row>
    <row r="23" spans="1:17" x14ac:dyDescent="0.25">
      <c r="A23" s="3" t="s">
        <v>42</v>
      </c>
      <c r="B23">
        <v>91182.009999999544</v>
      </c>
      <c r="C23">
        <v>101146.65999999914</v>
      </c>
      <c r="D23">
        <v>142303.98999999918</v>
      </c>
      <c r="E23">
        <v>154839.49</v>
      </c>
      <c r="F23">
        <v>489472.14999999787</v>
      </c>
    </row>
    <row r="24" spans="1:17" x14ac:dyDescent="0.25">
      <c r="A24" s="3" t="s">
        <v>43</v>
      </c>
      <c r="B24">
        <v>173598.88999999966</v>
      </c>
      <c r="C24">
        <v>120192.98999999932</v>
      </c>
      <c r="D24">
        <v>93898.359999999535</v>
      </c>
      <c r="E24">
        <v>218301.95999999897</v>
      </c>
      <c r="F24">
        <v>605992.19999999739</v>
      </c>
    </row>
    <row r="25" spans="1:17" x14ac:dyDescent="0.25">
      <c r="A25" s="3" t="s">
        <v>44</v>
      </c>
      <c r="B25">
        <v>85480.659999999276</v>
      </c>
      <c r="C25">
        <v>162502.82999999987</v>
      </c>
      <c r="D25">
        <v>89478.14999999979</v>
      </c>
      <c r="E25">
        <v>110217.11999999931</v>
      </c>
      <c r="F25">
        <v>447678.75999999826</v>
      </c>
    </row>
    <row r="26" spans="1:17" x14ac:dyDescent="0.25">
      <c r="A26" s="3" t="s">
        <v>45</v>
      </c>
      <c r="B26">
        <v>214744.93999999957</v>
      </c>
      <c r="C26">
        <v>79938.30999999959</v>
      </c>
      <c r="D26">
        <v>137395.65999999977</v>
      </c>
      <c r="E26">
        <v>126338.77999999998</v>
      </c>
      <c r="F26">
        <v>558417.68999999901</v>
      </c>
    </row>
    <row r="27" spans="1:17" x14ac:dyDescent="0.25">
      <c r="A27" s="3" t="s">
        <v>46</v>
      </c>
      <c r="B27">
        <v>134194.58999999889</v>
      </c>
      <c r="C27">
        <v>118202.93999999999</v>
      </c>
      <c r="D27">
        <v>130682.95999999953</v>
      </c>
      <c r="E27">
        <v>89860.029999999402</v>
      </c>
      <c r="F27">
        <v>472940.51999999775</v>
      </c>
    </row>
    <row r="28" spans="1:17" x14ac:dyDescent="0.25">
      <c r="A28" s="3" t="s">
        <v>47</v>
      </c>
      <c r="B28">
        <v>127011.54999999951</v>
      </c>
      <c r="C28">
        <v>179123.1499999995</v>
      </c>
      <c r="D28">
        <v>128151.31999999958</v>
      </c>
      <c r="E28">
        <v>150393.80999999959</v>
      </c>
      <c r="F28">
        <v>584679.82999999821</v>
      </c>
    </row>
    <row r="29" spans="1:17" x14ac:dyDescent="0.25">
      <c r="A29" s="3" t="s">
        <v>48</v>
      </c>
      <c r="B29">
        <v>149150.60999999911</v>
      </c>
      <c r="C29">
        <v>146080.79999999967</v>
      </c>
      <c r="D29">
        <v>109892.51999999941</v>
      </c>
      <c r="E29">
        <v>152688.12999999945</v>
      </c>
      <c r="F29">
        <v>557812.05999999761</v>
      </c>
    </row>
    <row r="30" spans="1:17" x14ac:dyDescent="0.25">
      <c r="A30" s="3" t="s">
        <v>49</v>
      </c>
      <c r="B30">
        <v>183815.90999999948</v>
      </c>
      <c r="C30">
        <v>151789.94999999803</v>
      </c>
      <c r="D30">
        <v>116461.98999999986</v>
      </c>
      <c r="E30">
        <v>138329.69999999978</v>
      </c>
      <c r="F30">
        <v>590397.54999999725</v>
      </c>
    </row>
    <row r="31" spans="1:17" x14ac:dyDescent="0.25">
      <c r="A31" s="3" t="s">
        <v>36</v>
      </c>
      <c r="B31">
        <v>1712957.7999999933</v>
      </c>
      <c r="C31">
        <v>1574320.0599999933</v>
      </c>
      <c r="D31">
        <v>1421108.0499999947</v>
      </c>
      <c r="E31">
        <v>1779461.1599999941</v>
      </c>
      <c r="F31">
        <v>6487847.0699999752</v>
      </c>
      <c r="Q31">
        <f>GETPIVOTDATA("Product_ID",$A$34)</f>
        <v>1000</v>
      </c>
    </row>
    <row r="34" spans="1:2" x14ac:dyDescent="0.25">
      <c r="A34" s="2" t="s">
        <v>35</v>
      </c>
      <c r="B34" t="s">
        <v>56</v>
      </c>
    </row>
    <row r="35" spans="1:2" x14ac:dyDescent="0.25">
      <c r="A35" s="3" t="s">
        <v>38</v>
      </c>
      <c r="B35">
        <v>103</v>
      </c>
    </row>
    <row r="36" spans="1:2" x14ac:dyDescent="0.25">
      <c r="A36" s="3" t="s">
        <v>39</v>
      </c>
      <c r="B36">
        <v>75</v>
      </c>
    </row>
    <row r="37" spans="1:2" x14ac:dyDescent="0.25">
      <c r="A37" s="3" t="s">
        <v>40</v>
      </c>
      <c r="B37">
        <v>80</v>
      </c>
    </row>
    <row r="38" spans="1:2" x14ac:dyDescent="0.25">
      <c r="A38" s="3" t="s">
        <v>41</v>
      </c>
      <c r="B38">
        <v>81</v>
      </c>
    </row>
    <row r="39" spans="1:2" x14ac:dyDescent="0.25">
      <c r="A39" s="3" t="s">
        <v>42</v>
      </c>
      <c r="B39">
        <v>72</v>
      </c>
    </row>
    <row r="40" spans="1:2" x14ac:dyDescent="0.25">
      <c r="A40" s="3" t="s">
        <v>43</v>
      </c>
      <c r="B40">
        <v>92</v>
      </c>
    </row>
    <row r="41" spans="1:2" x14ac:dyDescent="0.25">
      <c r="A41" s="3" t="s">
        <v>44</v>
      </c>
      <c r="B41">
        <v>68</v>
      </c>
    </row>
    <row r="42" spans="1:2" x14ac:dyDescent="0.25">
      <c r="A42" s="3" t="s">
        <v>45</v>
      </c>
      <c r="B42">
        <v>93</v>
      </c>
    </row>
    <row r="43" spans="1:2" x14ac:dyDescent="0.25">
      <c r="A43" s="3" t="s">
        <v>46</v>
      </c>
      <c r="B43">
        <v>68</v>
      </c>
    </row>
    <row r="44" spans="1:2" x14ac:dyDescent="0.25">
      <c r="A44" s="3" t="s">
        <v>47</v>
      </c>
      <c r="B44">
        <v>88</v>
      </c>
    </row>
    <row r="45" spans="1:2" x14ac:dyDescent="0.25">
      <c r="A45" s="3" t="s">
        <v>48</v>
      </c>
      <c r="B45">
        <v>95</v>
      </c>
    </row>
    <row r="46" spans="1:2" x14ac:dyDescent="0.25">
      <c r="A46" s="3" t="s">
        <v>49</v>
      </c>
      <c r="B46">
        <v>85</v>
      </c>
    </row>
    <row r="47" spans="1:2" x14ac:dyDescent="0.25">
      <c r="A47" s="3" t="s">
        <v>36</v>
      </c>
      <c r="B47">
        <v>1000</v>
      </c>
    </row>
    <row r="51" spans="1:32" x14ac:dyDescent="0.25">
      <c r="A51" s="2" t="s">
        <v>54</v>
      </c>
      <c r="B51" s="2" t="s">
        <v>37</v>
      </c>
    </row>
    <row r="52" spans="1:32" x14ac:dyDescent="0.25">
      <c r="A52" s="2" t="s">
        <v>35</v>
      </c>
      <c r="B52">
        <v>0</v>
      </c>
      <c r="C52">
        <v>0.01</v>
      </c>
      <c r="D52">
        <v>0.02</v>
      </c>
      <c r="E52">
        <v>0.03</v>
      </c>
      <c r="F52">
        <v>0.04</v>
      </c>
      <c r="G52">
        <v>0.05</v>
      </c>
      <c r="H52">
        <v>0.06</v>
      </c>
      <c r="I52">
        <v>7.0000000000000007E-2</v>
      </c>
      <c r="J52">
        <v>0.08</v>
      </c>
      <c r="K52">
        <v>0.09</v>
      </c>
      <c r="L52">
        <v>0.1</v>
      </c>
      <c r="M52">
        <v>0.11</v>
      </c>
      <c r="N52">
        <v>0.12</v>
      </c>
      <c r="O52">
        <v>0.13</v>
      </c>
      <c r="P52">
        <v>0.14000000000000001</v>
      </c>
      <c r="Q52">
        <v>0.15</v>
      </c>
      <c r="R52">
        <v>0.16</v>
      </c>
      <c r="S52">
        <v>0.17</v>
      </c>
      <c r="T52">
        <v>0.18</v>
      </c>
      <c r="U52">
        <v>0.19</v>
      </c>
      <c r="V52">
        <v>0.2</v>
      </c>
      <c r="W52">
        <v>0.21</v>
      </c>
      <c r="X52">
        <v>0.22</v>
      </c>
      <c r="Y52">
        <v>0.23</v>
      </c>
      <c r="Z52">
        <v>0.24</v>
      </c>
      <c r="AA52">
        <v>0.25</v>
      </c>
      <c r="AB52">
        <v>0.26</v>
      </c>
      <c r="AC52">
        <v>0.27</v>
      </c>
      <c r="AD52">
        <v>0.28000000000000003</v>
      </c>
      <c r="AE52">
        <v>0.28999999999999998</v>
      </c>
      <c r="AF52">
        <v>0.3</v>
      </c>
    </row>
    <row r="53" spans="1:32" x14ac:dyDescent="0.25">
      <c r="A53" s="3" t="s">
        <v>38</v>
      </c>
      <c r="B53">
        <v>24899.610000000011</v>
      </c>
      <c r="C53">
        <v>54904.869999999588</v>
      </c>
      <c r="D53">
        <v>3489.8599999999965</v>
      </c>
      <c r="E53">
        <v>30161.559999999994</v>
      </c>
      <c r="F53">
        <v>18837.349999999955</v>
      </c>
      <c r="G53">
        <v>27661.52999999981</v>
      </c>
      <c r="H53">
        <v>13136.460000000005</v>
      </c>
      <c r="I53">
        <v>18863.169999999765</v>
      </c>
      <c r="J53">
        <v>27220.570000000003</v>
      </c>
      <c r="K53">
        <v>11364.54</v>
      </c>
      <c r="L53">
        <v>37970.07999999982</v>
      </c>
      <c r="M53">
        <v>34311.379999999634</v>
      </c>
      <c r="N53">
        <v>29416.009999999951</v>
      </c>
      <c r="O53">
        <v>11175.5</v>
      </c>
      <c r="P53">
        <v>16721.709999999985</v>
      </c>
      <c r="Q53">
        <v>17566.36</v>
      </c>
      <c r="R53">
        <v>8957.5800000000017</v>
      </c>
      <c r="S53">
        <v>52276.37000000001</v>
      </c>
      <c r="T53">
        <v>2209.2799999999988</v>
      </c>
      <c r="U53">
        <v>2419.5499999999993</v>
      </c>
      <c r="V53">
        <v>23695.499999999989</v>
      </c>
      <c r="W53">
        <v>10579.239999999983</v>
      </c>
      <c r="X53">
        <v>2615.2999999999938</v>
      </c>
      <c r="Y53">
        <v>7764.75</v>
      </c>
      <c r="Z53">
        <v>68521.269999999393</v>
      </c>
      <c r="AA53">
        <v>17087.029999999992</v>
      </c>
      <c r="AB53">
        <v>19129.499999999796</v>
      </c>
      <c r="AC53">
        <v>22643.329999999998</v>
      </c>
      <c r="AD53">
        <v>25134.519999999993</v>
      </c>
      <c r="AE53">
        <v>31776.44999999999</v>
      </c>
      <c r="AF53">
        <v>5254.3700000000008</v>
      </c>
    </row>
    <row r="54" spans="1:32" x14ac:dyDescent="0.25">
      <c r="A54" s="3" t="s">
        <v>39</v>
      </c>
      <c r="C54">
        <v>23465.949999999993</v>
      </c>
      <c r="D54">
        <v>25453.579999999973</v>
      </c>
      <c r="E54">
        <v>9264.3900000000031</v>
      </c>
      <c r="F54">
        <v>24535.72999999996</v>
      </c>
      <c r="G54">
        <v>20777.359999999997</v>
      </c>
      <c r="H54">
        <v>7733.8499999999876</v>
      </c>
      <c r="I54">
        <v>21912.100000000006</v>
      </c>
      <c r="J54">
        <v>10120.949999999997</v>
      </c>
      <c r="K54">
        <v>15405.979999999996</v>
      </c>
      <c r="L54">
        <v>28714.039999999586</v>
      </c>
      <c r="N54">
        <v>6331.6799999999812</v>
      </c>
      <c r="P54">
        <v>8777.8899999997629</v>
      </c>
      <c r="Q54">
        <v>818.69999999999993</v>
      </c>
      <c r="R54">
        <v>20053.589999999997</v>
      </c>
      <c r="S54">
        <v>32869.229999999996</v>
      </c>
      <c r="U54">
        <v>735</v>
      </c>
      <c r="V54">
        <v>11576.659999999556</v>
      </c>
      <c r="W54">
        <v>31106.159999999989</v>
      </c>
      <c r="X54">
        <v>32499.159999999993</v>
      </c>
      <c r="Y54">
        <v>11013.650000000001</v>
      </c>
      <c r="Z54">
        <v>1654.399999999999</v>
      </c>
      <c r="AA54">
        <v>22594.569999999992</v>
      </c>
      <c r="AB54">
        <v>18797.550000000003</v>
      </c>
      <c r="AC54">
        <v>73698.320000000007</v>
      </c>
      <c r="AD54">
        <v>3678.0300000000007</v>
      </c>
      <c r="AE54">
        <v>6337.7999999999929</v>
      </c>
      <c r="AF54">
        <v>8126.76</v>
      </c>
    </row>
    <row r="55" spans="1:32" x14ac:dyDescent="0.25">
      <c r="A55" s="3" t="s">
        <v>40</v>
      </c>
      <c r="B55">
        <v>4243.5999999999985</v>
      </c>
      <c r="C55">
        <v>20265.319999999992</v>
      </c>
      <c r="E55">
        <v>30436.579999999722</v>
      </c>
      <c r="F55">
        <v>24710.199999999113</v>
      </c>
      <c r="G55">
        <v>5083.8800000000028</v>
      </c>
      <c r="H55">
        <v>25286.489999999776</v>
      </c>
      <c r="I55">
        <v>22800.73000000001</v>
      </c>
      <c r="J55">
        <v>13542.019999999655</v>
      </c>
      <c r="K55">
        <v>23863.619999999992</v>
      </c>
      <c r="L55">
        <v>22123.729999999661</v>
      </c>
      <c r="N55">
        <v>39706.859999999288</v>
      </c>
      <c r="O55">
        <v>1985.579999999999</v>
      </c>
      <c r="Q55">
        <v>14035.28000000001</v>
      </c>
      <c r="R55">
        <v>21896.730000000003</v>
      </c>
      <c r="S55">
        <v>3125.7200000000021</v>
      </c>
      <c r="T55">
        <v>39650.959999999999</v>
      </c>
      <c r="U55">
        <v>53975.76999999999</v>
      </c>
      <c r="V55">
        <v>11211.349999999989</v>
      </c>
      <c r="W55">
        <v>14620.36</v>
      </c>
      <c r="X55">
        <v>10298.61</v>
      </c>
      <c r="Y55">
        <v>28731.879999999997</v>
      </c>
      <c r="Z55">
        <v>30358.589999999629</v>
      </c>
      <c r="AA55">
        <v>26872.80000000001</v>
      </c>
      <c r="AB55">
        <v>17833.8</v>
      </c>
      <c r="AC55">
        <v>3512.8399999999983</v>
      </c>
      <c r="AD55">
        <v>899.79999999996107</v>
      </c>
      <c r="AE55">
        <v>17558.710000000006</v>
      </c>
    </row>
    <row r="56" spans="1:32" x14ac:dyDescent="0.25">
      <c r="A56" s="3" t="s">
        <v>41</v>
      </c>
      <c r="B56">
        <v>1235.0499999999988</v>
      </c>
      <c r="C56">
        <v>22232.239999999994</v>
      </c>
      <c r="E56">
        <v>598.08000000000038</v>
      </c>
      <c r="F56">
        <v>29232.720000000005</v>
      </c>
      <c r="G56">
        <v>19487.260000000009</v>
      </c>
      <c r="H56">
        <v>18734.749999999993</v>
      </c>
      <c r="I56">
        <v>33893.810000000005</v>
      </c>
      <c r="J56">
        <v>318.42000000000098</v>
      </c>
      <c r="K56">
        <v>10217.999999999995</v>
      </c>
      <c r="L56">
        <v>2730.6600000000026</v>
      </c>
      <c r="M56">
        <v>20335.369999999992</v>
      </c>
      <c r="N56">
        <v>10573.9399999999</v>
      </c>
      <c r="O56">
        <v>32914.999999999665</v>
      </c>
      <c r="P56">
        <v>15830.989999999996</v>
      </c>
      <c r="Q56">
        <v>14891.080000000002</v>
      </c>
      <c r="S56">
        <v>3855.8199999999983</v>
      </c>
      <c r="T56">
        <v>24660.64999999971</v>
      </c>
      <c r="U56">
        <v>16132.859999999995</v>
      </c>
      <c r="V56">
        <v>18671.329999999998</v>
      </c>
      <c r="X56">
        <v>16994.929999999978</v>
      </c>
      <c r="Y56">
        <v>11715.839999999993</v>
      </c>
      <c r="Z56">
        <v>6307.5300000000025</v>
      </c>
      <c r="AA56">
        <v>13998.770000000004</v>
      </c>
      <c r="AB56">
        <v>16041.650000000005</v>
      </c>
      <c r="AC56">
        <v>31130.289999999775</v>
      </c>
      <c r="AD56">
        <v>16461.180000000008</v>
      </c>
      <c r="AE56">
        <v>82876.119999999632</v>
      </c>
      <c r="AF56">
        <v>3932.4800000000105</v>
      </c>
    </row>
    <row r="57" spans="1:32" x14ac:dyDescent="0.25">
      <c r="A57" s="3" t="s">
        <v>42</v>
      </c>
      <c r="C57">
        <v>11441.279999999813</v>
      </c>
      <c r="D57">
        <v>5638.839999999992</v>
      </c>
      <c r="E57">
        <v>15357.04</v>
      </c>
      <c r="F57">
        <v>21554.569999999789</v>
      </c>
      <c r="G57">
        <v>46206.770000000004</v>
      </c>
      <c r="H57">
        <v>24380.41999999966</v>
      </c>
      <c r="I57">
        <v>4005.1199999999862</v>
      </c>
      <c r="J57">
        <v>9562.0799999999981</v>
      </c>
      <c r="K57">
        <v>37341.520000000004</v>
      </c>
      <c r="M57">
        <v>8158.6999999999625</v>
      </c>
      <c r="N57">
        <v>454.7800000000002</v>
      </c>
      <c r="P57">
        <v>20555.349999999664</v>
      </c>
      <c r="Q57">
        <v>22108.950000000019</v>
      </c>
      <c r="S57">
        <v>14902.559999999992</v>
      </c>
      <c r="T57">
        <v>4897.1999999997224</v>
      </c>
      <c r="U57">
        <v>22626.639999999978</v>
      </c>
      <c r="V57">
        <v>8651.1999999999989</v>
      </c>
      <c r="W57">
        <v>29109.249999999542</v>
      </c>
      <c r="X57">
        <v>19250.930000000004</v>
      </c>
      <c r="Y57">
        <v>14499.170000000004</v>
      </c>
      <c r="Z57">
        <v>42619.070000000022</v>
      </c>
      <c r="AA57">
        <v>17485.319999999709</v>
      </c>
      <c r="AB57">
        <v>9902.3099999999959</v>
      </c>
      <c r="AC57">
        <v>3351.0000000000036</v>
      </c>
      <c r="AD57">
        <v>54784.540000000008</v>
      </c>
      <c r="AE57">
        <v>17254.799999999996</v>
      </c>
      <c r="AF57">
        <v>3372.7400000000011</v>
      </c>
    </row>
    <row r="58" spans="1:32" x14ac:dyDescent="0.25">
      <c r="A58" s="3" t="s">
        <v>43</v>
      </c>
      <c r="B58">
        <v>12544.010000000002</v>
      </c>
      <c r="C58">
        <v>10807.019999999993</v>
      </c>
      <c r="D58">
        <v>16440.689999999799</v>
      </c>
      <c r="E58">
        <v>18463.28999999999</v>
      </c>
      <c r="F58">
        <v>49526.489999999962</v>
      </c>
      <c r="G58">
        <v>35144.069999999316</v>
      </c>
      <c r="H58">
        <v>32635.299999999981</v>
      </c>
      <c r="I58">
        <v>1904.2799999999979</v>
      </c>
      <c r="J58">
        <v>2064.8800000000047</v>
      </c>
      <c r="K58">
        <v>40461.769999999931</v>
      </c>
      <c r="L58">
        <v>75366.939999999551</v>
      </c>
      <c r="M58">
        <v>2086.9299999999998</v>
      </c>
      <c r="N58">
        <v>38980.649999999994</v>
      </c>
      <c r="O58">
        <v>4797.4999999999927</v>
      </c>
      <c r="P58">
        <v>22236.350000000006</v>
      </c>
      <c r="Q58">
        <v>7290.6799999999985</v>
      </c>
      <c r="R58">
        <v>7914.1800000000112</v>
      </c>
      <c r="S58">
        <v>8715.3299999997471</v>
      </c>
      <c r="T58">
        <v>18611.930000000015</v>
      </c>
      <c r="U58">
        <v>15518.55999999999</v>
      </c>
      <c r="V58">
        <v>584.79999999990196</v>
      </c>
      <c r="W58">
        <v>17165.579999999864</v>
      </c>
      <c r="X58">
        <v>34123.329999999645</v>
      </c>
      <c r="Y58">
        <v>1337.4400000000014</v>
      </c>
      <c r="Z58">
        <v>19299.280000000013</v>
      </c>
      <c r="AA58">
        <v>29783.549999999996</v>
      </c>
      <c r="AB58">
        <v>26423.949999999953</v>
      </c>
      <c r="AC58">
        <v>25292.669999999849</v>
      </c>
      <c r="AD58">
        <v>21460.349999999962</v>
      </c>
      <c r="AF58">
        <v>9010.4</v>
      </c>
    </row>
    <row r="59" spans="1:32" x14ac:dyDescent="0.25">
      <c r="A59" s="3" t="s">
        <v>44</v>
      </c>
      <c r="C59">
        <v>1287.2700000000004</v>
      </c>
      <c r="D59">
        <v>513.39999999999691</v>
      </c>
      <c r="E59">
        <v>14691.929999999991</v>
      </c>
      <c r="F59">
        <v>24886.890000000003</v>
      </c>
      <c r="G59">
        <v>1047.3999999999942</v>
      </c>
      <c r="H59">
        <v>17048.399999999707</v>
      </c>
      <c r="I59">
        <v>21393.10999999979</v>
      </c>
      <c r="J59">
        <v>23142.35</v>
      </c>
      <c r="K59">
        <v>29574.979999999658</v>
      </c>
      <c r="L59">
        <v>6775.89</v>
      </c>
      <c r="M59">
        <v>17480.279999999992</v>
      </c>
      <c r="N59">
        <v>27646.94000000001</v>
      </c>
      <c r="O59">
        <v>19629.059999999856</v>
      </c>
      <c r="P59">
        <v>12596.780000000006</v>
      </c>
      <c r="Q59">
        <v>29246.690000000006</v>
      </c>
      <c r="R59">
        <v>3303.9499999998361</v>
      </c>
      <c r="S59">
        <v>5640.3200000000015</v>
      </c>
      <c r="T59">
        <v>7494.5000000000109</v>
      </c>
      <c r="U59">
        <v>24966.299999999992</v>
      </c>
      <c r="V59">
        <v>21713.399999999994</v>
      </c>
      <c r="W59">
        <v>17705.949999999815</v>
      </c>
      <c r="X59">
        <v>10613.120000000003</v>
      </c>
      <c r="Y59">
        <v>23269.869999999624</v>
      </c>
      <c r="Z59">
        <v>20875.800000000003</v>
      </c>
      <c r="AA59">
        <v>16187.669999999991</v>
      </c>
      <c r="AB59">
        <v>17163.709999999985</v>
      </c>
      <c r="AC59">
        <v>10526.869999999992</v>
      </c>
      <c r="AD59">
        <v>1419.4499999999994</v>
      </c>
      <c r="AE59">
        <v>712.32000000000664</v>
      </c>
      <c r="AF59">
        <v>19124.160000000003</v>
      </c>
    </row>
    <row r="60" spans="1:32" x14ac:dyDescent="0.25">
      <c r="A60" s="3" t="s">
        <v>45</v>
      </c>
      <c r="B60">
        <v>18018.939999999995</v>
      </c>
      <c r="C60">
        <v>28980.929999999993</v>
      </c>
      <c r="D60">
        <v>25529.05000000001</v>
      </c>
      <c r="E60">
        <v>14137.190000000002</v>
      </c>
      <c r="F60">
        <v>5141.760000000002</v>
      </c>
      <c r="G60">
        <v>14195.540000000008</v>
      </c>
      <c r="H60">
        <v>20654.919999999998</v>
      </c>
      <c r="I60">
        <v>31956.969999999721</v>
      </c>
      <c r="J60">
        <v>16546.919999999998</v>
      </c>
      <c r="K60">
        <v>30903.809999999998</v>
      </c>
      <c r="L60">
        <v>24855.020000000004</v>
      </c>
      <c r="M60">
        <v>15425.849999999999</v>
      </c>
      <c r="N60">
        <v>22845.010000000002</v>
      </c>
      <c r="O60">
        <v>33557.629999999997</v>
      </c>
      <c r="P60">
        <v>16433.199999999997</v>
      </c>
      <c r="Q60">
        <v>2826.7800000000025</v>
      </c>
      <c r="R60">
        <v>2654.2799999999997</v>
      </c>
      <c r="S60">
        <v>40056.539999999746</v>
      </c>
      <c r="T60">
        <v>11866.670000000006</v>
      </c>
      <c r="U60">
        <v>23783.679999999993</v>
      </c>
      <c r="V60">
        <v>15707.310000000019</v>
      </c>
      <c r="W60">
        <v>4026.0999999999976</v>
      </c>
      <c r="X60">
        <v>19051.669999999995</v>
      </c>
      <c r="Z60">
        <v>20679.409999999851</v>
      </c>
      <c r="AA60">
        <v>31776.169999999758</v>
      </c>
      <c r="AB60">
        <v>17015.480000000003</v>
      </c>
      <c r="AC60">
        <v>1137.3599999997296</v>
      </c>
      <c r="AD60">
        <v>20545.779999999992</v>
      </c>
      <c r="AE60">
        <v>7207.2600000000011</v>
      </c>
      <c r="AF60">
        <v>20900.459999999992</v>
      </c>
    </row>
    <row r="61" spans="1:32" x14ac:dyDescent="0.25">
      <c r="A61" s="3" t="s">
        <v>46</v>
      </c>
      <c r="C61">
        <v>12950.619999999994</v>
      </c>
      <c r="D61">
        <v>15985.17</v>
      </c>
      <c r="E61">
        <v>22398.049999999988</v>
      </c>
      <c r="G61">
        <v>20049.3</v>
      </c>
      <c r="H61">
        <v>14129.279999999995</v>
      </c>
      <c r="I61">
        <v>1191.9599999999964</v>
      </c>
      <c r="J61">
        <v>25558.459999999985</v>
      </c>
      <c r="K61">
        <v>1538.9999999998554</v>
      </c>
      <c r="L61">
        <v>8643.970000000003</v>
      </c>
      <c r="M61">
        <v>8081.2999999995654</v>
      </c>
      <c r="N61">
        <v>27720.69999999999</v>
      </c>
      <c r="O61">
        <v>7562.4500000000007</v>
      </c>
      <c r="P61">
        <v>49433.979999999588</v>
      </c>
      <c r="Q61">
        <v>12883.459999999719</v>
      </c>
      <c r="R61">
        <v>12743.379999999986</v>
      </c>
      <c r="S61">
        <v>3181.2100000000019</v>
      </c>
      <c r="T61">
        <v>19524.420000000002</v>
      </c>
      <c r="V61">
        <v>4926.4499999999989</v>
      </c>
      <c r="W61">
        <v>4459.4399999996367</v>
      </c>
      <c r="X61">
        <v>24201.26999999996</v>
      </c>
      <c r="Y61">
        <v>14435.749999999767</v>
      </c>
      <c r="Z61">
        <v>25907.329999999856</v>
      </c>
      <c r="AA61">
        <v>29013.619999999995</v>
      </c>
      <c r="AB61">
        <v>40815.419999999962</v>
      </c>
      <c r="AC61">
        <v>33693.509999999995</v>
      </c>
      <c r="AD61">
        <v>1145.600000000004</v>
      </c>
      <c r="AE61">
        <v>14859.7</v>
      </c>
      <c r="AF61">
        <v>15905.720000000001</v>
      </c>
    </row>
    <row r="62" spans="1:32" x14ac:dyDescent="0.25">
      <c r="A62" s="3" t="s">
        <v>47</v>
      </c>
      <c r="B62">
        <v>24243.089999999786</v>
      </c>
      <c r="C62">
        <v>70653.189999999639</v>
      </c>
      <c r="D62">
        <v>10776.550000000014</v>
      </c>
      <c r="E62">
        <v>20544.669999999998</v>
      </c>
      <c r="F62">
        <v>22490.559999999998</v>
      </c>
      <c r="G62">
        <v>9712.440000000006</v>
      </c>
      <c r="H62">
        <v>11352.119999999994</v>
      </c>
      <c r="I62">
        <v>2501.9400000000196</v>
      </c>
      <c r="J62">
        <v>30440</v>
      </c>
      <c r="K62">
        <v>14431.759999999998</v>
      </c>
      <c r="L62">
        <v>16817.62999999979</v>
      </c>
      <c r="M62">
        <v>4023.5599999999972</v>
      </c>
      <c r="N62">
        <v>26737.1</v>
      </c>
      <c r="O62">
        <v>49343.090000000011</v>
      </c>
      <c r="P62">
        <v>19269.000000000004</v>
      </c>
      <c r="Q62">
        <v>8495.1599999999944</v>
      </c>
      <c r="R62">
        <v>16336.869999999495</v>
      </c>
      <c r="S62">
        <v>17745.059999999983</v>
      </c>
      <c r="T62">
        <v>27448.499999999971</v>
      </c>
      <c r="U62">
        <v>3461.970000000003</v>
      </c>
      <c r="V62">
        <v>17754.87999999999</v>
      </c>
      <c r="W62">
        <v>23900.759999999951</v>
      </c>
      <c r="X62">
        <v>24729.64</v>
      </c>
      <c r="Z62">
        <v>41280.069999999971</v>
      </c>
      <c r="AA62">
        <v>4546.4400000000123</v>
      </c>
      <c r="AB62">
        <v>16595.470000000005</v>
      </c>
      <c r="AC62">
        <v>14495.949999999622</v>
      </c>
      <c r="AD62">
        <v>1644.0000000000055</v>
      </c>
      <c r="AE62">
        <v>16185.779999999982</v>
      </c>
      <c r="AF62">
        <v>16722.579999999991</v>
      </c>
    </row>
    <row r="63" spans="1:32" x14ac:dyDescent="0.25">
      <c r="A63" s="3" t="s">
        <v>48</v>
      </c>
      <c r="B63">
        <v>1680.5199999998445</v>
      </c>
      <c r="C63">
        <v>26615.119999999592</v>
      </c>
      <c r="D63">
        <v>2023.3200000000015</v>
      </c>
      <c r="E63">
        <v>27486.479999999992</v>
      </c>
      <c r="F63">
        <v>24789.609999999997</v>
      </c>
      <c r="I63">
        <v>27416.029999999751</v>
      </c>
      <c r="J63">
        <v>11964.989999999991</v>
      </c>
      <c r="K63">
        <v>15018.450000000003</v>
      </c>
      <c r="L63">
        <v>28551.450000000004</v>
      </c>
      <c r="M63">
        <v>2297.1999999999243</v>
      </c>
      <c r="N63">
        <v>398.58000000000038</v>
      </c>
      <c r="O63">
        <v>28715.769999999633</v>
      </c>
      <c r="P63">
        <v>5132.2399999999034</v>
      </c>
      <c r="Q63">
        <v>25166.699999999993</v>
      </c>
      <c r="R63">
        <v>7173.6000000000022</v>
      </c>
      <c r="S63">
        <v>25860.89999999955</v>
      </c>
      <c r="T63">
        <v>26541.820000000003</v>
      </c>
      <c r="U63">
        <v>8113.6800000000039</v>
      </c>
      <c r="V63">
        <v>14512.639999999992</v>
      </c>
      <c r="W63">
        <v>27830.519999999997</v>
      </c>
      <c r="X63">
        <v>54958.19999999967</v>
      </c>
      <c r="Y63">
        <v>40853.539999999834</v>
      </c>
      <c r="Z63">
        <v>15837.980000000003</v>
      </c>
      <c r="AA63">
        <v>20455.259999999995</v>
      </c>
      <c r="AB63">
        <v>19968.689999999995</v>
      </c>
      <c r="AC63">
        <v>8582.3799999999992</v>
      </c>
      <c r="AD63">
        <v>16049.089999999991</v>
      </c>
      <c r="AE63">
        <v>26384.55999999999</v>
      </c>
      <c r="AF63">
        <v>17432.739999999976</v>
      </c>
    </row>
    <row r="64" spans="1:32" x14ac:dyDescent="0.25">
      <c r="A64" s="3" t="s">
        <v>49</v>
      </c>
      <c r="B64">
        <v>13980.459999999986</v>
      </c>
      <c r="C64">
        <v>16938.439999999981</v>
      </c>
      <c r="D64">
        <v>17282.57</v>
      </c>
      <c r="E64">
        <v>4474.9600000000046</v>
      </c>
      <c r="F64">
        <v>21334.12000000001</v>
      </c>
      <c r="G64">
        <v>9475.350000000004</v>
      </c>
      <c r="H64">
        <v>31248.599999999984</v>
      </c>
      <c r="I64">
        <v>7658.0000000000064</v>
      </c>
      <c r="J64">
        <v>59325.149999999572</v>
      </c>
      <c r="K64">
        <v>7689.6599999998753</v>
      </c>
      <c r="L64">
        <v>22395.660000000003</v>
      </c>
      <c r="M64">
        <v>26109.43</v>
      </c>
      <c r="N64">
        <v>9462.6600000000017</v>
      </c>
      <c r="O64">
        <v>49628.88999999941</v>
      </c>
      <c r="P64">
        <v>31668.279999999668</v>
      </c>
      <c r="Q64">
        <v>6783.979999999985</v>
      </c>
      <c r="R64">
        <v>13728.699999999997</v>
      </c>
      <c r="S64">
        <v>25912.979999999974</v>
      </c>
      <c r="T64">
        <v>36437.359999999542</v>
      </c>
      <c r="U64">
        <v>3940.26999999999</v>
      </c>
      <c r="V64">
        <v>44197.779999999831</v>
      </c>
      <c r="W64">
        <v>22797.179999999575</v>
      </c>
      <c r="X64">
        <v>13522.520000000008</v>
      </c>
      <c r="Y64">
        <v>17063.269999999993</v>
      </c>
      <c r="Z64">
        <v>3786.98</v>
      </c>
      <c r="AA64">
        <v>35112.89</v>
      </c>
      <c r="AB64">
        <v>4863.5099999999966</v>
      </c>
      <c r="AC64">
        <v>4107.2199999998393</v>
      </c>
      <c r="AD64">
        <v>7175.6399999999976</v>
      </c>
      <c r="AE64">
        <v>15962.940000000006</v>
      </c>
      <c r="AF64">
        <v>6332.0999999999985</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938D9-210E-403B-AE01-B68B5A974A31}">
  <sheetPr codeName="Sheet6"/>
  <dimension ref="A1:E33"/>
  <sheetViews>
    <sheetView workbookViewId="0">
      <selection activeCell="D2" sqref="D2:D31"/>
    </sheetView>
  </sheetViews>
  <sheetFormatPr defaultRowHeight="15" x14ac:dyDescent="0.25"/>
  <cols>
    <col min="1" max="1" width="13.42578125" bestFit="1" customWidth="1"/>
    <col min="2" max="2" width="10.140625" bestFit="1" customWidth="1"/>
    <col min="3" max="3" width="9.85546875" bestFit="1" customWidth="1"/>
    <col min="4" max="4" width="13.42578125" bestFit="1" customWidth="1"/>
    <col min="5" max="5" width="18" bestFit="1" customWidth="1"/>
    <col min="6" max="6" width="9.85546875" bestFit="1" customWidth="1"/>
    <col min="7" max="7" width="11.28515625" bestFit="1" customWidth="1"/>
  </cols>
  <sheetData>
    <row r="1" spans="1:5" x14ac:dyDescent="0.25">
      <c r="A1" s="2" t="s">
        <v>35</v>
      </c>
      <c r="B1" t="s">
        <v>56</v>
      </c>
      <c r="D1" s="2" t="s">
        <v>35</v>
      </c>
      <c r="E1" t="s">
        <v>54</v>
      </c>
    </row>
    <row r="2" spans="1:5" x14ac:dyDescent="0.25">
      <c r="A2" s="3">
        <v>0.22</v>
      </c>
      <c r="B2">
        <v>44</v>
      </c>
      <c r="D2" s="10">
        <v>0.01</v>
      </c>
      <c r="E2" s="7">
        <v>300542.24999999854</v>
      </c>
    </row>
    <row r="3" spans="1:5" x14ac:dyDescent="0.25">
      <c r="A3" s="3">
        <v>0.24</v>
      </c>
      <c r="B3">
        <v>42</v>
      </c>
      <c r="D3" s="10">
        <v>0.24</v>
      </c>
      <c r="E3" s="7">
        <v>297127.70999999862</v>
      </c>
    </row>
    <row r="4" spans="1:5" x14ac:dyDescent="0.25">
      <c r="A4" s="3">
        <v>0.17</v>
      </c>
      <c r="B4">
        <v>42</v>
      </c>
      <c r="D4" s="10">
        <v>0.1</v>
      </c>
      <c r="E4" s="7">
        <v>274945.06999999838</v>
      </c>
    </row>
    <row r="5" spans="1:5" x14ac:dyDescent="0.25">
      <c r="A5" s="3">
        <v>0.25</v>
      </c>
      <c r="B5">
        <v>40</v>
      </c>
      <c r="D5" s="10">
        <v>0.04</v>
      </c>
      <c r="E5" s="7">
        <v>267039.99999999872</v>
      </c>
    </row>
    <row r="6" spans="1:5" x14ac:dyDescent="0.25">
      <c r="A6" s="3">
        <v>0.03</v>
      </c>
      <c r="B6">
        <v>39</v>
      </c>
      <c r="D6" s="10">
        <v>0.25</v>
      </c>
      <c r="E6" s="7">
        <v>264914.08999999939</v>
      </c>
    </row>
    <row r="7" spans="1:5" x14ac:dyDescent="0.25">
      <c r="A7" s="3">
        <v>0.21</v>
      </c>
      <c r="B7">
        <v>39</v>
      </c>
      <c r="D7" s="10">
        <v>0.22</v>
      </c>
      <c r="E7" s="7">
        <v>262858.67999999929</v>
      </c>
    </row>
    <row r="8" spans="1:5" x14ac:dyDescent="0.25">
      <c r="A8" s="3">
        <v>0.2</v>
      </c>
      <c r="B8">
        <v>39</v>
      </c>
      <c r="D8" s="10">
        <v>0.12</v>
      </c>
      <c r="E8" s="7">
        <v>240274.90999999916</v>
      </c>
    </row>
    <row r="9" spans="1:5" x14ac:dyDescent="0.25">
      <c r="A9" s="3">
        <v>0.12</v>
      </c>
      <c r="B9">
        <v>39</v>
      </c>
      <c r="D9" s="10">
        <v>0.13</v>
      </c>
      <c r="E9" s="7">
        <v>239310.46999999858</v>
      </c>
    </row>
    <row r="10" spans="1:5" x14ac:dyDescent="0.25">
      <c r="A10" s="3">
        <v>0.09</v>
      </c>
      <c r="B10">
        <v>38</v>
      </c>
      <c r="D10" s="10">
        <v>0.09</v>
      </c>
      <c r="E10" s="7">
        <v>237813.08999999927</v>
      </c>
    </row>
    <row r="11" spans="1:5" x14ac:dyDescent="0.25">
      <c r="A11" s="3">
        <v>0.04</v>
      </c>
      <c r="B11">
        <v>38</v>
      </c>
      <c r="D11" s="10">
        <v>0.28999999999999998</v>
      </c>
      <c r="E11" s="7">
        <v>237116.43999999965</v>
      </c>
    </row>
    <row r="12" spans="1:5" x14ac:dyDescent="0.25">
      <c r="A12" s="3">
        <v>0.01</v>
      </c>
      <c r="B12">
        <v>37</v>
      </c>
      <c r="D12" s="10">
        <v>0.17</v>
      </c>
      <c r="E12" s="7">
        <v>234142.03999999905</v>
      </c>
    </row>
    <row r="13" spans="1:5" x14ac:dyDescent="0.25">
      <c r="A13" s="3">
        <v>0.27</v>
      </c>
      <c r="B13">
        <v>37</v>
      </c>
      <c r="D13" s="10">
        <v>0.27</v>
      </c>
      <c r="E13" s="7">
        <v>232171.7399999988</v>
      </c>
    </row>
    <row r="14" spans="1:5" x14ac:dyDescent="0.25">
      <c r="A14" s="3">
        <v>0.1</v>
      </c>
      <c r="B14">
        <v>37</v>
      </c>
      <c r="D14" s="10">
        <v>0.08</v>
      </c>
      <c r="E14" s="7">
        <v>229806.78999999919</v>
      </c>
    </row>
    <row r="15" spans="1:5" x14ac:dyDescent="0.25">
      <c r="A15" s="3">
        <v>0.26</v>
      </c>
      <c r="B15">
        <v>33</v>
      </c>
      <c r="D15" s="10">
        <v>0.26</v>
      </c>
      <c r="E15" s="7">
        <v>224551.03999999972</v>
      </c>
    </row>
    <row r="16" spans="1:5" x14ac:dyDescent="0.25">
      <c r="A16" s="3">
        <v>0.28999999999999998</v>
      </c>
      <c r="B16">
        <v>33</v>
      </c>
      <c r="D16" s="10">
        <v>0.18</v>
      </c>
      <c r="E16" s="7">
        <v>219343.28999999899</v>
      </c>
    </row>
    <row r="17" spans="1:5" x14ac:dyDescent="0.25">
      <c r="A17" s="3">
        <v>7.0000000000000007E-2</v>
      </c>
      <c r="B17">
        <v>33</v>
      </c>
      <c r="D17" s="10">
        <v>0.14000000000000001</v>
      </c>
      <c r="E17" s="7">
        <v>218655.76999999859</v>
      </c>
    </row>
    <row r="18" spans="1:5" x14ac:dyDescent="0.25">
      <c r="A18" s="3">
        <v>0.14000000000000001</v>
      </c>
      <c r="B18">
        <v>31</v>
      </c>
      <c r="D18" s="10">
        <v>0.06</v>
      </c>
      <c r="E18" s="7">
        <v>216340.58999999912</v>
      </c>
    </row>
    <row r="19" spans="1:5" x14ac:dyDescent="0.25">
      <c r="A19" s="3">
        <v>0.08</v>
      </c>
      <c r="B19">
        <v>31</v>
      </c>
      <c r="D19" s="10">
        <v>0.05</v>
      </c>
      <c r="E19" s="7">
        <v>208840.89999999915</v>
      </c>
    </row>
    <row r="20" spans="1:5" x14ac:dyDescent="0.25">
      <c r="A20" s="3">
        <v>0.13</v>
      </c>
      <c r="B20">
        <v>31</v>
      </c>
      <c r="D20" s="10">
        <v>0.03</v>
      </c>
      <c r="E20" s="7">
        <v>208014.21999999968</v>
      </c>
    </row>
    <row r="21" spans="1:5" x14ac:dyDescent="0.25">
      <c r="A21" s="3">
        <v>0.06</v>
      </c>
      <c r="B21">
        <v>31</v>
      </c>
      <c r="D21" s="10">
        <v>0.21</v>
      </c>
      <c r="E21" s="7">
        <v>203300.53999999838</v>
      </c>
    </row>
    <row r="22" spans="1:5" x14ac:dyDescent="0.25">
      <c r="A22" s="3">
        <v>0.15</v>
      </c>
      <c r="B22">
        <v>29</v>
      </c>
      <c r="D22" s="10">
        <v>7.0000000000000007E-2</v>
      </c>
      <c r="E22" s="7">
        <v>195497.21999999904</v>
      </c>
    </row>
    <row r="23" spans="1:5" x14ac:dyDescent="0.25">
      <c r="A23" s="3">
        <v>0.18</v>
      </c>
      <c r="B23">
        <v>28</v>
      </c>
      <c r="D23" s="10">
        <v>0.2</v>
      </c>
      <c r="E23" s="7">
        <v>193203.29999999929</v>
      </c>
    </row>
    <row r="24" spans="1:5" x14ac:dyDescent="0.25">
      <c r="A24" s="3">
        <v>0.23</v>
      </c>
      <c r="B24">
        <v>28</v>
      </c>
      <c r="D24" s="10">
        <v>0.19</v>
      </c>
      <c r="E24" s="7">
        <v>175674.27999999991</v>
      </c>
    </row>
    <row r="25" spans="1:5" x14ac:dyDescent="0.25">
      <c r="A25" s="3">
        <v>0.19</v>
      </c>
      <c r="B25">
        <v>27</v>
      </c>
      <c r="D25" s="10">
        <v>0.23</v>
      </c>
      <c r="E25" s="7">
        <v>170685.15999999919</v>
      </c>
    </row>
    <row r="26" spans="1:5" x14ac:dyDescent="0.25">
      <c r="A26" s="3">
        <v>0.28000000000000003</v>
      </c>
      <c r="B26">
        <v>27</v>
      </c>
      <c r="D26" s="10">
        <v>0.28000000000000003</v>
      </c>
      <c r="E26" s="7">
        <v>170397.97999999989</v>
      </c>
    </row>
    <row r="27" spans="1:5" x14ac:dyDescent="0.25">
      <c r="A27" s="3">
        <v>0.05</v>
      </c>
      <c r="B27">
        <v>26</v>
      </c>
      <c r="D27" s="10">
        <v>0.15</v>
      </c>
      <c r="E27" s="7">
        <v>162113.81999999975</v>
      </c>
    </row>
    <row r="28" spans="1:5" x14ac:dyDescent="0.25">
      <c r="A28" s="3">
        <v>0.02</v>
      </c>
      <c r="B28">
        <v>24</v>
      </c>
      <c r="D28" s="10">
        <v>0.11</v>
      </c>
      <c r="E28" s="7">
        <v>138309.99999999907</v>
      </c>
    </row>
    <row r="29" spans="1:5" x14ac:dyDescent="0.25">
      <c r="A29" s="3">
        <v>0.11</v>
      </c>
      <c r="B29">
        <v>22</v>
      </c>
      <c r="D29" s="10">
        <v>0.3</v>
      </c>
      <c r="E29" s="7">
        <v>126114.50999999998</v>
      </c>
    </row>
    <row r="30" spans="1:5" x14ac:dyDescent="0.25">
      <c r="A30" s="3">
        <v>0.16</v>
      </c>
      <c r="B30">
        <v>21</v>
      </c>
      <c r="D30" s="10">
        <v>0.02</v>
      </c>
      <c r="E30" s="7">
        <v>123133.0299999998</v>
      </c>
    </row>
    <row r="31" spans="1:5" x14ac:dyDescent="0.25">
      <c r="A31" s="3">
        <v>0.3</v>
      </c>
      <c r="B31">
        <v>18</v>
      </c>
      <c r="D31" s="10">
        <v>0.16</v>
      </c>
      <c r="E31" s="7">
        <v>114762.85999999933</v>
      </c>
    </row>
    <row r="32" spans="1:5" x14ac:dyDescent="0.25">
      <c r="A32" s="3">
        <v>0</v>
      </c>
      <c r="B32">
        <v>16</v>
      </c>
      <c r="D32" s="3">
        <v>0</v>
      </c>
      <c r="E32" s="7">
        <v>100845.27999999962</v>
      </c>
    </row>
    <row r="33" spans="1:5" x14ac:dyDescent="0.25">
      <c r="A33" s="3" t="s">
        <v>36</v>
      </c>
      <c r="B33">
        <v>1000</v>
      </c>
      <c r="D33" s="3" t="s">
        <v>36</v>
      </c>
      <c r="E33" s="7">
        <v>6487847.0699999742</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3BC0B-7475-4060-8796-B440B6D2FF0B}">
  <sheetPr codeName="Sheet8"/>
  <dimension ref="A1:K14"/>
  <sheetViews>
    <sheetView workbookViewId="0">
      <selection activeCell="B2" sqref="B2"/>
    </sheetView>
  </sheetViews>
  <sheetFormatPr defaultRowHeight="15" x14ac:dyDescent="0.25"/>
  <cols>
    <col min="1" max="1" width="13.42578125" bestFit="1" customWidth="1"/>
    <col min="2" max="2" width="19.42578125" bestFit="1" customWidth="1"/>
    <col min="3" max="3" width="9.85546875" bestFit="1" customWidth="1"/>
    <col min="4" max="4" width="11.28515625" bestFit="1" customWidth="1"/>
    <col min="8" max="8" width="19.42578125" bestFit="1" customWidth="1"/>
    <col min="9" max="9" width="16.85546875" bestFit="1" customWidth="1"/>
    <col min="10" max="10" width="5.5703125" bestFit="1" customWidth="1"/>
    <col min="11" max="11" width="11.42578125" bestFit="1" customWidth="1"/>
  </cols>
  <sheetData>
    <row r="1" spans="1:11" x14ac:dyDescent="0.25">
      <c r="A1" s="2" t="s">
        <v>35</v>
      </c>
      <c r="B1" t="s">
        <v>55</v>
      </c>
      <c r="H1" s="2" t="s">
        <v>35</v>
      </c>
      <c r="I1" t="s">
        <v>54</v>
      </c>
    </row>
    <row r="2" spans="1:11" x14ac:dyDescent="0.25">
      <c r="A2" s="3" t="s">
        <v>25</v>
      </c>
      <c r="B2" s="9">
        <v>0.26800000000000002</v>
      </c>
      <c r="H2" s="3" t="s">
        <v>25</v>
      </c>
      <c r="I2" s="7">
        <v>1712957.7999999931</v>
      </c>
    </row>
    <row r="3" spans="1:11" x14ac:dyDescent="0.25">
      <c r="A3" s="3" t="s">
        <v>30</v>
      </c>
      <c r="B3" s="9">
        <v>0.246</v>
      </c>
      <c r="H3" s="3" t="s">
        <v>30</v>
      </c>
      <c r="I3" s="7">
        <v>1574320.0599999935</v>
      </c>
    </row>
    <row r="4" spans="1:11" x14ac:dyDescent="0.25">
      <c r="A4" s="3" t="s">
        <v>23</v>
      </c>
      <c r="B4" s="9">
        <v>0.22600000000000001</v>
      </c>
      <c r="H4" s="3" t="s">
        <v>23</v>
      </c>
      <c r="I4" s="7">
        <v>1421108.0499999952</v>
      </c>
    </row>
    <row r="5" spans="1:11" x14ac:dyDescent="0.25">
      <c r="A5" s="3" t="s">
        <v>15</v>
      </c>
      <c r="B5" s="9">
        <v>0.26</v>
      </c>
      <c r="H5" s="3" t="s">
        <v>15</v>
      </c>
      <c r="I5" s="7">
        <v>1779461.1599999934</v>
      </c>
    </row>
    <row r="9" spans="1:11" x14ac:dyDescent="0.25">
      <c r="H9" s="2" t="s">
        <v>55</v>
      </c>
      <c r="I9" s="2" t="s">
        <v>37</v>
      </c>
    </row>
    <row r="10" spans="1:11" x14ac:dyDescent="0.25">
      <c r="H10" s="2" t="s">
        <v>35</v>
      </c>
      <c r="I10" t="s">
        <v>24</v>
      </c>
      <c r="J10" t="s">
        <v>17</v>
      </c>
      <c r="K10" t="s">
        <v>27</v>
      </c>
    </row>
    <row r="11" spans="1:11" x14ac:dyDescent="0.25">
      <c r="H11" s="3" t="s">
        <v>25</v>
      </c>
      <c r="I11">
        <v>93</v>
      </c>
      <c r="J11">
        <v>78</v>
      </c>
      <c r="K11">
        <v>97</v>
      </c>
    </row>
    <row r="12" spans="1:11" x14ac:dyDescent="0.25">
      <c r="H12" s="3" t="s">
        <v>30</v>
      </c>
      <c r="I12">
        <v>79</v>
      </c>
      <c r="J12">
        <v>70</v>
      </c>
      <c r="K12">
        <v>97</v>
      </c>
    </row>
    <row r="13" spans="1:11" x14ac:dyDescent="0.25">
      <c r="H13" s="3" t="s">
        <v>23</v>
      </c>
      <c r="I13">
        <v>79</v>
      </c>
      <c r="J13">
        <v>78</v>
      </c>
      <c r="K13">
        <v>69</v>
      </c>
    </row>
    <row r="14" spans="1:11" x14ac:dyDescent="0.25">
      <c r="H14" s="3" t="s">
        <v>15</v>
      </c>
      <c r="I14">
        <v>91</v>
      </c>
      <c r="J14">
        <v>87</v>
      </c>
      <c r="K14">
        <v>82</v>
      </c>
    </row>
  </sheetData>
  <pageMargins left="0.7" right="0.7" top="0.75" bottom="0.75" header="0.3" footer="0.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F0B55-C746-470A-A3DF-1CE90A0C8B24}">
  <sheetPr codeName="Sheet9"/>
  <dimension ref="A1:E38"/>
  <sheetViews>
    <sheetView zoomScale="66" workbookViewId="0">
      <selection activeCell="B37" sqref="B37"/>
    </sheetView>
  </sheetViews>
  <sheetFormatPr defaultRowHeight="15" x14ac:dyDescent="0.25"/>
  <cols>
    <col min="1" max="1" width="26.5703125" bestFit="1" customWidth="1"/>
    <col min="2" max="2" width="23.140625" bestFit="1" customWidth="1"/>
    <col min="3" max="3" width="8.85546875" bestFit="1" customWidth="1"/>
    <col min="4" max="4" width="16" bestFit="1" customWidth="1"/>
    <col min="5" max="5" width="13.140625" bestFit="1" customWidth="1"/>
    <col min="6" max="6" width="11.28515625" bestFit="1" customWidth="1"/>
    <col min="7" max="7" width="4" bestFit="1" customWidth="1"/>
    <col min="8" max="8" width="3.42578125" bestFit="1" customWidth="1"/>
    <col min="9" max="9" width="4.28515625" bestFit="1" customWidth="1"/>
    <col min="10" max="10" width="4.42578125" bestFit="1" customWidth="1"/>
    <col min="11" max="11" width="4.140625" bestFit="1" customWidth="1"/>
    <col min="12" max="13" width="4.5703125" bestFit="1" customWidth="1"/>
    <col min="14" max="14" width="11.28515625" bestFit="1" customWidth="1"/>
  </cols>
  <sheetData>
    <row r="1" spans="1:2" x14ac:dyDescent="0.25">
      <c r="A1" s="2" t="s">
        <v>35</v>
      </c>
      <c r="B1" t="s">
        <v>55</v>
      </c>
    </row>
    <row r="2" spans="1:2" x14ac:dyDescent="0.25">
      <c r="A2" s="3" t="s">
        <v>14</v>
      </c>
      <c r="B2" s="9">
        <v>0.26700000000000002</v>
      </c>
    </row>
    <row r="3" spans="1:2" x14ac:dyDescent="0.25">
      <c r="A3" s="3" t="s">
        <v>29</v>
      </c>
      <c r="B3" s="9">
        <v>0.26300000000000001</v>
      </c>
    </row>
    <row r="4" spans="1:2" x14ac:dyDescent="0.25">
      <c r="A4" s="3" t="s">
        <v>19</v>
      </c>
      <c r="B4" s="9">
        <v>0.24399999999999999</v>
      </c>
    </row>
    <row r="5" spans="1:2" x14ac:dyDescent="0.25">
      <c r="A5" s="3" t="s">
        <v>22</v>
      </c>
      <c r="B5" s="9">
        <v>0.22600000000000001</v>
      </c>
    </row>
    <row r="6" spans="1:2" x14ac:dyDescent="0.25">
      <c r="A6" s="3" t="s">
        <v>36</v>
      </c>
      <c r="B6" s="9">
        <v>1</v>
      </c>
    </row>
    <row r="8" spans="1:2" x14ac:dyDescent="0.25">
      <c r="A8" s="2" t="s">
        <v>35</v>
      </c>
      <c r="B8" s="7" t="s">
        <v>54</v>
      </c>
    </row>
    <row r="9" spans="1:2" x14ac:dyDescent="0.25">
      <c r="A9" s="3" t="s">
        <v>14</v>
      </c>
      <c r="B9" s="7">
        <v>1661461.1999999941</v>
      </c>
    </row>
    <row r="10" spans="1:2" x14ac:dyDescent="0.25">
      <c r="A10" s="3" t="s">
        <v>19</v>
      </c>
      <c r="B10" s="7">
        <v>1656091.7699999954</v>
      </c>
    </row>
    <row r="11" spans="1:2" x14ac:dyDescent="0.25">
      <c r="A11" s="3" t="s">
        <v>29</v>
      </c>
      <c r="B11" s="7">
        <v>1650557.1999999934</v>
      </c>
    </row>
    <row r="12" spans="1:2" x14ac:dyDescent="0.25">
      <c r="A12" s="3" t="s">
        <v>22</v>
      </c>
      <c r="B12" s="7">
        <v>1519736.8999999929</v>
      </c>
    </row>
    <row r="13" spans="1:2" x14ac:dyDescent="0.25">
      <c r="A13" s="3" t="s">
        <v>36</v>
      </c>
      <c r="B13" s="7">
        <v>6487847.0699999761</v>
      </c>
    </row>
    <row r="16" spans="1:2" x14ac:dyDescent="0.25">
      <c r="A16" s="2" t="s">
        <v>54</v>
      </c>
      <c r="B16" s="2" t="s">
        <v>37</v>
      </c>
    </row>
    <row r="17" spans="1:5" x14ac:dyDescent="0.25">
      <c r="A17" s="2" t="s">
        <v>35</v>
      </c>
      <c r="B17" t="s">
        <v>29</v>
      </c>
      <c r="C17" t="s">
        <v>14</v>
      </c>
      <c r="D17" t="s">
        <v>22</v>
      </c>
      <c r="E17" t="s">
        <v>19</v>
      </c>
    </row>
    <row r="18" spans="1:5" x14ac:dyDescent="0.25">
      <c r="A18" s="3" t="s">
        <v>38</v>
      </c>
      <c r="B18">
        <v>200297.20999999883</v>
      </c>
      <c r="C18">
        <v>219899.89999999979</v>
      </c>
      <c r="D18">
        <v>149795.68999999933</v>
      </c>
      <c r="E18">
        <v>107771.79999999976</v>
      </c>
    </row>
    <row r="19" spans="1:5" x14ac:dyDescent="0.25">
      <c r="A19" s="3" t="s">
        <v>43</v>
      </c>
      <c r="B19">
        <v>154390.46999999962</v>
      </c>
      <c r="C19">
        <v>160874.85999999952</v>
      </c>
      <c r="D19">
        <v>155442.3699999986</v>
      </c>
      <c r="E19">
        <v>135284.49999999971</v>
      </c>
    </row>
    <row r="20" spans="1:5" x14ac:dyDescent="0.25">
      <c r="A20" s="3" t="s">
        <v>49</v>
      </c>
      <c r="B20">
        <v>139018.03999999951</v>
      </c>
      <c r="C20">
        <v>166113.03999999902</v>
      </c>
      <c r="D20">
        <v>112265.04999999894</v>
      </c>
      <c r="E20">
        <v>173001.41999999969</v>
      </c>
    </row>
    <row r="21" spans="1:5" x14ac:dyDescent="0.25">
      <c r="A21" s="3" t="s">
        <v>47</v>
      </c>
      <c r="B21">
        <v>122118.52999999917</v>
      </c>
      <c r="C21">
        <v>137887.13999999946</v>
      </c>
      <c r="D21">
        <v>141788.88999999998</v>
      </c>
      <c r="E21">
        <v>182885.26999999964</v>
      </c>
    </row>
    <row r="22" spans="1:5" x14ac:dyDescent="0.25">
      <c r="A22" s="3" t="s">
        <v>45</v>
      </c>
      <c r="B22">
        <v>130995.99999999948</v>
      </c>
      <c r="C22">
        <v>130969.84999999932</v>
      </c>
      <c r="D22">
        <v>126759.03000000001</v>
      </c>
      <c r="E22">
        <v>169692.81</v>
      </c>
    </row>
    <row r="23" spans="1:5" x14ac:dyDescent="0.25">
      <c r="A23" s="3" t="s">
        <v>48</v>
      </c>
      <c r="B23">
        <v>156752.80999999936</v>
      </c>
      <c r="C23">
        <v>155768.11999999982</v>
      </c>
      <c r="D23">
        <v>120717.59999999966</v>
      </c>
      <c r="E23">
        <v>124573.52999999883</v>
      </c>
    </row>
    <row r="24" spans="1:5" x14ac:dyDescent="0.25">
      <c r="A24" s="3" t="s">
        <v>40</v>
      </c>
      <c r="B24">
        <v>185936.51999999944</v>
      </c>
      <c r="C24">
        <v>69147.389999999155</v>
      </c>
      <c r="D24">
        <v>168272.26999999859</v>
      </c>
      <c r="E24">
        <v>105275.62999999957</v>
      </c>
    </row>
    <row r="25" spans="1:5" x14ac:dyDescent="0.25">
      <c r="A25" s="3" t="s">
        <v>41</v>
      </c>
      <c r="B25">
        <v>94445.399999999514</v>
      </c>
      <c r="C25">
        <v>142983.56999999951</v>
      </c>
      <c r="D25">
        <v>116023.78</v>
      </c>
      <c r="E25">
        <v>142554.06999999966</v>
      </c>
    </row>
    <row r="26" spans="1:5" x14ac:dyDescent="0.25">
      <c r="A26" s="3" t="s">
        <v>42</v>
      </c>
      <c r="B26">
        <v>105006.72000000003</v>
      </c>
      <c r="C26">
        <v>139966.55999999924</v>
      </c>
      <c r="D26">
        <v>125604.54999999881</v>
      </c>
      <c r="E26">
        <v>118894.3199999998</v>
      </c>
    </row>
    <row r="27" spans="1:5" x14ac:dyDescent="0.25">
      <c r="A27" s="3" t="s">
        <v>39</v>
      </c>
      <c r="B27">
        <v>147045.70999999973</v>
      </c>
      <c r="C27">
        <v>61368.569999999963</v>
      </c>
      <c r="D27">
        <v>75923.109999999564</v>
      </c>
      <c r="E27">
        <v>193715.68999999957</v>
      </c>
    </row>
    <row r="28" spans="1:5" x14ac:dyDescent="0.25">
      <c r="A28" s="3" t="s">
        <v>46</v>
      </c>
      <c r="B28">
        <v>92024.429999999382</v>
      </c>
      <c r="C28">
        <v>137188.18999999898</v>
      </c>
      <c r="D28">
        <v>134886.03999999963</v>
      </c>
      <c r="E28">
        <v>108841.85999999986</v>
      </c>
    </row>
    <row r="29" spans="1:5" x14ac:dyDescent="0.25">
      <c r="A29" s="3" t="s">
        <v>44</v>
      </c>
      <c r="B29">
        <v>122525.3599999993</v>
      </c>
      <c r="C29">
        <v>139294.00999999919</v>
      </c>
      <c r="D29">
        <v>92258.519999999757</v>
      </c>
      <c r="E29">
        <v>93600.87</v>
      </c>
    </row>
    <row r="32" spans="1:5" x14ac:dyDescent="0.25">
      <c r="A32" s="2" t="s">
        <v>55</v>
      </c>
      <c r="B32" s="2" t="s">
        <v>37</v>
      </c>
    </row>
    <row r="33" spans="1:4" x14ac:dyDescent="0.25">
      <c r="A33" s="2" t="s">
        <v>35</v>
      </c>
      <c r="B33" t="s">
        <v>18</v>
      </c>
      <c r="C33" t="s">
        <v>20</v>
      </c>
      <c r="D33" t="s">
        <v>36</v>
      </c>
    </row>
    <row r="34" spans="1:4" x14ac:dyDescent="0.25">
      <c r="A34" s="3" t="s">
        <v>14</v>
      </c>
      <c r="B34">
        <v>130</v>
      </c>
      <c r="C34">
        <v>137</v>
      </c>
      <c r="D34">
        <v>267</v>
      </c>
    </row>
    <row r="35" spans="1:4" x14ac:dyDescent="0.25">
      <c r="A35" s="3" t="s">
        <v>29</v>
      </c>
      <c r="B35">
        <v>121</v>
      </c>
      <c r="C35">
        <v>142</v>
      </c>
      <c r="D35">
        <v>263</v>
      </c>
    </row>
    <row r="36" spans="1:4" x14ac:dyDescent="0.25">
      <c r="A36" s="3" t="s">
        <v>19</v>
      </c>
      <c r="B36">
        <v>125</v>
      </c>
      <c r="C36">
        <v>119</v>
      </c>
      <c r="D36">
        <v>244</v>
      </c>
    </row>
    <row r="37" spans="1:4" x14ac:dyDescent="0.25">
      <c r="A37" s="3" t="s">
        <v>22</v>
      </c>
      <c r="B37">
        <v>112</v>
      </c>
      <c r="C37">
        <v>114</v>
      </c>
      <c r="D37">
        <v>226</v>
      </c>
    </row>
    <row r="38" spans="1:4" x14ac:dyDescent="0.25">
      <c r="A38" s="3" t="s">
        <v>36</v>
      </c>
      <c r="B38">
        <v>488</v>
      </c>
      <c r="C38">
        <v>512</v>
      </c>
      <c r="D38">
        <v>1000</v>
      </c>
    </row>
  </sheetData>
  <pageMargins left="0.7" right="0.7" top="0.75" bottom="0.75" header="0.3" footer="0.3"/>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sales_data</vt:lpstr>
      <vt:lpstr>cleaned_data</vt:lpstr>
      <vt:lpstr>overview dashboard</vt:lpstr>
      <vt:lpstr>salesrep dashboard</vt:lpstr>
      <vt:lpstr>category dashboard</vt:lpstr>
      <vt:lpstr>region dashboard</vt:lpstr>
      <vt:lpstr>sales_rep</vt:lpstr>
      <vt:lpstr>time_series</vt:lpstr>
      <vt:lpstr>discount</vt:lpstr>
      <vt:lpstr>category</vt:lpstr>
      <vt:lpstr>region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ELkhamaty</dc:creator>
  <cp:lastModifiedBy>محمد السيد محمد ابراهيم الخماتى</cp:lastModifiedBy>
  <dcterms:created xsi:type="dcterms:W3CDTF">2026-07-30T11:12:30Z</dcterms:created>
  <dcterms:modified xsi:type="dcterms:W3CDTF">2026-08-11T17:57:16Z</dcterms:modified>
</cp:coreProperties>
</file>